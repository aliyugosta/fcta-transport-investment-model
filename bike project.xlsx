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8690" windowHeight="6680" activeTab="3"/>
  </bookViews>
  <sheets>
    <sheet name="60 Bikes" sheetId="1" r:id="rId1"/>
    <sheet name="40 Bikes - 1st year" sheetId="2" r:id="rId2"/>
    <sheet name="40 Bikes - 2nd year" sheetId="3" r:id="rId3"/>
    <sheet name="40 Bikes - 3rd year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4" l="1"/>
  <c r="D9" i="4"/>
  <c r="L33" i="4"/>
  <c r="K33" i="4"/>
  <c r="J33" i="4"/>
  <c r="K32" i="4"/>
  <c r="L32" i="4" s="1"/>
  <c r="L34" i="4" s="1"/>
  <c r="M35" i="4" s="1"/>
  <c r="T27" i="4"/>
  <c r="R27" i="4"/>
  <c r="R31" i="4" s="1"/>
  <c r="T31" i="4" s="1"/>
  <c r="P27" i="4"/>
  <c r="L25" i="4"/>
  <c r="N24" i="4"/>
  <c r="P24" i="4" s="1"/>
  <c r="J24" i="4"/>
  <c r="L24" i="4" s="1"/>
  <c r="L23" i="4"/>
  <c r="F23" i="4"/>
  <c r="F35" i="4" s="1"/>
  <c r="L22" i="4"/>
  <c r="D22" i="4"/>
  <c r="D23" i="4" s="1"/>
  <c r="D24" i="4" s="1"/>
  <c r="D25" i="4" s="1"/>
  <c r="D26" i="4" s="1"/>
  <c r="D27" i="4" s="1"/>
  <c r="D28" i="4" s="1"/>
  <c r="D29" i="4" s="1"/>
  <c r="D30" i="4" s="1"/>
  <c r="D31" i="4" s="1"/>
  <c r="L21" i="4"/>
  <c r="L26" i="4" s="1"/>
  <c r="D21" i="4"/>
  <c r="C21" i="4"/>
  <c r="E21" i="4" s="1"/>
  <c r="G21" i="4" s="1"/>
  <c r="E6" i="4" s="1"/>
  <c r="E20" i="4"/>
  <c r="G20" i="4" s="1"/>
  <c r="P11" i="4"/>
  <c r="J33" i="3"/>
  <c r="J33" i="2"/>
  <c r="D7" i="3"/>
  <c r="D8" i="3" s="1"/>
  <c r="L33" i="3"/>
  <c r="K33" i="3"/>
  <c r="K32" i="3"/>
  <c r="L32" i="3" s="1"/>
  <c r="L34" i="3" s="1"/>
  <c r="M35" i="3" s="1"/>
  <c r="R27" i="3"/>
  <c r="N24" i="3" s="1"/>
  <c r="P24" i="3" s="1"/>
  <c r="P27" i="3"/>
  <c r="L25" i="3"/>
  <c r="J24" i="3"/>
  <c r="L24" i="3" s="1"/>
  <c r="L23" i="3"/>
  <c r="F23" i="3"/>
  <c r="F35" i="3" s="1"/>
  <c r="L22" i="3"/>
  <c r="L21" i="3"/>
  <c r="L26" i="3" s="1"/>
  <c r="D21" i="3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C21" i="3"/>
  <c r="E21" i="3" s="1"/>
  <c r="G21" i="3" s="1"/>
  <c r="E6" i="3" s="1"/>
  <c r="G20" i="3"/>
  <c r="E20" i="3"/>
  <c r="P11" i="3"/>
  <c r="D6" i="3"/>
  <c r="L33" i="2"/>
  <c r="K33" i="2"/>
  <c r="K32" i="2"/>
  <c r="L32" i="2" s="1"/>
  <c r="L34" i="2" s="1"/>
  <c r="M35" i="2" s="1"/>
  <c r="R27" i="2"/>
  <c r="P27" i="2"/>
  <c r="L25" i="2"/>
  <c r="J24" i="2"/>
  <c r="L24" i="2" s="1"/>
  <c r="L23" i="2"/>
  <c r="F23" i="2"/>
  <c r="F35" i="2" s="1"/>
  <c r="D23" i="2"/>
  <c r="D24" i="2" s="1"/>
  <c r="D25" i="2" s="1"/>
  <c r="D26" i="2" s="1"/>
  <c r="D27" i="2" s="1"/>
  <c r="D28" i="2" s="1"/>
  <c r="D29" i="2" s="1"/>
  <c r="D30" i="2" s="1"/>
  <c r="D31" i="2" s="1"/>
  <c r="L22" i="2"/>
  <c r="L21" i="2"/>
  <c r="D21" i="2"/>
  <c r="D22" i="2" s="1"/>
  <c r="C21" i="2"/>
  <c r="E21" i="2" s="1"/>
  <c r="G21" i="2" s="1"/>
  <c r="E6" i="2" s="1"/>
  <c r="E20" i="2"/>
  <c r="G20" i="2" s="1"/>
  <c r="D6" i="2" s="1"/>
  <c r="P11" i="2"/>
  <c r="F35" i="1"/>
  <c r="E7" i="4" l="1"/>
  <c r="F7" i="4" s="1"/>
  <c r="G7" i="4" s="1"/>
  <c r="H7" i="4" s="1"/>
  <c r="I7" i="4" s="1"/>
  <c r="J7" i="4" s="1"/>
  <c r="K7" i="4" s="1"/>
  <c r="L7" i="4" s="1"/>
  <c r="M7" i="4" s="1"/>
  <c r="N7" i="4" s="1"/>
  <c r="O7" i="4" s="1"/>
  <c r="P7" i="4"/>
  <c r="D6" i="4"/>
  <c r="E8" i="4"/>
  <c r="E9" i="4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/>
  <c r="C22" i="4"/>
  <c r="E7" i="3"/>
  <c r="F7" i="3" s="1"/>
  <c r="G7" i="3" s="1"/>
  <c r="H7" i="3" s="1"/>
  <c r="I7" i="3" s="1"/>
  <c r="J7" i="3" s="1"/>
  <c r="K7" i="3" s="1"/>
  <c r="L7" i="3" s="1"/>
  <c r="M7" i="3" s="1"/>
  <c r="N7" i="3" s="1"/>
  <c r="O7" i="3" s="1"/>
  <c r="E8" i="3"/>
  <c r="T27" i="3"/>
  <c r="D9" i="3" s="1"/>
  <c r="C22" i="3"/>
  <c r="R31" i="3"/>
  <c r="T31" i="3" s="1"/>
  <c r="L26" i="2"/>
  <c r="N24" i="2"/>
  <c r="P24" i="2" s="1"/>
  <c r="R31" i="2"/>
  <c r="T31" i="2" s="1"/>
  <c r="T27" i="2"/>
  <c r="D9" i="2" s="1"/>
  <c r="C22" i="2"/>
  <c r="J24" i="1"/>
  <c r="F23" i="1"/>
  <c r="D21" i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C21" i="1"/>
  <c r="R27" i="1"/>
  <c r="N24" i="1" s="1"/>
  <c r="E20" i="1"/>
  <c r="G20" i="1" s="1"/>
  <c r="K32" i="1"/>
  <c r="L32" i="1" s="1"/>
  <c r="K33" i="1"/>
  <c r="L33" i="1" s="1"/>
  <c r="E22" i="4" l="1"/>
  <c r="G22" i="4" s="1"/>
  <c r="C23" i="4"/>
  <c r="D8" i="4"/>
  <c r="E10" i="4"/>
  <c r="E12" i="4" s="1"/>
  <c r="P7" i="3"/>
  <c r="E9" i="3"/>
  <c r="F9" i="3" s="1"/>
  <c r="G9" i="3" s="1"/>
  <c r="H9" i="3" s="1"/>
  <c r="I9" i="3" s="1"/>
  <c r="J9" i="3" s="1"/>
  <c r="K9" i="3" s="1"/>
  <c r="L9" i="3" s="1"/>
  <c r="M9" i="3" s="1"/>
  <c r="N9" i="3" s="1"/>
  <c r="O9" i="3" s="1"/>
  <c r="C23" i="3"/>
  <c r="E22" i="3"/>
  <c r="G22" i="3" s="1"/>
  <c r="E9" i="2"/>
  <c r="F9" i="2" s="1"/>
  <c r="G9" i="2" s="1"/>
  <c r="H9" i="2" s="1"/>
  <c r="I9" i="2" s="1"/>
  <c r="J9" i="2" s="1"/>
  <c r="K9" i="2" s="1"/>
  <c r="L9" i="2" s="1"/>
  <c r="M9" i="2" s="1"/>
  <c r="N9" i="2" s="1"/>
  <c r="O9" i="2" s="1"/>
  <c r="E7" i="2"/>
  <c r="D7" i="2"/>
  <c r="C23" i="2"/>
  <c r="E22" i="2"/>
  <c r="G22" i="2" s="1"/>
  <c r="E21" i="1"/>
  <c r="G21" i="1" s="1"/>
  <c r="E6" i="1" s="1"/>
  <c r="D6" i="1"/>
  <c r="C22" i="1"/>
  <c r="L34" i="1"/>
  <c r="M35" i="1" s="1"/>
  <c r="R31" i="1"/>
  <c r="T31" i="1" s="1"/>
  <c r="P27" i="1"/>
  <c r="P24" i="1"/>
  <c r="L21" i="1"/>
  <c r="L22" i="1"/>
  <c r="L24" i="1"/>
  <c r="L25" i="1"/>
  <c r="L23" i="1"/>
  <c r="D10" i="4" l="1"/>
  <c r="C24" i="4"/>
  <c r="E23" i="4"/>
  <c r="G23" i="4" s="1"/>
  <c r="G6" i="4" s="1"/>
  <c r="G8" i="4" s="1"/>
  <c r="G10" i="4" s="1"/>
  <c r="G12" i="4" s="1"/>
  <c r="F6" i="4"/>
  <c r="P9" i="3"/>
  <c r="E10" i="3"/>
  <c r="E12" i="3" s="1"/>
  <c r="F6" i="3"/>
  <c r="D10" i="3"/>
  <c r="C24" i="3"/>
  <c r="E23" i="3"/>
  <c r="G23" i="3" s="1"/>
  <c r="G6" i="3" s="1"/>
  <c r="G8" i="3" s="1"/>
  <c r="G10" i="3" s="1"/>
  <c r="G12" i="3" s="1"/>
  <c r="F6" i="2"/>
  <c r="P7" i="2"/>
  <c r="D8" i="2"/>
  <c r="D10" i="2" s="1"/>
  <c r="F7" i="2"/>
  <c r="G7" i="2" s="1"/>
  <c r="H7" i="2" s="1"/>
  <c r="I7" i="2" s="1"/>
  <c r="J7" i="2" s="1"/>
  <c r="K7" i="2" s="1"/>
  <c r="L7" i="2" s="1"/>
  <c r="M7" i="2" s="1"/>
  <c r="N7" i="2" s="1"/>
  <c r="O7" i="2" s="1"/>
  <c r="E8" i="2"/>
  <c r="C24" i="2"/>
  <c r="E23" i="2"/>
  <c r="G23" i="2" s="1"/>
  <c r="G6" i="2" s="1"/>
  <c r="G8" i="2" s="1"/>
  <c r="P9" i="2"/>
  <c r="C23" i="1"/>
  <c r="E22" i="1"/>
  <c r="G22" i="1" s="1"/>
  <c r="T27" i="1"/>
  <c r="D9" i="1" s="1"/>
  <c r="E9" i="1" s="1"/>
  <c r="L26" i="1"/>
  <c r="D7" i="1" s="1"/>
  <c r="E24" i="4" l="1"/>
  <c r="G24" i="4" s="1"/>
  <c r="H6" i="4" s="1"/>
  <c r="H8" i="4" s="1"/>
  <c r="H10" i="4" s="1"/>
  <c r="H12" i="4" s="1"/>
  <c r="C25" i="4"/>
  <c r="F8" i="4"/>
  <c r="D12" i="4"/>
  <c r="E24" i="3"/>
  <c r="G24" i="3" s="1"/>
  <c r="H6" i="3" s="1"/>
  <c r="H8" i="3" s="1"/>
  <c r="H10" i="3" s="1"/>
  <c r="H12" i="3" s="1"/>
  <c r="C25" i="3"/>
  <c r="F8" i="3"/>
  <c r="D12" i="3"/>
  <c r="G10" i="2"/>
  <c r="G12" i="2" s="1"/>
  <c r="E10" i="2"/>
  <c r="E12" i="2" s="1"/>
  <c r="E24" i="2"/>
  <c r="G24" i="2" s="1"/>
  <c r="H6" i="2" s="1"/>
  <c r="H8" i="2" s="1"/>
  <c r="C25" i="2"/>
  <c r="F8" i="2"/>
  <c r="F6" i="1"/>
  <c r="C24" i="1"/>
  <c r="E23" i="1"/>
  <c r="G23" i="1" s="1"/>
  <c r="G6" i="1" s="1"/>
  <c r="D8" i="1"/>
  <c r="E7" i="1"/>
  <c r="F9" i="1"/>
  <c r="G9" i="1" s="1"/>
  <c r="F10" i="4" l="1"/>
  <c r="E25" i="4"/>
  <c r="G25" i="4" s="1"/>
  <c r="C26" i="4"/>
  <c r="F10" i="3"/>
  <c r="E25" i="3"/>
  <c r="G25" i="3" s="1"/>
  <c r="I6" i="3" s="1"/>
  <c r="I8" i="3" s="1"/>
  <c r="I10" i="3" s="1"/>
  <c r="I12" i="3" s="1"/>
  <c r="C26" i="3"/>
  <c r="F10" i="2"/>
  <c r="F12" i="2" s="1"/>
  <c r="H10" i="2"/>
  <c r="H12" i="2" s="1"/>
  <c r="E25" i="2"/>
  <c r="G25" i="2" s="1"/>
  <c r="I6" i="2" s="1"/>
  <c r="C26" i="2"/>
  <c r="D12" i="2"/>
  <c r="D10" i="1"/>
  <c r="D12" i="1" s="1"/>
  <c r="E24" i="1"/>
  <c r="G24" i="1" s="1"/>
  <c r="C25" i="1"/>
  <c r="F7" i="1"/>
  <c r="E8" i="1"/>
  <c r="E10" i="1" s="1"/>
  <c r="E12" i="1" s="1"/>
  <c r="H9" i="1"/>
  <c r="I6" i="4" l="1"/>
  <c r="E26" i="4"/>
  <c r="G26" i="4" s="1"/>
  <c r="J6" i="4" s="1"/>
  <c r="J8" i="4" s="1"/>
  <c r="J10" i="4" s="1"/>
  <c r="J12" i="4" s="1"/>
  <c r="C27" i="4"/>
  <c r="F12" i="4"/>
  <c r="C27" i="3"/>
  <c r="E26" i="3"/>
  <c r="G26" i="3" s="1"/>
  <c r="J6" i="3" s="1"/>
  <c r="J8" i="3" s="1"/>
  <c r="J10" i="3" s="1"/>
  <c r="J12" i="3" s="1"/>
  <c r="F12" i="3"/>
  <c r="C27" i="2"/>
  <c r="E26" i="2"/>
  <c r="G26" i="2" s="1"/>
  <c r="I8" i="2"/>
  <c r="I10" i="2" s="1"/>
  <c r="C26" i="1"/>
  <c r="E25" i="1"/>
  <c r="G25" i="1" s="1"/>
  <c r="I6" i="1" s="1"/>
  <c r="H6" i="1"/>
  <c r="G7" i="1"/>
  <c r="F8" i="1"/>
  <c r="F10" i="1" s="1"/>
  <c r="I9" i="1"/>
  <c r="E27" i="4" l="1"/>
  <c r="G27" i="4" s="1"/>
  <c r="K6" i="4" s="1"/>
  <c r="K8" i="4" s="1"/>
  <c r="K10" i="4" s="1"/>
  <c r="K12" i="4" s="1"/>
  <c r="C28" i="4"/>
  <c r="I8" i="4"/>
  <c r="C28" i="3"/>
  <c r="E27" i="3"/>
  <c r="G27" i="3" s="1"/>
  <c r="K6" i="3" s="1"/>
  <c r="J6" i="2"/>
  <c r="C28" i="2"/>
  <c r="E27" i="2"/>
  <c r="G27" i="2" s="1"/>
  <c r="K6" i="2" s="1"/>
  <c r="K8" i="2" s="1"/>
  <c r="C27" i="1"/>
  <c r="E26" i="1"/>
  <c r="G26" i="1" s="1"/>
  <c r="J6" i="1" s="1"/>
  <c r="H7" i="1"/>
  <c r="G8" i="1"/>
  <c r="G10" i="1" s="1"/>
  <c r="J9" i="1"/>
  <c r="E28" i="4" l="1"/>
  <c r="G28" i="4" s="1"/>
  <c r="L6" i="4" s="1"/>
  <c r="C29" i="4"/>
  <c r="I10" i="4"/>
  <c r="K8" i="3"/>
  <c r="C29" i="3"/>
  <c r="E28" i="3"/>
  <c r="G28" i="3" s="1"/>
  <c r="L6" i="3" s="1"/>
  <c r="L8" i="3" s="1"/>
  <c r="L10" i="3" s="1"/>
  <c r="L12" i="3" s="1"/>
  <c r="K10" i="2"/>
  <c r="K12" i="2" s="1"/>
  <c r="J8" i="2"/>
  <c r="J10" i="2" s="1"/>
  <c r="C29" i="2"/>
  <c r="E28" i="2"/>
  <c r="G28" i="2" s="1"/>
  <c r="L6" i="2" s="1"/>
  <c r="L8" i="2" s="1"/>
  <c r="I12" i="2"/>
  <c r="C28" i="1"/>
  <c r="E27" i="1"/>
  <c r="G27" i="1" s="1"/>
  <c r="I7" i="1"/>
  <c r="H8" i="1"/>
  <c r="K9" i="1"/>
  <c r="I12" i="4" l="1"/>
  <c r="E29" i="4"/>
  <c r="G29" i="4" s="1"/>
  <c r="M6" i="4" s="1"/>
  <c r="M8" i="4" s="1"/>
  <c r="M10" i="4" s="1"/>
  <c r="M12" i="4" s="1"/>
  <c r="C30" i="4"/>
  <c r="L8" i="4"/>
  <c r="C30" i="3"/>
  <c r="E29" i="3"/>
  <c r="G29" i="3" s="1"/>
  <c r="M6" i="3" s="1"/>
  <c r="M8" i="3" s="1"/>
  <c r="M10" i="3" s="1"/>
  <c r="M12" i="3" s="1"/>
  <c r="K10" i="3"/>
  <c r="L10" i="2"/>
  <c r="L12" i="2" s="1"/>
  <c r="C30" i="2"/>
  <c r="E29" i="2"/>
  <c r="G29" i="2" s="1"/>
  <c r="M6" i="2" s="1"/>
  <c r="M8" i="2" s="1"/>
  <c r="K6" i="1"/>
  <c r="C29" i="1"/>
  <c r="E28" i="1"/>
  <c r="G28" i="1" s="1"/>
  <c r="L6" i="1" s="1"/>
  <c r="J7" i="1"/>
  <c r="I8" i="1"/>
  <c r="I10" i="1" s="1"/>
  <c r="H10" i="1"/>
  <c r="L9" i="1"/>
  <c r="E30" i="4" l="1"/>
  <c r="G30" i="4" s="1"/>
  <c r="N6" i="4" s="1"/>
  <c r="N8" i="4" s="1"/>
  <c r="N10" i="4" s="1"/>
  <c r="N12" i="4" s="1"/>
  <c r="C31" i="4"/>
  <c r="E31" i="4" s="1"/>
  <c r="G31" i="4" s="1"/>
  <c r="L10" i="4"/>
  <c r="K12" i="3"/>
  <c r="C31" i="3"/>
  <c r="E31" i="3" s="1"/>
  <c r="G31" i="3" s="1"/>
  <c r="E30" i="3"/>
  <c r="G30" i="3" s="1"/>
  <c r="N6" i="3" s="1"/>
  <c r="N8" i="3" s="1"/>
  <c r="M10" i="2"/>
  <c r="M12" i="2" s="1"/>
  <c r="J12" i="2"/>
  <c r="C31" i="2"/>
  <c r="E31" i="2" s="1"/>
  <c r="G31" i="2" s="1"/>
  <c r="E30" i="2"/>
  <c r="G30" i="2" s="1"/>
  <c r="N6" i="2" s="1"/>
  <c r="N8" i="2" s="1"/>
  <c r="C30" i="1"/>
  <c r="E29" i="1"/>
  <c r="G29" i="1" s="1"/>
  <c r="M6" i="1" s="1"/>
  <c r="K7" i="1"/>
  <c r="J8" i="1"/>
  <c r="J10" i="1" s="1"/>
  <c r="M9" i="1"/>
  <c r="L12" i="4" l="1"/>
  <c r="O6" i="4"/>
  <c r="G32" i="4"/>
  <c r="N10" i="3"/>
  <c r="O6" i="3"/>
  <c r="G32" i="3"/>
  <c r="N10" i="2"/>
  <c r="N12" i="2" s="1"/>
  <c r="O6" i="2"/>
  <c r="G32" i="2"/>
  <c r="C31" i="1"/>
  <c r="E31" i="1" s="1"/>
  <c r="G31" i="1" s="1"/>
  <c r="E30" i="1"/>
  <c r="G30" i="1" s="1"/>
  <c r="N6" i="1" s="1"/>
  <c r="L7" i="1"/>
  <c r="K8" i="1"/>
  <c r="N9" i="1"/>
  <c r="O8" i="4" l="1"/>
  <c r="P6" i="4"/>
  <c r="O8" i="3"/>
  <c r="P6" i="3"/>
  <c r="N12" i="3"/>
  <c r="O8" i="2"/>
  <c r="O10" i="2" s="1"/>
  <c r="P6" i="2"/>
  <c r="O6" i="1"/>
  <c r="G32" i="1"/>
  <c r="K10" i="1"/>
  <c r="M7" i="1"/>
  <c r="L8" i="1"/>
  <c r="L10" i="1" s="1"/>
  <c r="O9" i="1"/>
  <c r="O10" i="4" l="1"/>
  <c r="P8" i="4"/>
  <c r="O10" i="3"/>
  <c r="P8" i="3"/>
  <c r="P8" i="2"/>
  <c r="P6" i="1"/>
  <c r="N7" i="1"/>
  <c r="M8" i="1"/>
  <c r="M10" i="1" s="1"/>
  <c r="P9" i="1"/>
  <c r="O12" i="4" l="1"/>
  <c r="P12" i="4" s="1"/>
  <c r="P10" i="4"/>
  <c r="O12" i="3"/>
  <c r="P12" i="3" s="1"/>
  <c r="P10" i="3"/>
  <c r="O12" i="2"/>
  <c r="P12" i="2" s="1"/>
  <c r="P10" i="2"/>
  <c r="O7" i="1"/>
  <c r="N8" i="1"/>
  <c r="N10" i="1" s="1"/>
  <c r="P7" i="1" l="1"/>
  <c r="O8" i="1"/>
  <c r="P8" i="1" s="1"/>
  <c r="O10" i="1" l="1"/>
  <c r="P11" i="1" l="1"/>
  <c r="P10" i="1"/>
  <c r="F12" i="1" l="1"/>
  <c r="G12" i="1" l="1"/>
  <c r="H12" i="1" l="1"/>
  <c r="I12" i="1" l="1"/>
  <c r="J12" i="1" l="1"/>
  <c r="K12" i="1" l="1"/>
  <c r="L12" i="1" l="1"/>
  <c r="M12" i="1" l="1"/>
  <c r="O12" i="1" l="1"/>
  <c r="N12" i="1"/>
  <c r="P12" i="1" l="1"/>
</calcChain>
</file>

<file path=xl/sharedStrings.xml><?xml version="1.0" encoding="utf-8"?>
<sst xmlns="http://schemas.openxmlformats.org/spreadsheetml/2006/main" count="252" uniqueCount="63">
  <si>
    <t>SUMMARY OF FINANCIALS</t>
  </si>
  <si>
    <t>DESCRIPTION</t>
  </si>
  <si>
    <t>TOTAL</t>
  </si>
  <si>
    <t>Projected Revenue Generation</t>
  </si>
  <si>
    <t>Less: Direct Cost</t>
  </si>
  <si>
    <t>Gross Profit</t>
  </si>
  <si>
    <t>Operating and Maintenance Cost</t>
  </si>
  <si>
    <t>Net Earnings before Tax</t>
  </si>
  <si>
    <t>Less: Tax</t>
  </si>
  <si>
    <t>Net Earnings after Tax</t>
  </si>
  <si>
    <t>Cashier</t>
  </si>
  <si>
    <t>Manager</t>
  </si>
  <si>
    <t>Salaries</t>
  </si>
  <si>
    <t>Energy and power (Off Grid)</t>
  </si>
  <si>
    <t>Solar Set up</t>
  </si>
  <si>
    <t>Repairs and Maitenance</t>
  </si>
  <si>
    <t>Bike assembly</t>
  </si>
  <si>
    <t>Marketing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</si>
  <si>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</si>
  <si>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</si>
  <si>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</si>
  <si>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</si>
  <si>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</si>
  <si>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</si>
  <si>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</si>
  <si>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</si>
  <si>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</si>
  <si>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</si>
  <si>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</si>
  <si>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</si>
  <si>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Miscellaneous</t>
  </si>
  <si>
    <t>Cost of bike</t>
  </si>
  <si>
    <t>cabinet</t>
  </si>
  <si>
    <t>$1 =</t>
  </si>
  <si>
    <t>Battery and Swap Cabinet</t>
  </si>
  <si>
    <t>Battery</t>
  </si>
  <si>
    <t xml:space="preserve">Rental Price per bike </t>
  </si>
  <si>
    <t>Total Revenue Per Day</t>
  </si>
  <si>
    <t>Days in a month</t>
  </si>
  <si>
    <t>Total Monthly Revenue</t>
  </si>
  <si>
    <t>No. of Active Bikes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</si>
  <si>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</si>
  <si>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</si>
  <si>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</si>
  <si>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</si>
  <si>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</si>
  <si>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</si>
  <si>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</si>
  <si>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</si>
  <si>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</si>
  <si>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</si>
  <si>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</si>
  <si>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</si>
  <si>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</si>
  <si>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Revenue Generation</t>
  </si>
  <si>
    <t>Total Annual Revenue</t>
  </si>
  <si>
    <t>Total Salaries</t>
  </si>
  <si>
    <t>Total Battery and Swap Cabinet</t>
  </si>
  <si>
    <t>Rent</t>
  </si>
  <si>
    <t>Annual rent</t>
  </si>
  <si>
    <t>Engineer</t>
  </si>
  <si>
    <t>Supervisor</t>
  </si>
  <si>
    <t>Attendant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</si>
</sst>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entury Gothic"/>
      <family val="2"/>
    </font>
    <font>
      <sz val="11"/>
      <name val="Calibri"/>
      <family val="2"/>
    </font>
    <font>
      <b/>
      <sz val="10"/>
      <color rgb="FF333F4F"/>
      <name val="Century Gothic"/>
      <family val="2"/>
    </font>
    <font>
      <sz val="10"/>
      <color rgb="FF333F4F"/>
      <name val="Century Gothic"/>
      <family val="2"/>
    </font>
    <font>
      <b/>
      <sz val="10"/>
      <color rgb="FF1E2328"/>
      <name val="Century Gothic"/>
      <family val="2"/>
    </font>
    <font>
      <b/>
      <sz val="12"/>
      <color rgb="FF333F4F"/>
      <name val="Century Gothic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 val="singleAccounting"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D8D8D8"/>
        <bgColor rgb="FFD8D8D8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5" fillId="3" borderId="3" xfId="0" applyFont="1" applyFill="1" applyBorder="1" applyAlignment="1">
      <alignment horizontal="center" vertical="center"/>
    </xf>
    <xf numFmtId="43" fontId="6" fillId="4" borderId="4" xfId="1" applyFont="1" applyFill="1" applyBorder="1" applyAlignment="1">
      <alignment horizontal="left" vertical="center"/>
    </xf>
    <xf numFmtId="43" fontId="0" fillId="0" borderId="0" xfId="1" applyFont="1"/>
    <xf numFmtId="43" fontId="0" fillId="0" borderId="0" xfId="0" applyNumberFormat="1"/>
    <xf numFmtId="0" fontId="0" fillId="0" borderId="0" xfId="0" applyBorder="1"/>
    <xf numFmtId="43" fontId="0" fillId="0" borderId="0" xfId="1" applyFont="1" applyFill="1" applyBorder="1"/>
    <xf numFmtId="43" fontId="8" fillId="4" borderId="4" xfId="1" applyFont="1" applyFill="1" applyBorder="1" applyAlignment="1">
      <alignment horizontal="left" vertical="center"/>
    </xf>
    <xf numFmtId="0" fontId="2" fillId="0" borderId="14" xfId="0" applyFont="1" applyBorder="1" applyAlignment="1">
      <alignment horizontal="center" wrapText="1"/>
    </xf>
    <xf numFmtId="0" fontId="2" fillId="0" borderId="14" xfId="0" applyFont="1" applyFill="1" applyBorder="1" applyAlignment="1">
      <alignment horizontal="center" wrapText="1"/>
    </xf>
    <xf numFmtId="0" fontId="0" fillId="0" borderId="14" xfId="0" applyBorder="1"/>
    <xf numFmtId="43" fontId="0" fillId="0" borderId="14" xfId="1" applyFont="1" applyBorder="1" applyAlignment="1">
      <alignment horizontal="center"/>
    </xf>
    <xf numFmtId="43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right"/>
    </xf>
    <xf numFmtId="43" fontId="0" fillId="0" borderId="14" xfId="0" applyNumberFormat="1" applyBorder="1"/>
    <xf numFmtId="164" fontId="1" fillId="0" borderId="14" xfId="1" applyNumberFormat="1" applyFont="1" applyBorder="1" applyAlignment="1">
      <alignment horizontal="right"/>
    </xf>
    <xf numFmtId="164" fontId="0" fillId="0" borderId="14" xfId="1" applyNumberFormat="1" applyFont="1" applyBorder="1" applyAlignment="1">
      <alignment horizontal="right"/>
    </xf>
    <xf numFmtId="164" fontId="0" fillId="0" borderId="14" xfId="1" applyNumberFormat="1" applyFont="1" applyFill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43" fontId="11" fillId="0" borderId="14" xfId="0" applyNumberFormat="1" applyFont="1" applyBorder="1"/>
    <xf numFmtId="43" fontId="0" fillId="0" borderId="14" xfId="1" applyFont="1" applyBorder="1"/>
    <xf numFmtId="43" fontId="2" fillId="0" borderId="14" xfId="0" applyNumberFormat="1" applyFont="1" applyBorder="1"/>
    <xf numFmtId="43" fontId="2" fillId="0" borderId="13" xfId="1" applyFont="1" applyBorder="1"/>
    <xf numFmtId="43" fontId="2" fillId="0" borderId="10" xfId="1" applyFont="1" applyBorder="1"/>
    <xf numFmtId="43" fontId="2" fillId="0" borderId="10" xfId="0" applyNumberFormat="1" applyFont="1" applyBorder="1"/>
    <xf numFmtId="43" fontId="2" fillId="0" borderId="14" xfId="1" applyFont="1" applyBorder="1"/>
    <xf numFmtId="0" fontId="2" fillId="0" borderId="11" xfId="0" applyFont="1" applyBorder="1"/>
    <xf numFmtId="43" fontId="2" fillId="0" borderId="12" xfId="1" applyFont="1" applyBorder="1"/>
    <xf numFmtId="0" fontId="2" fillId="0" borderId="8" xfId="0" applyFont="1" applyBorder="1"/>
    <xf numFmtId="43" fontId="2" fillId="0" borderId="9" xfId="1" applyFont="1" applyBorder="1"/>
    <xf numFmtId="43" fontId="2" fillId="0" borderId="14" xfId="0" applyNumberFormat="1" applyFont="1" applyBorder="1" applyAlignment="1">
      <alignment horizontal="center"/>
    </xf>
    <xf numFmtId="0" fontId="2" fillId="0" borderId="14" xfId="0" applyFont="1" applyBorder="1"/>
    <xf numFmtId="0" fontId="0" fillId="0" borderId="0" xfId="0" applyAlignment="1"/>
    <xf numFmtId="0" fontId="7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5" borderId="14" xfId="0" applyFill="1" applyBorder="1"/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T35"/>
  <sheetViews>
    <sheetView zoomScale="50" zoomScaleNormal="50" workbookViewId="0">
      <selection activeCell="B1" sqref="B1"/>
    </sheetView>
  </sheetViews>
  <sheetFormatPr defaultRowHeight="14.5" x14ac:dyDescent="0.35"/>
  <cols>
    <col min="2" max="2" width="12.7265625" customWidth="1"/>
    <col min="3" max="3" width="31.36328125" customWidth="1"/>
    <col min="4" max="4" width="19.6328125" customWidth="1"/>
    <col min="5" max="5" width="16.08984375" customWidth="1"/>
    <col min="6" max="6" width="17.36328125" customWidth="1"/>
    <col min="7" max="7" width="19.90625" customWidth="1"/>
    <col min="8" max="8" width="14.6328125" bestFit="1" customWidth="1"/>
    <col min="9" max="9" width="13.6328125" bestFit="1" customWidth="1"/>
    <col min="10" max="11" width="13.54296875" bestFit="1" customWidth="1"/>
    <col min="12" max="12" width="16" bestFit="1" customWidth="1"/>
    <col min="13" max="14" width="13.54296875" bestFit="1" customWidth="1"/>
    <col min="15" max="15" width="14.36328125" bestFit="1" customWidth="1"/>
    <col min="16" max="16" width="19.26953125" bestFit="1" customWidth="1"/>
    <col min="17" max="18" width="13.6328125" bestFit="1" customWidth="1"/>
    <col min="19" max="19" width="14.36328125" bestFit="1" customWidth="1"/>
    <col min="20" max="20" width="15.36328125" bestFit="1" customWidth="1"/>
  </cols>
  <sheetData>
    <row r="4" spans="3:17" x14ac:dyDescent="0.35">
      <c r="C4" s="34" t="s">
        <v>0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3:17" x14ac:dyDescent="0.35">
      <c r="C5" s="1" t="s">
        <v>1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2</v>
      </c>
    </row>
    <row r="6" spans="3:17" ht="15" x14ac:dyDescent="0.35">
      <c r="C6" s="33" t="s">
        <v>3</v>
      </c>
      <c r="D6" s="2">
        <f>G20</f>
        <v>11160000</v>
      </c>
      <c r="E6" s="2">
        <f>G21</f>
        <v>10080000</v>
      </c>
      <c r="F6" s="2">
        <f>G22</f>
        <v>11160000</v>
      </c>
      <c r="G6" s="2">
        <f>G23</f>
        <v>10800000</v>
      </c>
      <c r="H6" s="2">
        <f>G24</f>
        <v>11160000</v>
      </c>
      <c r="I6" s="2">
        <f>G25</f>
        <v>10800000</v>
      </c>
      <c r="J6" s="2">
        <f>G26</f>
        <v>11160000</v>
      </c>
      <c r="K6" s="2">
        <f>G27</f>
        <v>11160000</v>
      </c>
      <c r="L6" s="2">
        <f>G28</f>
        <v>10800000</v>
      </c>
      <c r="M6" s="2">
        <f>G29</f>
        <v>11160000</v>
      </c>
      <c r="N6" s="2">
        <f>G30</f>
        <v>10800000</v>
      </c>
      <c r="O6" s="2">
        <f>G31</f>
        <v>11160000</v>
      </c>
      <c r="P6" s="7">
        <f>SUM(D6:O6)</f>
        <v>131400000</v>
      </c>
    </row>
    <row r="7" spans="3:17" ht="15" x14ac:dyDescent="0.35">
      <c r="C7" s="33" t="s">
        <v>4</v>
      </c>
      <c r="D7" s="2">
        <f>L26+O21+P24+(T31/2)+(L34/2)</f>
        <v>103420000</v>
      </c>
      <c r="E7" s="2">
        <f>L26</f>
        <v>800000</v>
      </c>
      <c r="F7" s="2">
        <f>E7</f>
        <v>800000</v>
      </c>
      <c r="G7" s="2">
        <f t="shared" ref="G7:O7" si="0">F7</f>
        <v>800000</v>
      </c>
      <c r="H7" s="2">
        <f t="shared" si="0"/>
        <v>800000</v>
      </c>
      <c r="I7" s="2">
        <f t="shared" si="0"/>
        <v>800000</v>
      </c>
      <c r="J7" s="2">
        <f t="shared" si="0"/>
        <v>800000</v>
      </c>
      <c r="K7" s="2">
        <f t="shared" si="0"/>
        <v>800000</v>
      </c>
      <c r="L7" s="2">
        <f t="shared" si="0"/>
        <v>800000</v>
      </c>
      <c r="M7" s="2">
        <f t="shared" si="0"/>
        <v>800000</v>
      </c>
      <c r="N7" s="2">
        <f t="shared" si="0"/>
        <v>800000</v>
      </c>
      <c r="O7" s="2">
        <f t="shared" si="0"/>
        <v>800000</v>
      </c>
      <c r="P7" s="7">
        <f t="shared" ref="P7:P10" si="1">SUM(D7:O7)</f>
        <v>112220000</v>
      </c>
    </row>
    <row r="8" spans="3:17" ht="15" x14ac:dyDescent="0.35">
      <c r="C8" s="33" t="s">
        <v>5</v>
      </c>
      <c r="D8" s="2">
        <f>D6-D7</f>
        <v>-92260000</v>
      </c>
      <c r="E8" s="2">
        <f>E6-E7</f>
        <v>9280000</v>
      </c>
      <c r="F8" s="2">
        <f t="shared" ref="F8:O8" si="2">F6-F7</f>
        <v>10360000</v>
      </c>
      <c r="G8" s="2">
        <f t="shared" si="2"/>
        <v>10000000</v>
      </c>
      <c r="H8" s="2">
        <f t="shared" si="2"/>
        <v>10360000</v>
      </c>
      <c r="I8" s="2">
        <f t="shared" si="2"/>
        <v>10000000</v>
      </c>
      <c r="J8" s="2">
        <f t="shared" si="2"/>
        <v>10360000</v>
      </c>
      <c r="K8" s="2">
        <f t="shared" si="2"/>
        <v>10360000</v>
      </c>
      <c r="L8" s="2">
        <f t="shared" si="2"/>
        <v>10000000</v>
      </c>
      <c r="M8" s="2">
        <f t="shared" si="2"/>
        <v>10360000</v>
      </c>
      <c r="N8" s="2">
        <f t="shared" si="2"/>
        <v>10000000</v>
      </c>
      <c r="O8" s="2">
        <f t="shared" si="2"/>
        <v>10360000</v>
      </c>
      <c r="P8" s="7">
        <f>SUM(D8:O8)</f>
        <v>19180000</v>
      </c>
    </row>
    <row r="9" spans="3:17" ht="15" x14ac:dyDescent="0.35">
      <c r="C9" s="33" t="s">
        <v>6</v>
      </c>
      <c r="D9" s="2">
        <f>(K28/12)+(T27/12)+O27+O32</f>
        <v>1408333.3333333333</v>
      </c>
      <c r="E9" s="2">
        <f>D9-O32</f>
        <v>408333.33333333326</v>
      </c>
      <c r="F9" s="2">
        <f t="shared" ref="F9:O9" si="3">E9</f>
        <v>408333.33333333326</v>
      </c>
      <c r="G9" s="2">
        <f t="shared" si="3"/>
        <v>408333.33333333326</v>
      </c>
      <c r="H9" s="2">
        <f t="shared" si="3"/>
        <v>408333.33333333326</v>
      </c>
      <c r="I9" s="2">
        <f t="shared" si="3"/>
        <v>408333.33333333326</v>
      </c>
      <c r="J9" s="2">
        <f t="shared" si="3"/>
        <v>408333.33333333326</v>
      </c>
      <c r="K9" s="2">
        <f t="shared" si="3"/>
        <v>408333.33333333326</v>
      </c>
      <c r="L9" s="2">
        <f t="shared" si="3"/>
        <v>408333.33333333326</v>
      </c>
      <c r="M9" s="2">
        <f t="shared" si="3"/>
        <v>408333.33333333326</v>
      </c>
      <c r="N9" s="2">
        <f t="shared" si="3"/>
        <v>408333.33333333326</v>
      </c>
      <c r="O9" s="2">
        <f t="shared" si="3"/>
        <v>408333.33333333326</v>
      </c>
      <c r="P9" s="7">
        <f t="shared" si="1"/>
        <v>5899999.9999999972</v>
      </c>
    </row>
    <row r="10" spans="3:17" ht="15" x14ac:dyDescent="0.35">
      <c r="C10" s="33" t="s">
        <v>7</v>
      </c>
      <c r="D10" s="2">
        <f t="shared" ref="D10:O10" si="4">D8-D9</f>
        <v>-93668333.333333328</v>
      </c>
      <c r="E10" s="2">
        <f t="shared" si="4"/>
        <v>8871666.666666666</v>
      </c>
      <c r="F10" s="2">
        <f t="shared" si="4"/>
        <v>9951666.666666666</v>
      </c>
      <c r="G10" s="2">
        <f t="shared" si="4"/>
        <v>9591666.666666666</v>
      </c>
      <c r="H10" s="2">
        <f t="shared" si="4"/>
        <v>9951666.666666666</v>
      </c>
      <c r="I10" s="2">
        <f t="shared" si="4"/>
        <v>9591666.666666666</v>
      </c>
      <c r="J10" s="2">
        <f t="shared" si="4"/>
        <v>9951666.666666666</v>
      </c>
      <c r="K10" s="2">
        <f t="shared" si="4"/>
        <v>9951666.666666666</v>
      </c>
      <c r="L10" s="2">
        <f t="shared" si="4"/>
        <v>9591666.666666666</v>
      </c>
      <c r="M10" s="2">
        <f t="shared" si="4"/>
        <v>9951666.666666666</v>
      </c>
      <c r="N10" s="2">
        <f t="shared" si="4"/>
        <v>9591666.666666666</v>
      </c>
      <c r="O10" s="2">
        <f t="shared" si="4"/>
        <v>9951666.666666666</v>
      </c>
      <c r="P10" s="7">
        <f t="shared" si="1"/>
        <v>13280000</v>
      </c>
    </row>
    <row r="11" spans="3:17" ht="15" x14ac:dyDescent="0.35">
      <c r="C11" s="33" t="s">
        <v>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7">
        <f>SUM(E11:O11)</f>
        <v>0</v>
      </c>
      <c r="Q11" s="4"/>
    </row>
    <row r="12" spans="3:17" ht="15" x14ac:dyDescent="0.35">
      <c r="C12" s="33" t="s">
        <v>9</v>
      </c>
      <c r="D12" s="2">
        <f>D10-D11</f>
        <v>-93668333.333333328</v>
      </c>
      <c r="E12" s="2">
        <f>E10-E11</f>
        <v>8871666.666666666</v>
      </c>
      <c r="F12" s="2">
        <f t="shared" ref="F12:O12" si="5">F10-F11</f>
        <v>9951666.666666666</v>
      </c>
      <c r="G12" s="2">
        <f t="shared" si="5"/>
        <v>9591666.666666666</v>
      </c>
      <c r="H12" s="2">
        <f t="shared" si="5"/>
        <v>9951666.666666666</v>
      </c>
      <c r="I12" s="2">
        <f t="shared" si="5"/>
        <v>9591666.666666666</v>
      </c>
      <c r="J12" s="2">
        <f t="shared" si="5"/>
        <v>9951666.666666666</v>
      </c>
      <c r="K12" s="2">
        <f t="shared" si="5"/>
        <v>9951666.666666666</v>
      </c>
      <c r="L12" s="2">
        <f t="shared" si="5"/>
        <v>9591666.666666666</v>
      </c>
      <c r="M12" s="2">
        <f t="shared" si="5"/>
        <v>9951666.666666666</v>
      </c>
      <c r="N12" s="2">
        <f t="shared" si="5"/>
        <v>9591666.666666666</v>
      </c>
      <c r="O12" s="2">
        <f t="shared" si="5"/>
        <v>9951666.666666666</v>
      </c>
      <c r="P12" s="7">
        <f>SUM(D12:O12)</f>
        <v>13280000</v>
      </c>
    </row>
    <row r="13" spans="3:17" x14ac:dyDescent="0.35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8"/>
    </row>
    <row r="17" spans="2:20" x14ac:dyDescent="0.35">
      <c r="C17" s="5"/>
      <c r="H17" t="s">
        <v>33</v>
      </c>
      <c r="I17">
        <v>1600</v>
      </c>
    </row>
    <row r="18" spans="2:20" ht="18.5" x14ac:dyDescent="0.45">
      <c r="B18" s="44" t="s">
        <v>54</v>
      </c>
      <c r="C18" s="44"/>
      <c r="D18" s="44"/>
      <c r="E18" s="44"/>
      <c r="F18" s="44"/>
      <c r="G18" s="44"/>
    </row>
    <row r="19" spans="2:20" ht="27" customHeight="1" x14ac:dyDescent="0.35">
      <c r="B19" s="8" t="s">
        <v>53</v>
      </c>
      <c r="C19" s="8" t="s">
        <v>40</v>
      </c>
      <c r="D19" s="8" t="s">
        <v>36</v>
      </c>
      <c r="E19" s="8" t="s">
        <v>37</v>
      </c>
      <c r="F19" s="9" t="s">
        <v>38</v>
      </c>
      <c r="G19" s="8" t="s">
        <v>39</v>
      </c>
    </row>
    <row r="20" spans="2:20" x14ac:dyDescent="0.35">
      <c r="B20" s="31" t="s">
        <v>41</v>
      </c>
      <c r="C20" s="10">
        <v>60</v>
      </c>
      <c r="D20" s="11">
        <v>6000</v>
      </c>
      <c r="E20" s="12">
        <f>C20*D20</f>
        <v>360000</v>
      </c>
      <c r="F20" s="13">
        <v>31</v>
      </c>
      <c r="G20" s="30">
        <f>E20*F20</f>
        <v>11160000</v>
      </c>
      <c r="H20" s="3"/>
      <c r="I20" s="39" t="s">
        <v>12</v>
      </c>
      <c r="J20" s="39"/>
      <c r="K20" s="39"/>
      <c r="L20" s="39"/>
      <c r="N20" s="39" t="s">
        <v>13</v>
      </c>
      <c r="O20" s="39"/>
    </row>
    <row r="21" spans="2:20" x14ac:dyDescent="0.35">
      <c r="B21" s="31" t="s">
        <v>42</v>
      </c>
      <c r="C21" s="10">
        <f>C20</f>
        <v>60</v>
      </c>
      <c r="D21" s="14">
        <f>D20</f>
        <v>6000</v>
      </c>
      <c r="E21" s="12">
        <f t="shared" ref="E21:E31" si="6">C21*D21</f>
        <v>360000</v>
      </c>
      <c r="F21" s="15">
        <v>28</v>
      </c>
      <c r="G21" s="30">
        <f t="shared" ref="G21:G31" si="7">E21*F21</f>
        <v>10080000</v>
      </c>
      <c r="H21" s="3"/>
      <c r="I21" s="10" t="s">
        <v>60</v>
      </c>
      <c r="J21" s="10">
        <v>1</v>
      </c>
      <c r="K21" s="20">
        <v>120000</v>
      </c>
      <c r="L21" s="14">
        <f t="shared" ref="L21:L25" si="8">J21*K21</f>
        <v>120000</v>
      </c>
      <c r="N21" s="10" t="s">
        <v>14</v>
      </c>
      <c r="O21" s="25">
        <v>6000000</v>
      </c>
    </row>
    <row r="22" spans="2:20" x14ac:dyDescent="0.35">
      <c r="B22" s="31" t="s">
        <v>43</v>
      </c>
      <c r="C22" s="10">
        <f t="shared" ref="C22:C31" si="9">C21</f>
        <v>60</v>
      </c>
      <c r="D22" s="14">
        <f t="shared" ref="D22:D31" si="10">D21</f>
        <v>6000</v>
      </c>
      <c r="E22" s="12">
        <f t="shared" si="6"/>
        <v>360000</v>
      </c>
      <c r="F22" s="16">
        <v>31</v>
      </c>
      <c r="G22" s="30">
        <f t="shared" si="7"/>
        <v>11160000</v>
      </c>
      <c r="H22" s="3"/>
      <c r="I22" s="10" t="s">
        <v>61</v>
      </c>
      <c r="J22" s="10">
        <v>1</v>
      </c>
      <c r="K22" s="20">
        <v>100000</v>
      </c>
      <c r="L22" s="14">
        <f t="shared" si="8"/>
        <v>100000</v>
      </c>
    </row>
    <row r="23" spans="2:20" x14ac:dyDescent="0.35">
      <c r="B23" s="31" t="s">
        <v>44</v>
      </c>
      <c r="C23" s="10">
        <f t="shared" si="9"/>
        <v>60</v>
      </c>
      <c r="D23" s="14">
        <f t="shared" si="10"/>
        <v>6000</v>
      </c>
      <c r="E23" s="12">
        <f t="shared" si="6"/>
        <v>360000</v>
      </c>
      <c r="F23" s="16">
        <f>F25</f>
        <v>30</v>
      </c>
      <c r="G23" s="30">
        <f t="shared" si="7"/>
        <v>10800000</v>
      </c>
      <c r="I23" s="10" t="s">
        <v>10</v>
      </c>
      <c r="J23" s="10">
        <v>1</v>
      </c>
      <c r="K23" s="20">
        <v>120000</v>
      </c>
      <c r="L23" s="14">
        <f t="shared" si="8"/>
        <v>120000</v>
      </c>
      <c r="N23" s="40" t="s">
        <v>16</v>
      </c>
      <c r="O23" s="41"/>
      <c r="P23" s="42"/>
    </row>
    <row r="24" spans="2:20" x14ac:dyDescent="0.35">
      <c r="B24" s="31" t="s">
        <v>45</v>
      </c>
      <c r="C24" s="10">
        <f t="shared" si="9"/>
        <v>60</v>
      </c>
      <c r="D24" s="14">
        <f t="shared" si="10"/>
        <v>6000</v>
      </c>
      <c r="E24" s="12">
        <f t="shared" si="6"/>
        <v>360000</v>
      </c>
      <c r="F24" s="17">
        <v>31</v>
      </c>
      <c r="G24" s="30">
        <f t="shared" si="7"/>
        <v>11160000</v>
      </c>
      <c r="I24" s="10" t="s">
        <v>62</v>
      </c>
      <c r="J24" s="10">
        <f>J32</f>
        <v>8</v>
      </c>
      <c r="K24" s="20">
        <v>35000</v>
      </c>
      <c r="L24" s="14">
        <f t="shared" si="8"/>
        <v>280000</v>
      </c>
      <c r="N24" s="26">
        <f>R27</f>
        <v>60</v>
      </c>
      <c r="O24" s="27">
        <v>7000</v>
      </c>
      <c r="P24" s="22">
        <f>O24*N24</f>
        <v>420000</v>
      </c>
    </row>
    <row r="25" spans="2:20" x14ac:dyDescent="0.35">
      <c r="B25" s="31" t="s">
        <v>46</v>
      </c>
      <c r="C25" s="10">
        <f t="shared" si="9"/>
        <v>60</v>
      </c>
      <c r="D25" s="14">
        <f t="shared" si="10"/>
        <v>6000</v>
      </c>
      <c r="E25" s="12">
        <f t="shared" si="6"/>
        <v>360000</v>
      </c>
      <c r="F25" s="13">
        <v>30</v>
      </c>
      <c r="G25" s="30">
        <f t="shared" si="7"/>
        <v>10800000</v>
      </c>
      <c r="I25" s="10" t="s">
        <v>11</v>
      </c>
      <c r="J25" s="10">
        <v>1</v>
      </c>
      <c r="K25" s="20">
        <v>180000</v>
      </c>
      <c r="L25" s="14">
        <f t="shared" si="8"/>
        <v>180000</v>
      </c>
    </row>
    <row r="26" spans="2:20" x14ac:dyDescent="0.35">
      <c r="B26" s="31" t="s">
        <v>47</v>
      </c>
      <c r="C26" s="10">
        <f t="shared" si="9"/>
        <v>60</v>
      </c>
      <c r="D26" s="14">
        <f t="shared" si="10"/>
        <v>6000</v>
      </c>
      <c r="E26" s="12">
        <f t="shared" si="6"/>
        <v>360000</v>
      </c>
      <c r="F26" s="17">
        <v>31</v>
      </c>
      <c r="G26" s="30">
        <f t="shared" si="7"/>
        <v>11160000</v>
      </c>
      <c r="I26" s="46" t="s">
        <v>56</v>
      </c>
      <c r="J26" s="47"/>
      <c r="K26" s="48"/>
      <c r="L26" s="21">
        <f>SUM(L21:L25)</f>
        <v>800000</v>
      </c>
      <c r="N26" s="40" t="s">
        <v>30</v>
      </c>
      <c r="O26" s="41"/>
      <c r="P26" s="42"/>
      <c r="R26" s="40" t="s">
        <v>15</v>
      </c>
      <c r="S26" s="41"/>
      <c r="T26" s="42"/>
    </row>
    <row r="27" spans="2:20" x14ac:dyDescent="0.35">
      <c r="B27" s="31" t="s">
        <v>48</v>
      </c>
      <c r="C27" s="10">
        <f t="shared" si="9"/>
        <v>60</v>
      </c>
      <c r="D27" s="14">
        <f t="shared" si="10"/>
        <v>6000</v>
      </c>
      <c r="E27" s="12">
        <f t="shared" si="6"/>
        <v>360000</v>
      </c>
      <c r="F27" s="17">
        <v>31</v>
      </c>
      <c r="G27" s="30">
        <f t="shared" si="7"/>
        <v>11160000</v>
      </c>
      <c r="N27" s="28">
        <v>12</v>
      </c>
      <c r="O27" s="29">
        <v>25000</v>
      </c>
      <c r="P27" s="23">
        <f>N27*O27</f>
        <v>300000</v>
      </c>
      <c r="R27" s="28">
        <f>C20</f>
        <v>60</v>
      </c>
      <c r="S27" s="29">
        <v>60000</v>
      </c>
      <c r="T27" s="24">
        <f>R27*S27</f>
        <v>3600000</v>
      </c>
    </row>
    <row r="28" spans="2:20" x14ac:dyDescent="0.35">
      <c r="B28" s="31" t="s">
        <v>49</v>
      </c>
      <c r="C28" s="10">
        <f t="shared" si="9"/>
        <v>60</v>
      </c>
      <c r="D28" s="14">
        <f t="shared" si="10"/>
        <v>6000</v>
      </c>
      <c r="E28" s="12">
        <f t="shared" si="6"/>
        <v>360000</v>
      </c>
      <c r="F28" s="13">
        <v>30</v>
      </c>
      <c r="G28" s="30">
        <f t="shared" si="7"/>
        <v>10800000</v>
      </c>
      <c r="J28" t="s">
        <v>17</v>
      </c>
      <c r="K28" s="6">
        <v>1000000</v>
      </c>
    </row>
    <row r="29" spans="2:20" x14ac:dyDescent="0.35">
      <c r="B29" s="31" t="s">
        <v>50</v>
      </c>
      <c r="C29" s="10">
        <f t="shared" si="9"/>
        <v>60</v>
      </c>
      <c r="D29" s="14">
        <f t="shared" si="10"/>
        <v>6000</v>
      </c>
      <c r="E29" s="12">
        <f t="shared" si="6"/>
        <v>360000</v>
      </c>
      <c r="F29" s="18">
        <v>31</v>
      </c>
      <c r="G29" s="30">
        <f t="shared" si="7"/>
        <v>11160000</v>
      </c>
    </row>
    <row r="30" spans="2:20" x14ac:dyDescent="0.35">
      <c r="B30" s="31" t="s">
        <v>51</v>
      </c>
      <c r="C30" s="10">
        <f t="shared" si="9"/>
        <v>60</v>
      </c>
      <c r="D30" s="14">
        <f t="shared" si="10"/>
        <v>6000</v>
      </c>
      <c r="E30" s="12">
        <f t="shared" si="6"/>
        <v>360000</v>
      </c>
      <c r="F30" s="13">
        <v>30</v>
      </c>
      <c r="G30" s="30">
        <f t="shared" si="7"/>
        <v>10800000</v>
      </c>
      <c r="R30" s="40" t="s">
        <v>31</v>
      </c>
      <c r="S30" s="41"/>
      <c r="T30" s="42"/>
    </row>
    <row r="31" spans="2:20" x14ac:dyDescent="0.35">
      <c r="B31" s="31" t="s">
        <v>52</v>
      </c>
      <c r="C31" s="10">
        <f t="shared" si="9"/>
        <v>60</v>
      </c>
      <c r="D31" s="14">
        <f t="shared" si="10"/>
        <v>6000</v>
      </c>
      <c r="E31" s="12">
        <f t="shared" si="6"/>
        <v>360000</v>
      </c>
      <c r="F31" s="18">
        <v>31</v>
      </c>
      <c r="G31" s="30">
        <f t="shared" si="7"/>
        <v>11160000</v>
      </c>
      <c r="I31" s="39" t="s">
        <v>34</v>
      </c>
      <c r="J31" s="39"/>
      <c r="K31" s="39"/>
      <c r="L31" s="39"/>
      <c r="N31" s="43" t="s">
        <v>58</v>
      </c>
      <c r="O31" s="43"/>
      <c r="P31" s="32"/>
      <c r="R31" s="28">
        <f>R27</f>
        <v>60</v>
      </c>
      <c r="S31" s="29">
        <v>1300000</v>
      </c>
      <c r="T31" s="24">
        <f>R31*S31</f>
        <v>78000000</v>
      </c>
    </row>
    <row r="32" spans="2:20" ht="21.5" x14ac:dyDescent="0.75">
      <c r="B32" s="45" t="s">
        <v>55</v>
      </c>
      <c r="C32" s="45"/>
      <c r="D32" s="45"/>
      <c r="E32" s="45"/>
      <c r="F32" s="45"/>
      <c r="G32" s="19">
        <f>SUM(G20:G31)</f>
        <v>131400000</v>
      </c>
      <c r="I32" s="10" t="s">
        <v>32</v>
      </c>
      <c r="J32" s="10">
        <v>8</v>
      </c>
      <c r="K32" s="20">
        <f>3500*I17</f>
        <v>5600000</v>
      </c>
      <c r="L32" s="20">
        <f>J32*K32</f>
        <v>44800000</v>
      </c>
      <c r="N32" s="10" t="s">
        <v>59</v>
      </c>
      <c r="O32" s="25">
        <v>1000000</v>
      </c>
    </row>
    <row r="33" spans="6:13" x14ac:dyDescent="0.35">
      <c r="I33" s="10" t="s">
        <v>35</v>
      </c>
      <c r="J33" s="10">
        <v>174</v>
      </c>
      <c r="K33" s="20">
        <f>250*I17</f>
        <v>400000</v>
      </c>
      <c r="L33" s="20">
        <f>J33*K33</f>
        <v>69600000</v>
      </c>
    </row>
    <row r="34" spans="6:13" x14ac:dyDescent="0.35">
      <c r="I34" s="39" t="s">
        <v>57</v>
      </c>
      <c r="J34" s="39"/>
      <c r="K34" s="39"/>
      <c r="L34" s="21">
        <f>SUM(L32:L33)</f>
        <v>114400000</v>
      </c>
    </row>
    <row r="35" spans="6:13" x14ac:dyDescent="0.35">
      <c r="F35">
        <f>SUM(F20:F31)</f>
        <v>365</v>
      </c>
      <c r="M35" s="4">
        <f>L34/3</f>
        <v>38133333.333333336</v>
      </c>
    </row>
  </sheetData>
  <mergeCells count="14">
    <mergeCell ref="R26:T26"/>
    <mergeCell ref="N26:P26"/>
    <mergeCell ref="R30:T30"/>
    <mergeCell ref="N31:O31"/>
    <mergeCell ref="I31:L31"/>
    <mergeCell ref="I26:K26"/>
    <mergeCell ref="C4:P4"/>
    <mergeCell ref="C13:P13"/>
    <mergeCell ref="I20:L20"/>
    <mergeCell ref="N20:O20"/>
    <mergeCell ref="I34:K34"/>
    <mergeCell ref="N23:P23"/>
    <mergeCell ref="B18:G18"/>
    <mergeCell ref="B32:F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T35"/>
  <sheetViews>
    <sheetView topLeftCell="C6" zoomScale="70" zoomScaleNormal="70" workbookViewId="0">
      <selection activeCell="J33" sqref="J33"/>
    </sheetView>
  </sheetViews>
  <sheetFormatPr defaultRowHeight="14.5" x14ac:dyDescent="0.35"/>
  <cols>
    <col min="2" max="2" width="12.7265625" customWidth="1"/>
    <col min="3" max="3" width="31.36328125" customWidth="1"/>
    <col min="4" max="4" width="19.6328125" customWidth="1"/>
    <col min="5" max="5" width="16.08984375" customWidth="1"/>
    <col min="6" max="6" width="17.36328125" customWidth="1"/>
    <col min="7" max="7" width="19.90625" customWidth="1"/>
    <col min="8" max="8" width="14.6328125" bestFit="1" customWidth="1"/>
    <col min="9" max="9" width="13.6328125" bestFit="1" customWidth="1"/>
    <col min="10" max="11" width="13.54296875" bestFit="1" customWidth="1"/>
    <col min="12" max="12" width="16" bestFit="1" customWidth="1"/>
    <col min="13" max="14" width="13.54296875" bestFit="1" customWidth="1"/>
    <col min="15" max="15" width="14.36328125" bestFit="1" customWidth="1"/>
    <col min="16" max="16" width="19.26953125" bestFit="1" customWidth="1"/>
    <col min="17" max="18" width="13.6328125" bestFit="1" customWidth="1"/>
    <col min="19" max="19" width="14.36328125" bestFit="1" customWidth="1"/>
    <col min="20" max="20" width="15.36328125" bestFit="1" customWidth="1"/>
  </cols>
  <sheetData>
    <row r="4" spans="3:17" x14ac:dyDescent="0.35">
      <c r="C4" s="34" t="s">
        <v>0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3:17" x14ac:dyDescent="0.35">
      <c r="C5" s="1" t="s">
        <v>1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2</v>
      </c>
    </row>
    <row r="6" spans="3:17" ht="15" x14ac:dyDescent="0.35">
      <c r="C6" s="33" t="s">
        <v>3</v>
      </c>
      <c r="D6" s="2">
        <f>G20</f>
        <v>7440000</v>
      </c>
      <c r="E6" s="2">
        <f>G21</f>
        <v>6720000</v>
      </c>
      <c r="F6" s="2">
        <f>G22</f>
        <v>7440000</v>
      </c>
      <c r="G6" s="2">
        <f>G23</f>
        <v>7200000</v>
      </c>
      <c r="H6" s="2">
        <f>G24</f>
        <v>7440000</v>
      </c>
      <c r="I6" s="2">
        <f>G25</f>
        <v>7200000</v>
      </c>
      <c r="J6" s="2">
        <f>G26</f>
        <v>7440000</v>
      </c>
      <c r="K6" s="2">
        <f>G27</f>
        <v>7440000</v>
      </c>
      <c r="L6" s="2">
        <f>G28</f>
        <v>7200000</v>
      </c>
      <c r="M6" s="2">
        <f>G29</f>
        <v>7440000</v>
      </c>
      <c r="N6" s="2">
        <f>G30</f>
        <v>7200000</v>
      </c>
      <c r="O6" s="2">
        <f>G31</f>
        <v>7440000</v>
      </c>
      <c r="P6" s="7">
        <f>SUM(D6:O6)</f>
        <v>87600000</v>
      </c>
    </row>
    <row r="7" spans="3:17" ht="15" x14ac:dyDescent="0.35">
      <c r="C7" s="33" t="s">
        <v>4</v>
      </c>
      <c r="D7" s="2">
        <f>L26+O21+P24+(T31/2)+(L34/2)</f>
        <v>78680000</v>
      </c>
      <c r="E7" s="2">
        <f>L26</f>
        <v>800000</v>
      </c>
      <c r="F7" s="2">
        <f>E7</f>
        <v>800000</v>
      </c>
      <c r="G7" s="2">
        <f t="shared" ref="G7:O7" si="0">F7</f>
        <v>800000</v>
      </c>
      <c r="H7" s="2">
        <f t="shared" si="0"/>
        <v>800000</v>
      </c>
      <c r="I7" s="2">
        <f t="shared" si="0"/>
        <v>800000</v>
      </c>
      <c r="J7" s="2">
        <f t="shared" si="0"/>
        <v>800000</v>
      </c>
      <c r="K7" s="2">
        <f t="shared" si="0"/>
        <v>800000</v>
      </c>
      <c r="L7" s="2">
        <f t="shared" si="0"/>
        <v>800000</v>
      </c>
      <c r="M7" s="2">
        <f t="shared" si="0"/>
        <v>800000</v>
      </c>
      <c r="N7" s="2">
        <f t="shared" si="0"/>
        <v>800000</v>
      </c>
      <c r="O7" s="2">
        <f t="shared" si="0"/>
        <v>800000</v>
      </c>
      <c r="P7" s="7">
        <f t="shared" ref="P7:P10" si="1">SUM(D7:O7)</f>
        <v>87480000</v>
      </c>
    </row>
    <row r="8" spans="3:17" ht="15" x14ac:dyDescent="0.35">
      <c r="C8" s="33" t="s">
        <v>5</v>
      </c>
      <c r="D8" s="2">
        <f>D6-D7</f>
        <v>-71240000</v>
      </c>
      <c r="E8" s="2">
        <f>E6-E7</f>
        <v>5920000</v>
      </c>
      <c r="F8" s="2">
        <f t="shared" ref="F8:O8" si="2">F6-F7</f>
        <v>6640000</v>
      </c>
      <c r="G8" s="2">
        <f t="shared" si="2"/>
        <v>6400000</v>
      </c>
      <c r="H8" s="2">
        <f t="shared" si="2"/>
        <v>6640000</v>
      </c>
      <c r="I8" s="2">
        <f t="shared" si="2"/>
        <v>6400000</v>
      </c>
      <c r="J8" s="2">
        <f t="shared" si="2"/>
        <v>6640000</v>
      </c>
      <c r="K8" s="2">
        <f t="shared" si="2"/>
        <v>6640000</v>
      </c>
      <c r="L8" s="2">
        <f t="shared" si="2"/>
        <v>6400000</v>
      </c>
      <c r="M8" s="2">
        <f t="shared" si="2"/>
        <v>6640000</v>
      </c>
      <c r="N8" s="2">
        <f t="shared" si="2"/>
        <v>6400000</v>
      </c>
      <c r="O8" s="2">
        <f t="shared" si="2"/>
        <v>6640000</v>
      </c>
      <c r="P8" s="7">
        <f>SUM(D8:O8)</f>
        <v>120000</v>
      </c>
    </row>
    <row r="9" spans="3:17" ht="15" x14ac:dyDescent="0.35">
      <c r="C9" s="33" t="s">
        <v>6</v>
      </c>
      <c r="D9" s="2">
        <f>(K28/12)+(T27/12)+O27+O32</f>
        <v>1308333.3333333333</v>
      </c>
      <c r="E9" s="2">
        <f>D9-O32</f>
        <v>308333.33333333326</v>
      </c>
      <c r="F9" s="2">
        <f t="shared" ref="F9:O9" si="3">E9</f>
        <v>308333.33333333326</v>
      </c>
      <c r="G9" s="2">
        <f t="shared" si="3"/>
        <v>308333.33333333326</v>
      </c>
      <c r="H9" s="2">
        <f t="shared" si="3"/>
        <v>308333.33333333326</v>
      </c>
      <c r="I9" s="2">
        <f t="shared" si="3"/>
        <v>308333.33333333326</v>
      </c>
      <c r="J9" s="2">
        <f t="shared" si="3"/>
        <v>308333.33333333326</v>
      </c>
      <c r="K9" s="2">
        <f t="shared" si="3"/>
        <v>308333.33333333326</v>
      </c>
      <c r="L9" s="2">
        <f t="shared" si="3"/>
        <v>308333.33333333326</v>
      </c>
      <c r="M9" s="2">
        <f t="shared" si="3"/>
        <v>308333.33333333326</v>
      </c>
      <c r="N9" s="2">
        <f t="shared" si="3"/>
        <v>308333.33333333326</v>
      </c>
      <c r="O9" s="2">
        <f t="shared" si="3"/>
        <v>308333.33333333326</v>
      </c>
      <c r="P9" s="7">
        <f t="shared" si="1"/>
        <v>4699999.9999999972</v>
      </c>
    </row>
    <row r="10" spans="3:17" ht="15" x14ac:dyDescent="0.35">
      <c r="C10" s="33" t="s">
        <v>7</v>
      </c>
      <c r="D10" s="2">
        <f>D8-D9</f>
        <v>-72548333.333333328</v>
      </c>
      <c r="E10" s="2">
        <f t="shared" ref="E10:O10" si="4">E8-E9</f>
        <v>5611666.666666667</v>
      </c>
      <c r="F10" s="2">
        <f t="shared" si="4"/>
        <v>6331666.666666667</v>
      </c>
      <c r="G10" s="2">
        <f t="shared" si="4"/>
        <v>6091666.666666667</v>
      </c>
      <c r="H10" s="2">
        <f t="shared" si="4"/>
        <v>6331666.666666667</v>
      </c>
      <c r="I10" s="2">
        <f t="shared" si="4"/>
        <v>6091666.666666667</v>
      </c>
      <c r="J10" s="2">
        <f t="shared" si="4"/>
        <v>6331666.666666667</v>
      </c>
      <c r="K10" s="2">
        <f t="shared" si="4"/>
        <v>6331666.666666667</v>
      </c>
      <c r="L10" s="2">
        <f t="shared" si="4"/>
        <v>6091666.666666667</v>
      </c>
      <c r="M10" s="2">
        <f t="shared" si="4"/>
        <v>6331666.666666667</v>
      </c>
      <c r="N10" s="2">
        <f t="shared" si="4"/>
        <v>6091666.666666667</v>
      </c>
      <c r="O10" s="2">
        <f t="shared" si="4"/>
        <v>6331666.666666667</v>
      </c>
      <c r="P10" s="7">
        <f t="shared" si="1"/>
        <v>-4580000.0000000047</v>
      </c>
    </row>
    <row r="11" spans="3:17" ht="15" x14ac:dyDescent="0.35">
      <c r="C11" s="33" t="s">
        <v>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7">
        <f>SUM(E11:O11)</f>
        <v>0</v>
      </c>
      <c r="Q11" s="4"/>
    </row>
    <row r="12" spans="3:17" ht="15" x14ac:dyDescent="0.35">
      <c r="C12" s="33" t="s">
        <v>9</v>
      </c>
      <c r="D12" s="2">
        <f>D10-D11</f>
        <v>-72548333.333333328</v>
      </c>
      <c r="E12" s="2">
        <f>E10-E11</f>
        <v>5611666.666666667</v>
      </c>
      <c r="F12" s="2">
        <f t="shared" ref="F12:O12" si="5">F10-F11</f>
        <v>6331666.666666667</v>
      </c>
      <c r="G12" s="2">
        <f t="shared" si="5"/>
        <v>6091666.666666667</v>
      </c>
      <c r="H12" s="2">
        <f t="shared" si="5"/>
        <v>6331666.666666667</v>
      </c>
      <c r="I12" s="2">
        <f t="shared" si="5"/>
        <v>6091666.666666667</v>
      </c>
      <c r="J12" s="2">
        <f t="shared" si="5"/>
        <v>6331666.666666667</v>
      </c>
      <c r="K12" s="2">
        <f t="shared" si="5"/>
        <v>6331666.666666667</v>
      </c>
      <c r="L12" s="2">
        <f t="shared" si="5"/>
        <v>6091666.666666667</v>
      </c>
      <c r="M12" s="2">
        <f t="shared" si="5"/>
        <v>6331666.666666667</v>
      </c>
      <c r="N12" s="2">
        <f t="shared" si="5"/>
        <v>6091666.666666667</v>
      </c>
      <c r="O12" s="2">
        <f t="shared" si="5"/>
        <v>6331666.666666667</v>
      </c>
      <c r="P12" s="7">
        <f>SUM(D12:O12)</f>
        <v>-4580000.0000000047</v>
      </c>
    </row>
    <row r="13" spans="3:17" x14ac:dyDescent="0.35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8"/>
    </row>
    <row r="17" spans="2:20" x14ac:dyDescent="0.35">
      <c r="C17" s="5"/>
      <c r="H17" t="s">
        <v>33</v>
      </c>
      <c r="I17">
        <v>1600</v>
      </c>
    </row>
    <row r="18" spans="2:20" ht="18.5" x14ac:dyDescent="0.45">
      <c r="B18" s="44" t="s">
        <v>54</v>
      </c>
      <c r="C18" s="44"/>
      <c r="D18" s="44"/>
      <c r="E18" s="44"/>
      <c r="F18" s="44"/>
      <c r="G18" s="44"/>
    </row>
    <row r="19" spans="2:20" ht="27" customHeight="1" x14ac:dyDescent="0.35">
      <c r="B19" s="8" t="s">
        <v>53</v>
      </c>
      <c r="C19" s="8" t="s">
        <v>40</v>
      </c>
      <c r="D19" s="8" t="s">
        <v>36</v>
      </c>
      <c r="E19" s="8" t="s">
        <v>37</v>
      </c>
      <c r="F19" s="9" t="s">
        <v>38</v>
      </c>
      <c r="G19" s="8" t="s">
        <v>39</v>
      </c>
    </row>
    <row r="20" spans="2:20" x14ac:dyDescent="0.35">
      <c r="B20" s="31" t="s">
        <v>41</v>
      </c>
      <c r="C20" s="10">
        <v>40</v>
      </c>
      <c r="D20" s="11">
        <v>6000</v>
      </c>
      <c r="E20" s="12">
        <f>C20*D20</f>
        <v>240000</v>
      </c>
      <c r="F20" s="13">
        <v>31</v>
      </c>
      <c r="G20" s="30">
        <f>E20*F20</f>
        <v>7440000</v>
      </c>
      <c r="H20" s="3"/>
      <c r="I20" s="39" t="s">
        <v>12</v>
      </c>
      <c r="J20" s="39"/>
      <c r="K20" s="39"/>
      <c r="L20" s="39"/>
      <c r="N20" s="39" t="s">
        <v>13</v>
      </c>
      <c r="O20" s="39"/>
    </row>
    <row r="21" spans="2:20" x14ac:dyDescent="0.35">
      <c r="B21" s="31" t="s">
        <v>42</v>
      </c>
      <c r="C21" s="10">
        <f>C20</f>
        <v>40</v>
      </c>
      <c r="D21" s="14">
        <f>D20</f>
        <v>6000</v>
      </c>
      <c r="E21" s="12">
        <f t="shared" ref="E21:E31" si="6">C21*D21</f>
        <v>240000</v>
      </c>
      <c r="F21" s="15">
        <v>28</v>
      </c>
      <c r="G21" s="30">
        <f t="shared" ref="G21:G31" si="7">E21*F21</f>
        <v>6720000</v>
      </c>
      <c r="H21" s="3"/>
      <c r="I21" s="10" t="s">
        <v>60</v>
      </c>
      <c r="J21" s="10">
        <v>1</v>
      </c>
      <c r="K21" s="20">
        <v>120000</v>
      </c>
      <c r="L21" s="14">
        <f t="shared" ref="L21:L25" si="8">J21*K21</f>
        <v>120000</v>
      </c>
      <c r="N21" s="10" t="s">
        <v>14</v>
      </c>
      <c r="O21" s="25">
        <v>6000000</v>
      </c>
    </row>
    <row r="22" spans="2:20" x14ac:dyDescent="0.35">
      <c r="B22" s="31" t="s">
        <v>43</v>
      </c>
      <c r="C22" s="10">
        <f t="shared" ref="C22:D31" si="9">C21</f>
        <v>40</v>
      </c>
      <c r="D22" s="14">
        <f t="shared" si="9"/>
        <v>6000</v>
      </c>
      <c r="E22" s="12">
        <f t="shared" si="6"/>
        <v>240000</v>
      </c>
      <c r="F22" s="16">
        <v>31</v>
      </c>
      <c r="G22" s="30">
        <f t="shared" si="7"/>
        <v>7440000</v>
      </c>
      <c r="H22" s="3"/>
      <c r="I22" s="10" t="s">
        <v>61</v>
      </c>
      <c r="J22" s="10">
        <v>1</v>
      </c>
      <c r="K22" s="20">
        <v>100000</v>
      </c>
      <c r="L22" s="14">
        <f t="shared" si="8"/>
        <v>100000</v>
      </c>
    </row>
    <row r="23" spans="2:20" x14ac:dyDescent="0.35">
      <c r="B23" s="31" t="s">
        <v>44</v>
      </c>
      <c r="C23" s="10">
        <f t="shared" si="9"/>
        <v>40</v>
      </c>
      <c r="D23" s="14">
        <f t="shared" si="9"/>
        <v>6000</v>
      </c>
      <c r="E23" s="12">
        <f t="shared" si="6"/>
        <v>240000</v>
      </c>
      <c r="F23" s="16">
        <f>F25</f>
        <v>30</v>
      </c>
      <c r="G23" s="30">
        <f t="shared" si="7"/>
        <v>7200000</v>
      </c>
      <c r="I23" s="10" t="s">
        <v>10</v>
      </c>
      <c r="J23" s="10">
        <v>1</v>
      </c>
      <c r="K23" s="20">
        <v>120000</v>
      </c>
      <c r="L23" s="14">
        <f t="shared" si="8"/>
        <v>120000</v>
      </c>
      <c r="N23" s="40" t="s">
        <v>16</v>
      </c>
      <c r="O23" s="41"/>
      <c r="P23" s="42"/>
    </row>
    <row r="24" spans="2:20" x14ac:dyDescent="0.35">
      <c r="B24" s="31" t="s">
        <v>45</v>
      </c>
      <c r="C24" s="10">
        <f t="shared" si="9"/>
        <v>40</v>
      </c>
      <c r="D24" s="14">
        <f t="shared" si="9"/>
        <v>6000</v>
      </c>
      <c r="E24" s="12">
        <f t="shared" si="6"/>
        <v>240000</v>
      </c>
      <c r="F24" s="17">
        <v>31</v>
      </c>
      <c r="G24" s="30">
        <f t="shared" si="7"/>
        <v>7440000</v>
      </c>
      <c r="I24" s="10" t="s">
        <v>62</v>
      </c>
      <c r="J24" s="10">
        <f>J32</f>
        <v>8</v>
      </c>
      <c r="K24" s="20">
        <v>35000</v>
      </c>
      <c r="L24" s="14">
        <f t="shared" si="8"/>
        <v>280000</v>
      </c>
      <c r="N24" s="26">
        <f>R27</f>
        <v>40</v>
      </c>
      <c r="O24" s="27">
        <v>7000</v>
      </c>
      <c r="P24" s="22">
        <f>O24*N24</f>
        <v>280000</v>
      </c>
    </row>
    <row r="25" spans="2:20" x14ac:dyDescent="0.35">
      <c r="B25" s="31" t="s">
        <v>46</v>
      </c>
      <c r="C25" s="10">
        <f t="shared" si="9"/>
        <v>40</v>
      </c>
      <c r="D25" s="14">
        <f t="shared" si="9"/>
        <v>6000</v>
      </c>
      <c r="E25" s="12">
        <f t="shared" si="6"/>
        <v>240000</v>
      </c>
      <c r="F25" s="13">
        <v>30</v>
      </c>
      <c r="G25" s="30">
        <f t="shared" si="7"/>
        <v>7200000</v>
      </c>
      <c r="I25" s="10" t="s">
        <v>11</v>
      </c>
      <c r="J25" s="10">
        <v>1</v>
      </c>
      <c r="K25" s="20">
        <v>180000</v>
      </c>
      <c r="L25" s="14">
        <f t="shared" si="8"/>
        <v>180000</v>
      </c>
    </row>
    <row r="26" spans="2:20" x14ac:dyDescent="0.35">
      <c r="B26" s="31" t="s">
        <v>47</v>
      </c>
      <c r="C26" s="10">
        <f t="shared" si="9"/>
        <v>40</v>
      </c>
      <c r="D26" s="14">
        <f t="shared" si="9"/>
        <v>6000</v>
      </c>
      <c r="E26" s="12">
        <f t="shared" si="6"/>
        <v>240000</v>
      </c>
      <c r="F26" s="17">
        <v>31</v>
      </c>
      <c r="G26" s="30">
        <f t="shared" si="7"/>
        <v>7440000</v>
      </c>
      <c r="I26" s="46" t="s">
        <v>56</v>
      </c>
      <c r="J26" s="47"/>
      <c r="K26" s="48"/>
      <c r="L26" s="21">
        <f>SUM(L21:L25)</f>
        <v>800000</v>
      </c>
      <c r="N26" s="40" t="s">
        <v>30</v>
      </c>
      <c r="O26" s="41"/>
      <c r="P26" s="42"/>
      <c r="R26" s="40" t="s">
        <v>15</v>
      </c>
      <c r="S26" s="41"/>
      <c r="T26" s="42"/>
    </row>
    <row r="27" spans="2:20" x14ac:dyDescent="0.35">
      <c r="B27" s="31" t="s">
        <v>48</v>
      </c>
      <c r="C27" s="10">
        <f t="shared" si="9"/>
        <v>40</v>
      </c>
      <c r="D27" s="14">
        <f t="shared" si="9"/>
        <v>6000</v>
      </c>
      <c r="E27" s="12">
        <f t="shared" si="6"/>
        <v>240000</v>
      </c>
      <c r="F27" s="17">
        <v>31</v>
      </c>
      <c r="G27" s="30">
        <f t="shared" si="7"/>
        <v>7440000</v>
      </c>
      <c r="N27" s="28">
        <v>12</v>
      </c>
      <c r="O27" s="29">
        <v>25000</v>
      </c>
      <c r="P27" s="23">
        <f>N27*O27</f>
        <v>300000</v>
      </c>
      <c r="R27" s="28">
        <f>C20</f>
        <v>40</v>
      </c>
      <c r="S27" s="29">
        <v>60000</v>
      </c>
      <c r="T27" s="24">
        <f>R27*S27</f>
        <v>2400000</v>
      </c>
    </row>
    <row r="28" spans="2:20" x14ac:dyDescent="0.35">
      <c r="B28" s="31" t="s">
        <v>49</v>
      </c>
      <c r="C28" s="10">
        <f t="shared" si="9"/>
        <v>40</v>
      </c>
      <c r="D28" s="14">
        <f t="shared" si="9"/>
        <v>6000</v>
      </c>
      <c r="E28" s="12">
        <f t="shared" si="6"/>
        <v>240000</v>
      </c>
      <c r="F28" s="13">
        <v>30</v>
      </c>
      <c r="G28" s="30">
        <f t="shared" si="7"/>
        <v>7200000</v>
      </c>
      <c r="J28" t="s">
        <v>17</v>
      </c>
      <c r="K28" s="6">
        <v>1000000</v>
      </c>
    </row>
    <row r="29" spans="2:20" x14ac:dyDescent="0.35">
      <c r="B29" s="31" t="s">
        <v>50</v>
      </c>
      <c r="C29" s="10">
        <f t="shared" si="9"/>
        <v>40</v>
      </c>
      <c r="D29" s="14">
        <f t="shared" si="9"/>
        <v>6000</v>
      </c>
      <c r="E29" s="12">
        <f t="shared" si="6"/>
        <v>240000</v>
      </c>
      <c r="F29" s="18">
        <v>31</v>
      </c>
      <c r="G29" s="30">
        <f t="shared" si="7"/>
        <v>7440000</v>
      </c>
    </row>
    <row r="30" spans="2:20" x14ac:dyDescent="0.35">
      <c r="B30" s="31" t="s">
        <v>51</v>
      </c>
      <c r="C30" s="10">
        <f t="shared" si="9"/>
        <v>40</v>
      </c>
      <c r="D30" s="14">
        <f t="shared" si="9"/>
        <v>6000</v>
      </c>
      <c r="E30" s="12">
        <f t="shared" si="6"/>
        <v>240000</v>
      </c>
      <c r="F30" s="13">
        <v>30</v>
      </c>
      <c r="G30" s="30">
        <f t="shared" si="7"/>
        <v>7200000</v>
      </c>
      <c r="R30" s="40" t="s">
        <v>31</v>
      </c>
      <c r="S30" s="41"/>
      <c r="T30" s="42"/>
    </row>
    <row r="31" spans="2:20" x14ac:dyDescent="0.35">
      <c r="B31" s="31" t="s">
        <v>52</v>
      </c>
      <c r="C31" s="10">
        <f t="shared" si="9"/>
        <v>40</v>
      </c>
      <c r="D31" s="14">
        <f t="shared" si="9"/>
        <v>6000</v>
      </c>
      <c r="E31" s="12">
        <f t="shared" si="6"/>
        <v>240000</v>
      </c>
      <c r="F31" s="18">
        <v>31</v>
      </c>
      <c r="G31" s="30">
        <f t="shared" si="7"/>
        <v>7440000</v>
      </c>
      <c r="I31" s="39" t="s">
        <v>34</v>
      </c>
      <c r="J31" s="39"/>
      <c r="K31" s="39"/>
      <c r="L31" s="39"/>
      <c r="N31" s="43" t="s">
        <v>58</v>
      </c>
      <c r="O31" s="43"/>
      <c r="P31" s="32"/>
      <c r="R31" s="28">
        <f>R27</f>
        <v>40</v>
      </c>
      <c r="S31" s="29">
        <v>1300000</v>
      </c>
      <c r="T31" s="24">
        <f>R31*S31</f>
        <v>52000000</v>
      </c>
    </row>
    <row r="32" spans="2:20" ht="21.5" x14ac:dyDescent="0.75">
      <c r="B32" s="45" t="s">
        <v>55</v>
      </c>
      <c r="C32" s="45"/>
      <c r="D32" s="45"/>
      <c r="E32" s="45"/>
      <c r="F32" s="45"/>
      <c r="G32" s="19">
        <f>SUM(G20:G31)</f>
        <v>87600000</v>
      </c>
      <c r="I32" s="10" t="s">
        <v>32</v>
      </c>
      <c r="J32" s="10">
        <v>8</v>
      </c>
      <c r="K32" s="20">
        <f>3500*I17</f>
        <v>5600000</v>
      </c>
      <c r="L32" s="20">
        <f>J32*K32</f>
        <v>44800000</v>
      </c>
      <c r="N32" s="10" t="s">
        <v>59</v>
      </c>
      <c r="O32" s="25">
        <v>1000000</v>
      </c>
    </row>
    <row r="33" spans="6:13" x14ac:dyDescent="0.35">
      <c r="I33" s="10" t="s">
        <v>35</v>
      </c>
      <c r="J33" s="49">
        <f>174*(2/3)</f>
        <v>116</v>
      </c>
      <c r="K33" s="20">
        <f>250*I17</f>
        <v>400000</v>
      </c>
      <c r="L33" s="20">
        <f>J33*K33</f>
        <v>46400000</v>
      </c>
    </row>
    <row r="34" spans="6:13" x14ac:dyDescent="0.35">
      <c r="I34" s="39" t="s">
        <v>57</v>
      </c>
      <c r="J34" s="39"/>
      <c r="K34" s="39"/>
      <c r="L34" s="21">
        <f>SUM(L32:L33)</f>
        <v>91200000</v>
      </c>
    </row>
    <row r="35" spans="6:13" x14ac:dyDescent="0.35">
      <c r="F35">
        <f>SUM(F20:F31)</f>
        <v>365</v>
      </c>
      <c r="M35" s="4">
        <f>L34/3</f>
        <v>30400000</v>
      </c>
    </row>
  </sheetData>
  <mergeCells count="14">
    <mergeCell ref="B32:F32"/>
    <mergeCell ref="I34:K34"/>
    <mergeCell ref="I26:K26"/>
    <mergeCell ref="N26:P26"/>
    <mergeCell ref="R26:T26"/>
    <mergeCell ref="R30:T30"/>
    <mergeCell ref="I31:L31"/>
    <mergeCell ref="N31:O31"/>
    <mergeCell ref="C4:P4"/>
    <mergeCell ref="C13:P13"/>
    <mergeCell ref="B18:G18"/>
    <mergeCell ref="I20:L20"/>
    <mergeCell ref="N20:O20"/>
    <mergeCell ref="N23:P23"/>
  </mergeCells>
  <conditionalFormatting sqref="D6:P12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T35"/>
  <sheetViews>
    <sheetView zoomScale="50" zoomScaleNormal="50" workbookViewId="0">
      <selection sqref="A1:XFD1048576"/>
    </sheetView>
  </sheetViews>
  <sheetFormatPr defaultRowHeight="14.5" x14ac:dyDescent="0.35"/>
  <cols>
    <col min="2" max="2" width="12.7265625" customWidth="1"/>
    <col min="3" max="3" width="31.36328125" customWidth="1"/>
    <col min="4" max="4" width="19.6328125" customWidth="1"/>
    <col min="5" max="5" width="16.08984375" customWidth="1"/>
    <col min="6" max="6" width="17.36328125" customWidth="1"/>
    <col min="7" max="7" width="19.90625" customWidth="1"/>
    <col min="8" max="8" width="14.6328125" bestFit="1" customWidth="1"/>
    <col min="9" max="9" width="13.6328125" bestFit="1" customWidth="1"/>
    <col min="10" max="11" width="13.54296875" bestFit="1" customWidth="1"/>
    <col min="12" max="12" width="19.1796875" bestFit="1" customWidth="1"/>
    <col min="13" max="14" width="13.54296875" bestFit="1" customWidth="1"/>
    <col min="15" max="15" width="17.1796875" bestFit="1" customWidth="1"/>
    <col min="16" max="16" width="19.26953125" bestFit="1" customWidth="1"/>
    <col min="17" max="18" width="13.6328125" bestFit="1" customWidth="1"/>
    <col min="19" max="19" width="14.36328125" bestFit="1" customWidth="1"/>
    <col min="20" max="20" width="18.453125" bestFit="1" customWidth="1"/>
  </cols>
  <sheetData>
    <row r="4" spans="3:17" x14ac:dyDescent="0.35">
      <c r="C4" s="34" t="s">
        <v>0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3:17" x14ac:dyDescent="0.35">
      <c r="C5" s="1" t="s">
        <v>1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2</v>
      </c>
    </row>
    <row r="6" spans="3:17" ht="15" x14ac:dyDescent="0.35">
      <c r="C6" s="33" t="s">
        <v>3</v>
      </c>
      <c r="D6" s="2">
        <f>G20</f>
        <v>7440000</v>
      </c>
      <c r="E6" s="2">
        <f>G21</f>
        <v>6720000</v>
      </c>
      <c r="F6" s="2">
        <f>G22</f>
        <v>7440000</v>
      </c>
      <c r="G6" s="2">
        <f>G23</f>
        <v>7200000</v>
      </c>
      <c r="H6" s="2">
        <f>G24</f>
        <v>7440000</v>
      </c>
      <c r="I6" s="2">
        <f>G25</f>
        <v>7200000</v>
      </c>
      <c r="J6" s="2">
        <f>G26</f>
        <v>7440000</v>
      </c>
      <c r="K6" s="2">
        <f>G27</f>
        <v>7440000</v>
      </c>
      <c r="L6" s="2">
        <f>G28</f>
        <v>7200000</v>
      </c>
      <c r="M6" s="2">
        <f>G29</f>
        <v>7440000</v>
      </c>
      <c r="N6" s="2">
        <f>G30</f>
        <v>7200000</v>
      </c>
      <c r="O6" s="2">
        <f>G31</f>
        <v>7440000</v>
      </c>
      <c r="P6" s="7">
        <f>SUM(D6:O6)</f>
        <v>87600000</v>
      </c>
    </row>
    <row r="7" spans="3:17" ht="15" x14ac:dyDescent="0.35">
      <c r="C7" s="33" t="s">
        <v>4</v>
      </c>
      <c r="D7" s="2">
        <f>L26+(T31/2)+(L34/2)</f>
        <v>72400000</v>
      </c>
      <c r="E7" s="2">
        <f>L26</f>
        <v>800000</v>
      </c>
      <c r="F7" s="2">
        <f>E7</f>
        <v>800000</v>
      </c>
      <c r="G7" s="2">
        <f t="shared" ref="G7:O7" si="0">F7</f>
        <v>800000</v>
      </c>
      <c r="H7" s="2">
        <f t="shared" si="0"/>
        <v>800000</v>
      </c>
      <c r="I7" s="2">
        <f t="shared" si="0"/>
        <v>800000</v>
      </c>
      <c r="J7" s="2">
        <f t="shared" si="0"/>
        <v>800000</v>
      </c>
      <c r="K7" s="2">
        <f t="shared" si="0"/>
        <v>800000</v>
      </c>
      <c r="L7" s="2">
        <f t="shared" si="0"/>
        <v>800000</v>
      </c>
      <c r="M7" s="2">
        <f t="shared" si="0"/>
        <v>800000</v>
      </c>
      <c r="N7" s="2">
        <f t="shared" si="0"/>
        <v>800000</v>
      </c>
      <c r="O7" s="2">
        <f t="shared" si="0"/>
        <v>800000</v>
      </c>
      <c r="P7" s="7">
        <f t="shared" ref="P7:P10" si="1">SUM(D7:O7)</f>
        <v>81200000</v>
      </c>
    </row>
    <row r="8" spans="3:17" ht="15" x14ac:dyDescent="0.35">
      <c r="C8" s="33" t="s">
        <v>5</v>
      </c>
      <c r="D8" s="2">
        <f>D6-D7</f>
        <v>-64960000</v>
      </c>
      <c r="E8" s="2">
        <f>E6-E7</f>
        <v>5920000</v>
      </c>
      <c r="F8" s="2">
        <f t="shared" ref="F8:O8" si="2">F6-F7</f>
        <v>6640000</v>
      </c>
      <c r="G8" s="2">
        <f t="shared" si="2"/>
        <v>6400000</v>
      </c>
      <c r="H8" s="2">
        <f t="shared" si="2"/>
        <v>6640000</v>
      </c>
      <c r="I8" s="2">
        <f t="shared" si="2"/>
        <v>6400000</v>
      </c>
      <c r="J8" s="2">
        <f t="shared" si="2"/>
        <v>6640000</v>
      </c>
      <c r="K8" s="2">
        <f t="shared" si="2"/>
        <v>6640000</v>
      </c>
      <c r="L8" s="2">
        <f t="shared" si="2"/>
        <v>6400000</v>
      </c>
      <c r="M8" s="2">
        <f t="shared" si="2"/>
        <v>6640000</v>
      </c>
      <c r="N8" s="2">
        <f t="shared" si="2"/>
        <v>6400000</v>
      </c>
      <c r="O8" s="2">
        <f t="shared" si="2"/>
        <v>6640000</v>
      </c>
      <c r="P8" s="7">
        <f>SUM(D8:O8)</f>
        <v>6400000</v>
      </c>
    </row>
    <row r="9" spans="3:17" ht="15" x14ac:dyDescent="0.35">
      <c r="C9" s="33" t="s">
        <v>6</v>
      </c>
      <c r="D9" s="2">
        <f>(K28/12)+(T27/12)+O27+O32</f>
        <v>1308333.3333333333</v>
      </c>
      <c r="E9" s="2">
        <f>D9-O32</f>
        <v>308333.33333333326</v>
      </c>
      <c r="F9" s="2">
        <f t="shared" ref="F9:O9" si="3">E9</f>
        <v>308333.33333333326</v>
      </c>
      <c r="G9" s="2">
        <f t="shared" si="3"/>
        <v>308333.33333333326</v>
      </c>
      <c r="H9" s="2">
        <f t="shared" si="3"/>
        <v>308333.33333333326</v>
      </c>
      <c r="I9" s="2">
        <f t="shared" si="3"/>
        <v>308333.33333333326</v>
      </c>
      <c r="J9" s="2">
        <f t="shared" si="3"/>
        <v>308333.33333333326</v>
      </c>
      <c r="K9" s="2">
        <f t="shared" si="3"/>
        <v>308333.33333333326</v>
      </c>
      <c r="L9" s="2">
        <f t="shared" si="3"/>
        <v>308333.33333333326</v>
      </c>
      <c r="M9" s="2">
        <f t="shared" si="3"/>
        <v>308333.33333333326</v>
      </c>
      <c r="N9" s="2">
        <f t="shared" si="3"/>
        <v>308333.33333333326</v>
      </c>
      <c r="O9" s="2">
        <f t="shared" si="3"/>
        <v>308333.33333333326</v>
      </c>
      <c r="P9" s="7">
        <f t="shared" si="1"/>
        <v>4699999.9999999972</v>
      </c>
    </row>
    <row r="10" spans="3:17" ht="15" x14ac:dyDescent="0.35">
      <c r="C10" s="33" t="s">
        <v>7</v>
      </c>
      <c r="D10" s="2">
        <f>D8-D9</f>
        <v>-66268333.333333336</v>
      </c>
      <c r="E10" s="2">
        <f t="shared" ref="E10:O10" si="4">E8-E9</f>
        <v>5611666.666666667</v>
      </c>
      <c r="F10" s="2">
        <f t="shared" si="4"/>
        <v>6331666.666666667</v>
      </c>
      <c r="G10" s="2">
        <f t="shared" si="4"/>
        <v>6091666.666666667</v>
      </c>
      <c r="H10" s="2">
        <f t="shared" si="4"/>
        <v>6331666.666666667</v>
      </c>
      <c r="I10" s="2">
        <f t="shared" si="4"/>
        <v>6091666.666666667</v>
      </c>
      <c r="J10" s="2">
        <f t="shared" si="4"/>
        <v>6331666.666666667</v>
      </c>
      <c r="K10" s="2">
        <f t="shared" si="4"/>
        <v>6331666.666666667</v>
      </c>
      <c r="L10" s="2">
        <f t="shared" si="4"/>
        <v>6091666.666666667</v>
      </c>
      <c r="M10" s="2">
        <f t="shared" si="4"/>
        <v>6331666.666666667</v>
      </c>
      <c r="N10" s="2">
        <f t="shared" si="4"/>
        <v>6091666.666666667</v>
      </c>
      <c r="O10" s="2">
        <f t="shared" si="4"/>
        <v>6331666.666666667</v>
      </c>
      <c r="P10" s="7">
        <f t="shared" si="1"/>
        <v>1699999.9999999907</v>
      </c>
    </row>
    <row r="11" spans="3:17" ht="15" x14ac:dyDescent="0.35">
      <c r="C11" s="33" t="s">
        <v>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7">
        <f>SUM(E11:O11)</f>
        <v>0</v>
      </c>
      <c r="Q11" s="4"/>
    </row>
    <row r="12" spans="3:17" ht="15" x14ac:dyDescent="0.35">
      <c r="C12" s="33" t="s">
        <v>9</v>
      </c>
      <c r="D12" s="2">
        <f>D10-D11</f>
        <v>-66268333.333333336</v>
      </c>
      <c r="E12" s="2">
        <f>E10-E11</f>
        <v>5611666.666666667</v>
      </c>
      <c r="F12" s="2">
        <f t="shared" ref="F12:O12" si="5">F10-F11</f>
        <v>6331666.666666667</v>
      </c>
      <c r="G12" s="2">
        <f t="shared" si="5"/>
        <v>6091666.666666667</v>
      </c>
      <c r="H12" s="2">
        <f t="shared" si="5"/>
        <v>6331666.666666667</v>
      </c>
      <c r="I12" s="2">
        <f t="shared" si="5"/>
        <v>6091666.666666667</v>
      </c>
      <c r="J12" s="2">
        <f t="shared" si="5"/>
        <v>6331666.666666667</v>
      </c>
      <c r="K12" s="2">
        <f t="shared" si="5"/>
        <v>6331666.666666667</v>
      </c>
      <c r="L12" s="2">
        <f t="shared" si="5"/>
        <v>6091666.666666667</v>
      </c>
      <c r="M12" s="2">
        <f t="shared" si="5"/>
        <v>6331666.666666667</v>
      </c>
      <c r="N12" s="2">
        <f t="shared" si="5"/>
        <v>6091666.666666667</v>
      </c>
      <c r="O12" s="2">
        <f t="shared" si="5"/>
        <v>6331666.666666667</v>
      </c>
      <c r="P12" s="7">
        <f>SUM(D12:O12)</f>
        <v>1699999.9999999907</v>
      </c>
    </row>
    <row r="13" spans="3:17" x14ac:dyDescent="0.35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8"/>
    </row>
    <row r="17" spans="2:20" x14ac:dyDescent="0.35">
      <c r="C17" s="5"/>
      <c r="H17" t="s">
        <v>33</v>
      </c>
      <c r="I17">
        <v>1600</v>
      </c>
    </row>
    <row r="18" spans="2:20" ht="18.5" x14ac:dyDescent="0.45">
      <c r="B18" s="44" t="s">
        <v>54</v>
      </c>
      <c r="C18" s="44"/>
      <c r="D18" s="44"/>
      <c r="E18" s="44"/>
      <c r="F18" s="44"/>
      <c r="G18" s="44"/>
    </row>
    <row r="19" spans="2:20" ht="27" customHeight="1" x14ac:dyDescent="0.35">
      <c r="B19" s="8" t="s">
        <v>53</v>
      </c>
      <c r="C19" s="8" t="s">
        <v>40</v>
      </c>
      <c r="D19" s="8" t="s">
        <v>36</v>
      </c>
      <c r="E19" s="8" t="s">
        <v>37</v>
      </c>
      <c r="F19" s="9" t="s">
        <v>38</v>
      </c>
      <c r="G19" s="8" t="s">
        <v>39</v>
      </c>
    </row>
    <row r="20" spans="2:20" x14ac:dyDescent="0.35">
      <c r="B20" s="31" t="s">
        <v>41</v>
      </c>
      <c r="C20" s="10">
        <v>40</v>
      </c>
      <c r="D20" s="11">
        <v>6000</v>
      </c>
      <c r="E20" s="12">
        <f>C20*D20</f>
        <v>240000</v>
      </c>
      <c r="F20" s="13">
        <v>31</v>
      </c>
      <c r="G20" s="30">
        <f>E20*F20</f>
        <v>7440000</v>
      </c>
      <c r="H20" s="3"/>
      <c r="I20" s="39" t="s">
        <v>12</v>
      </c>
      <c r="J20" s="39"/>
      <c r="K20" s="39"/>
      <c r="L20" s="39"/>
      <c r="N20" s="39" t="s">
        <v>13</v>
      </c>
      <c r="O20" s="39"/>
    </row>
    <row r="21" spans="2:20" x14ac:dyDescent="0.35">
      <c r="B21" s="31" t="s">
        <v>42</v>
      </c>
      <c r="C21" s="10">
        <f>C20</f>
        <v>40</v>
      </c>
      <c r="D21" s="14">
        <f>D20</f>
        <v>6000</v>
      </c>
      <c r="E21" s="12">
        <f t="shared" ref="E21:E31" si="6">C21*D21</f>
        <v>240000</v>
      </c>
      <c r="F21" s="15">
        <v>28</v>
      </c>
      <c r="G21" s="30">
        <f t="shared" ref="G21:G31" si="7">E21*F21</f>
        <v>6720000</v>
      </c>
      <c r="H21" s="3"/>
      <c r="I21" s="10" t="s">
        <v>60</v>
      </c>
      <c r="J21" s="10">
        <v>1</v>
      </c>
      <c r="K21" s="20">
        <v>120000</v>
      </c>
      <c r="L21" s="14">
        <f t="shared" ref="L21:L25" si="8">J21*K21</f>
        <v>120000</v>
      </c>
      <c r="N21" s="10" t="s">
        <v>14</v>
      </c>
      <c r="O21" s="25">
        <v>6000000</v>
      </c>
    </row>
    <row r="22" spans="2:20" x14ac:dyDescent="0.35">
      <c r="B22" s="31" t="s">
        <v>43</v>
      </c>
      <c r="C22" s="10">
        <f t="shared" ref="C22:D31" si="9">C21</f>
        <v>40</v>
      </c>
      <c r="D22" s="14">
        <f t="shared" si="9"/>
        <v>6000</v>
      </c>
      <c r="E22" s="12">
        <f t="shared" si="6"/>
        <v>240000</v>
      </c>
      <c r="F22" s="16">
        <v>31</v>
      </c>
      <c r="G22" s="30">
        <f t="shared" si="7"/>
        <v>7440000</v>
      </c>
      <c r="H22" s="3"/>
      <c r="I22" s="10" t="s">
        <v>61</v>
      </c>
      <c r="J22" s="10">
        <v>1</v>
      </c>
      <c r="K22" s="20">
        <v>100000</v>
      </c>
      <c r="L22" s="14">
        <f t="shared" si="8"/>
        <v>100000</v>
      </c>
    </row>
    <row r="23" spans="2:20" x14ac:dyDescent="0.35">
      <c r="B23" s="31" t="s">
        <v>44</v>
      </c>
      <c r="C23" s="10">
        <f t="shared" si="9"/>
        <v>40</v>
      </c>
      <c r="D23" s="14">
        <f t="shared" si="9"/>
        <v>6000</v>
      </c>
      <c r="E23" s="12">
        <f t="shared" si="6"/>
        <v>240000</v>
      </c>
      <c r="F23" s="16">
        <f>F25</f>
        <v>30</v>
      </c>
      <c r="G23" s="30">
        <f t="shared" si="7"/>
        <v>7200000</v>
      </c>
      <c r="I23" s="10" t="s">
        <v>10</v>
      </c>
      <c r="J23" s="10">
        <v>1</v>
      </c>
      <c r="K23" s="20">
        <v>120000</v>
      </c>
      <c r="L23" s="14">
        <f t="shared" si="8"/>
        <v>120000</v>
      </c>
      <c r="N23" s="40" t="s">
        <v>16</v>
      </c>
      <c r="O23" s="41"/>
      <c r="P23" s="42"/>
    </row>
    <row r="24" spans="2:20" x14ac:dyDescent="0.35">
      <c r="B24" s="31" t="s">
        <v>45</v>
      </c>
      <c r="C24" s="10">
        <f t="shared" si="9"/>
        <v>40</v>
      </c>
      <c r="D24" s="14">
        <f t="shared" si="9"/>
        <v>6000</v>
      </c>
      <c r="E24" s="12">
        <f t="shared" si="6"/>
        <v>240000</v>
      </c>
      <c r="F24" s="17">
        <v>31</v>
      </c>
      <c r="G24" s="30">
        <f t="shared" si="7"/>
        <v>7440000</v>
      </c>
      <c r="I24" s="10" t="s">
        <v>62</v>
      </c>
      <c r="J24" s="10">
        <f>J32</f>
        <v>8</v>
      </c>
      <c r="K24" s="20">
        <v>35000</v>
      </c>
      <c r="L24" s="14">
        <f t="shared" si="8"/>
        <v>280000</v>
      </c>
      <c r="N24" s="26">
        <f>R27</f>
        <v>40</v>
      </c>
      <c r="O24" s="27">
        <v>7000</v>
      </c>
      <c r="P24" s="22">
        <f>O24*N24</f>
        <v>280000</v>
      </c>
    </row>
    <row r="25" spans="2:20" x14ac:dyDescent="0.35">
      <c r="B25" s="31" t="s">
        <v>46</v>
      </c>
      <c r="C25" s="10">
        <f t="shared" si="9"/>
        <v>40</v>
      </c>
      <c r="D25" s="14">
        <f t="shared" si="9"/>
        <v>6000</v>
      </c>
      <c r="E25" s="12">
        <f t="shared" si="6"/>
        <v>240000</v>
      </c>
      <c r="F25" s="13">
        <v>30</v>
      </c>
      <c r="G25" s="30">
        <f t="shared" si="7"/>
        <v>7200000</v>
      </c>
      <c r="I25" s="10" t="s">
        <v>11</v>
      </c>
      <c r="J25" s="10">
        <v>1</v>
      </c>
      <c r="K25" s="20">
        <v>180000</v>
      </c>
      <c r="L25" s="14">
        <f t="shared" si="8"/>
        <v>180000</v>
      </c>
    </row>
    <row r="26" spans="2:20" x14ac:dyDescent="0.35">
      <c r="B26" s="31" t="s">
        <v>47</v>
      </c>
      <c r="C26" s="10">
        <f t="shared" si="9"/>
        <v>40</v>
      </c>
      <c r="D26" s="14">
        <f t="shared" si="9"/>
        <v>6000</v>
      </c>
      <c r="E26" s="12">
        <f t="shared" si="6"/>
        <v>240000</v>
      </c>
      <c r="F26" s="17">
        <v>31</v>
      </c>
      <c r="G26" s="30">
        <f t="shared" si="7"/>
        <v>7440000</v>
      </c>
      <c r="I26" s="46" t="s">
        <v>56</v>
      </c>
      <c r="J26" s="47"/>
      <c r="K26" s="48"/>
      <c r="L26" s="21">
        <f>SUM(L21:L25)</f>
        <v>800000</v>
      </c>
      <c r="N26" s="40" t="s">
        <v>30</v>
      </c>
      <c r="O26" s="41"/>
      <c r="P26" s="42"/>
      <c r="R26" s="40" t="s">
        <v>15</v>
      </c>
      <c r="S26" s="41"/>
      <c r="T26" s="42"/>
    </row>
    <row r="27" spans="2:20" x14ac:dyDescent="0.35">
      <c r="B27" s="31" t="s">
        <v>48</v>
      </c>
      <c r="C27" s="10">
        <f t="shared" si="9"/>
        <v>40</v>
      </c>
      <c r="D27" s="14">
        <f t="shared" si="9"/>
        <v>6000</v>
      </c>
      <c r="E27" s="12">
        <f t="shared" si="6"/>
        <v>240000</v>
      </c>
      <c r="F27" s="17">
        <v>31</v>
      </c>
      <c r="G27" s="30">
        <f t="shared" si="7"/>
        <v>7440000</v>
      </c>
      <c r="N27" s="28">
        <v>12</v>
      </c>
      <c r="O27" s="29">
        <v>25000</v>
      </c>
      <c r="P27" s="23">
        <f>N27*O27</f>
        <v>300000</v>
      </c>
      <c r="R27" s="28">
        <f>C20</f>
        <v>40</v>
      </c>
      <c r="S27" s="29">
        <v>60000</v>
      </c>
      <c r="T27" s="24">
        <f>R27*S27</f>
        <v>2400000</v>
      </c>
    </row>
    <row r="28" spans="2:20" x14ac:dyDescent="0.35">
      <c r="B28" s="31" t="s">
        <v>49</v>
      </c>
      <c r="C28" s="10">
        <f t="shared" si="9"/>
        <v>40</v>
      </c>
      <c r="D28" s="14">
        <f t="shared" si="9"/>
        <v>6000</v>
      </c>
      <c r="E28" s="12">
        <f t="shared" si="6"/>
        <v>240000</v>
      </c>
      <c r="F28" s="13">
        <v>30</v>
      </c>
      <c r="G28" s="30">
        <f t="shared" si="7"/>
        <v>7200000</v>
      </c>
      <c r="J28" t="s">
        <v>17</v>
      </c>
      <c r="K28" s="6">
        <v>1000000</v>
      </c>
    </row>
    <row r="29" spans="2:20" x14ac:dyDescent="0.35">
      <c r="B29" s="31" t="s">
        <v>50</v>
      </c>
      <c r="C29" s="10">
        <f t="shared" si="9"/>
        <v>40</v>
      </c>
      <c r="D29" s="14">
        <f t="shared" si="9"/>
        <v>6000</v>
      </c>
      <c r="E29" s="12">
        <f t="shared" si="6"/>
        <v>240000</v>
      </c>
      <c r="F29" s="18">
        <v>31</v>
      </c>
      <c r="G29" s="30">
        <f t="shared" si="7"/>
        <v>7440000</v>
      </c>
    </row>
    <row r="30" spans="2:20" x14ac:dyDescent="0.35">
      <c r="B30" s="31" t="s">
        <v>51</v>
      </c>
      <c r="C30" s="10">
        <f t="shared" si="9"/>
        <v>40</v>
      </c>
      <c r="D30" s="14">
        <f t="shared" si="9"/>
        <v>6000</v>
      </c>
      <c r="E30" s="12">
        <f t="shared" si="6"/>
        <v>240000</v>
      </c>
      <c r="F30" s="13">
        <v>30</v>
      </c>
      <c r="G30" s="30">
        <f t="shared" si="7"/>
        <v>7200000</v>
      </c>
      <c r="R30" s="40" t="s">
        <v>31</v>
      </c>
      <c r="S30" s="41"/>
      <c r="T30" s="42"/>
    </row>
    <row r="31" spans="2:20" x14ac:dyDescent="0.35">
      <c r="B31" s="31" t="s">
        <v>52</v>
      </c>
      <c r="C31" s="10">
        <f t="shared" si="9"/>
        <v>40</v>
      </c>
      <c r="D31" s="14">
        <f t="shared" si="9"/>
        <v>6000</v>
      </c>
      <c r="E31" s="12">
        <f t="shared" si="6"/>
        <v>240000</v>
      </c>
      <c r="F31" s="18">
        <v>31</v>
      </c>
      <c r="G31" s="30">
        <f t="shared" si="7"/>
        <v>7440000</v>
      </c>
      <c r="I31" s="39" t="s">
        <v>34</v>
      </c>
      <c r="J31" s="39"/>
      <c r="K31" s="39"/>
      <c r="L31" s="39"/>
      <c r="N31" s="43" t="s">
        <v>58</v>
      </c>
      <c r="O31" s="43"/>
      <c r="P31" s="32"/>
      <c r="R31" s="28">
        <f>R27</f>
        <v>40</v>
      </c>
      <c r="S31" s="29">
        <v>1300000</v>
      </c>
      <c r="T31" s="24">
        <f>R31*S31</f>
        <v>52000000</v>
      </c>
    </row>
    <row r="32" spans="2:20" ht="21.5" x14ac:dyDescent="0.75">
      <c r="B32" s="45" t="s">
        <v>55</v>
      </c>
      <c r="C32" s="45"/>
      <c r="D32" s="45"/>
      <c r="E32" s="45"/>
      <c r="F32" s="45"/>
      <c r="G32" s="19">
        <f>SUM(G20:G31)</f>
        <v>87600000</v>
      </c>
      <c r="I32" s="10" t="s">
        <v>32</v>
      </c>
      <c r="J32" s="10">
        <v>8</v>
      </c>
      <c r="K32" s="20">
        <f>3500*I17</f>
        <v>5600000</v>
      </c>
      <c r="L32" s="20">
        <f>J32*K32</f>
        <v>44800000</v>
      </c>
      <c r="N32" s="10" t="s">
        <v>59</v>
      </c>
      <c r="O32" s="25">
        <v>1000000</v>
      </c>
    </row>
    <row r="33" spans="6:13" x14ac:dyDescent="0.35">
      <c r="I33" s="10" t="s">
        <v>35</v>
      </c>
      <c r="J33" s="49">
        <f>'40 Bikes - 1st year'!J33</f>
        <v>116</v>
      </c>
      <c r="K33" s="20">
        <f>250*I17</f>
        <v>400000</v>
      </c>
      <c r="L33" s="20">
        <f>J33*K33</f>
        <v>46400000</v>
      </c>
    </row>
    <row r="34" spans="6:13" x14ac:dyDescent="0.35">
      <c r="I34" s="39" t="s">
        <v>57</v>
      </c>
      <c r="J34" s="39"/>
      <c r="K34" s="39"/>
      <c r="L34" s="21">
        <f>SUM(L32:L33)</f>
        <v>91200000</v>
      </c>
    </row>
    <row r="35" spans="6:13" x14ac:dyDescent="0.35">
      <c r="F35">
        <f>SUM(F20:F31)</f>
        <v>365</v>
      </c>
      <c r="M35" s="4">
        <f>L34/3</f>
        <v>30400000</v>
      </c>
    </row>
  </sheetData>
  <mergeCells count="14">
    <mergeCell ref="B32:F32"/>
    <mergeCell ref="I34:K34"/>
    <mergeCell ref="I26:K26"/>
    <mergeCell ref="N26:P26"/>
    <mergeCell ref="R26:T26"/>
    <mergeCell ref="R30:T30"/>
    <mergeCell ref="I31:L31"/>
    <mergeCell ref="N31:O31"/>
    <mergeCell ref="C4:P4"/>
    <mergeCell ref="C13:P13"/>
    <mergeCell ref="B18:G18"/>
    <mergeCell ref="I20:L20"/>
    <mergeCell ref="N20:O20"/>
    <mergeCell ref="N23:P23"/>
  </mergeCells>
  <conditionalFormatting sqref="D6:P12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T35"/>
  <sheetViews>
    <sheetView tabSelected="1" zoomScale="60" zoomScaleNormal="60" workbookViewId="0">
      <selection activeCell="J16" sqref="J16"/>
    </sheetView>
  </sheetViews>
  <sheetFormatPr defaultRowHeight="14.5" x14ac:dyDescent="0.35"/>
  <cols>
    <col min="2" max="2" width="12.7265625" customWidth="1"/>
    <col min="3" max="3" width="31.36328125" customWidth="1"/>
    <col min="4" max="4" width="19.6328125" customWidth="1"/>
    <col min="5" max="5" width="16.08984375" customWidth="1"/>
    <col min="6" max="6" width="17.36328125" customWidth="1"/>
    <col min="7" max="7" width="19.90625" customWidth="1"/>
    <col min="8" max="8" width="14.6328125" bestFit="1" customWidth="1"/>
    <col min="9" max="9" width="13.6328125" bestFit="1" customWidth="1"/>
    <col min="10" max="11" width="13.54296875" bestFit="1" customWidth="1"/>
    <col min="12" max="12" width="19.1796875" bestFit="1" customWidth="1"/>
    <col min="13" max="14" width="13.54296875" bestFit="1" customWidth="1"/>
    <col min="15" max="15" width="17.1796875" bestFit="1" customWidth="1"/>
    <col min="16" max="16" width="19.26953125" bestFit="1" customWidth="1"/>
    <col min="17" max="18" width="13.6328125" bestFit="1" customWidth="1"/>
    <col min="19" max="19" width="14.36328125" bestFit="1" customWidth="1"/>
    <col min="20" max="20" width="18.453125" bestFit="1" customWidth="1"/>
  </cols>
  <sheetData>
    <row r="4" spans="3:17" x14ac:dyDescent="0.35">
      <c r="C4" s="34" t="s">
        <v>0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3:17" x14ac:dyDescent="0.35">
      <c r="C5" s="1" t="s">
        <v>1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2</v>
      </c>
    </row>
    <row r="6" spans="3:17" ht="15" x14ac:dyDescent="0.35">
      <c r="C6" s="33" t="s">
        <v>3</v>
      </c>
      <c r="D6" s="2">
        <f>G20</f>
        <v>7440000</v>
      </c>
      <c r="E6" s="2">
        <f>G21</f>
        <v>6720000</v>
      </c>
      <c r="F6" s="2">
        <f>G22</f>
        <v>7440000</v>
      </c>
      <c r="G6" s="2">
        <f>G23</f>
        <v>7200000</v>
      </c>
      <c r="H6" s="2">
        <f>G24</f>
        <v>7440000</v>
      </c>
      <c r="I6" s="2">
        <f>G25</f>
        <v>7200000</v>
      </c>
      <c r="J6" s="2">
        <f>G26</f>
        <v>7440000</v>
      </c>
      <c r="K6" s="2">
        <f>G27</f>
        <v>7440000</v>
      </c>
      <c r="L6" s="2">
        <f>G28</f>
        <v>7200000</v>
      </c>
      <c r="M6" s="2">
        <f>G29</f>
        <v>7440000</v>
      </c>
      <c r="N6" s="2">
        <f>G30</f>
        <v>7200000</v>
      </c>
      <c r="O6" s="2">
        <f>G31</f>
        <v>7440000</v>
      </c>
      <c r="P6" s="7">
        <f>SUM(D6:O6)</f>
        <v>87600000</v>
      </c>
    </row>
    <row r="7" spans="3:17" ht="15" x14ac:dyDescent="0.35">
      <c r="C7" s="33" t="s">
        <v>4</v>
      </c>
      <c r="D7" s="2">
        <f>L26</f>
        <v>800000</v>
      </c>
      <c r="E7" s="2">
        <f>L26</f>
        <v>800000</v>
      </c>
      <c r="F7" s="2">
        <f>E7</f>
        <v>800000</v>
      </c>
      <c r="G7" s="2">
        <f t="shared" ref="G7:O7" si="0">F7</f>
        <v>800000</v>
      </c>
      <c r="H7" s="2">
        <f t="shared" si="0"/>
        <v>800000</v>
      </c>
      <c r="I7" s="2">
        <f t="shared" si="0"/>
        <v>800000</v>
      </c>
      <c r="J7" s="2">
        <f t="shared" si="0"/>
        <v>800000</v>
      </c>
      <c r="K7" s="2">
        <f t="shared" si="0"/>
        <v>800000</v>
      </c>
      <c r="L7" s="2">
        <f t="shared" si="0"/>
        <v>800000</v>
      </c>
      <c r="M7" s="2">
        <f t="shared" si="0"/>
        <v>800000</v>
      </c>
      <c r="N7" s="2">
        <f t="shared" si="0"/>
        <v>800000</v>
      </c>
      <c r="O7" s="2">
        <f t="shared" si="0"/>
        <v>800000</v>
      </c>
      <c r="P7" s="7">
        <f t="shared" ref="P7:P10" si="1">SUM(D7:O7)</f>
        <v>9600000</v>
      </c>
    </row>
    <row r="8" spans="3:17" ht="15" x14ac:dyDescent="0.35">
      <c r="C8" s="33" t="s">
        <v>5</v>
      </c>
      <c r="D8" s="2">
        <f>D6-D7</f>
        <v>6640000</v>
      </c>
      <c r="E8" s="2">
        <f>E6-E7</f>
        <v>5920000</v>
      </c>
      <c r="F8" s="2">
        <f t="shared" ref="F8:O8" si="2">F6-F7</f>
        <v>6640000</v>
      </c>
      <c r="G8" s="2">
        <f t="shared" si="2"/>
        <v>6400000</v>
      </c>
      <c r="H8" s="2">
        <f t="shared" si="2"/>
        <v>6640000</v>
      </c>
      <c r="I8" s="2">
        <f t="shared" si="2"/>
        <v>6400000</v>
      </c>
      <c r="J8" s="2">
        <f t="shared" si="2"/>
        <v>6640000</v>
      </c>
      <c r="K8" s="2">
        <f t="shared" si="2"/>
        <v>6640000</v>
      </c>
      <c r="L8" s="2">
        <f t="shared" si="2"/>
        <v>6400000</v>
      </c>
      <c r="M8" s="2">
        <f t="shared" si="2"/>
        <v>6640000</v>
      </c>
      <c r="N8" s="2">
        <f t="shared" si="2"/>
        <v>6400000</v>
      </c>
      <c r="O8" s="2">
        <f t="shared" si="2"/>
        <v>6640000</v>
      </c>
      <c r="P8" s="7">
        <f>SUM(D8:O8)</f>
        <v>78000000</v>
      </c>
    </row>
    <row r="9" spans="3:17" ht="15" x14ac:dyDescent="0.35">
      <c r="C9" s="33" t="s">
        <v>6</v>
      </c>
      <c r="D9" s="2">
        <f>(K28/12)+(T27/12)+O27+O32</f>
        <v>1308333.3333333333</v>
      </c>
      <c r="E9" s="2">
        <f>D9-O32</f>
        <v>308333.33333333326</v>
      </c>
      <c r="F9" s="2">
        <f t="shared" ref="F9:O9" si="3">E9</f>
        <v>308333.33333333326</v>
      </c>
      <c r="G9" s="2">
        <f t="shared" si="3"/>
        <v>308333.33333333326</v>
      </c>
      <c r="H9" s="2">
        <f t="shared" si="3"/>
        <v>308333.33333333326</v>
      </c>
      <c r="I9" s="2">
        <f t="shared" si="3"/>
        <v>308333.33333333326</v>
      </c>
      <c r="J9" s="2">
        <f t="shared" si="3"/>
        <v>308333.33333333326</v>
      </c>
      <c r="K9" s="2">
        <f t="shared" si="3"/>
        <v>308333.33333333326</v>
      </c>
      <c r="L9" s="2">
        <f t="shared" si="3"/>
        <v>308333.33333333326</v>
      </c>
      <c r="M9" s="2">
        <f t="shared" si="3"/>
        <v>308333.33333333326</v>
      </c>
      <c r="N9" s="2">
        <f t="shared" si="3"/>
        <v>308333.33333333326</v>
      </c>
      <c r="O9" s="2">
        <f t="shared" si="3"/>
        <v>308333.33333333326</v>
      </c>
      <c r="P9" s="7">
        <f t="shared" si="1"/>
        <v>4699999.9999999972</v>
      </c>
    </row>
    <row r="10" spans="3:17" ht="15" x14ac:dyDescent="0.35">
      <c r="C10" s="33" t="s">
        <v>7</v>
      </c>
      <c r="D10" s="2">
        <f>D8-D9</f>
        <v>5331666.666666667</v>
      </c>
      <c r="E10" s="2">
        <f t="shared" ref="E10:O10" si="4">E8-E9</f>
        <v>5611666.666666667</v>
      </c>
      <c r="F10" s="2">
        <f t="shared" si="4"/>
        <v>6331666.666666667</v>
      </c>
      <c r="G10" s="2">
        <f t="shared" si="4"/>
        <v>6091666.666666667</v>
      </c>
      <c r="H10" s="2">
        <f t="shared" si="4"/>
        <v>6331666.666666667</v>
      </c>
      <c r="I10" s="2">
        <f t="shared" si="4"/>
        <v>6091666.666666667</v>
      </c>
      <c r="J10" s="2">
        <f t="shared" si="4"/>
        <v>6331666.666666667</v>
      </c>
      <c r="K10" s="2">
        <f t="shared" si="4"/>
        <v>6331666.666666667</v>
      </c>
      <c r="L10" s="2">
        <f t="shared" si="4"/>
        <v>6091666.666666667</v>
      </c>
      <c r="M10" s="2">
        <f t="shared" si="4"/>
        <v>6331666.666666667</v>
      </c>
      <c r="N10" s="2">
        <f t="shared" si="4"/>
        <v>6091666.666666667</v>
      </c>
      <c r="O10" s="2">
        <f t="shared" si="4"/>
        <v>6331666.666666667</v>
      </c>
      <c r="P10" s="7">
        <f t="shared" si="1"/>
        <v>73299999.999999985</v>
      </c>
    </row>
    <row r="11" spans="3:17" ht="15" x14ac:dyDescent="0.35">
      <c r="C11" s="33" t="s">
        <v>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7">
        <f>SUM(E11:O11)</f>
        <v>0</v>
      </c>
      <c r="Q11" s="4"/>
    </row>
    <row r="12" spans="3:17" ht="15" x14ac:dyDescent="0.35">
      <c r="C12" s="33" t="s">
        <v>9</v>
      </c>
      <c r="D12" s="2">
        <f>D10-D11</f>
        <v>5331666.666666667</v>
      </c>
      <c r="E12" s="2">
        <f>E10-E11</f>
        <v>5611666.666666667</v>
      </c>
      <c r="F12" s="2">
        <f t="shared" ref="F12:O12" si="5">F10-F11</f>
        <v>6331666.666666667</v>
      </c>
      <c r="G12" s="2">
        <f t="shared" si="5"/>
        <v>6091666.666666667</v>
      </c>
      <c r="H12" s="2">
        <f t="shared" si="5"/>
        <v>6331666.666666667</v>
      </c>
      <c r="I12" s="2">
        <f t="shared" si="5"/>
        <v>6091666.666666667</v>
      </c>
      <c r="J12" s="2">
        <f t="shared" si="5"/>
        <v>6331666.666666667</v>
      </c>
      <c r="K12" s="2">
        <f t="shared" si="5"/>
        <v>6331666.666666667</v>
      </c>
      <c r="L12" s="2">
        <f t="shared" si="5"/>
        <v>6091666.666666667</v>
      </c>
      <c r="M12" s="2">
        <f t="shared" si="5"/>
        <v>6331666.666666667</v>
      </c>
      <c r="N12" s="2">
        <f t="shared" si="5"/>
        <v>6091666.666666667</v>
      </c>
      <c r="O12" s="2">
        <f t="shared" si="5"/>
        <v>6331666.666666667</v>
      </c>
      <c r="P12" s="7">
        <f>SUM(D12:O12)</f>
        <v>73299999.999999985</v>
      </c>
    </row>
    <row r="13" spans="3:17" x14ac:dyDescent="0.35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8"/>
    </row>
    <row r="17" spans="2:20" x14ac:dyDescent="0.35">
      <c r="C17" s="5"/>
      <c r="H17" t="s">
        <v>33</v>
      </c>
      <c r="I17">
        <v>1600</v>
      </c>
    </row>
    <row r="18" spans="2:20" ht="18.5" x14ac:dyDescent="0.45">
      <c r="B18" s="44" t="s">
        <v>54</v>
      </c>
      <c r="C18" s="44"/>
      <c r="D18" s="44"/>
      <c r="E18" s="44"/>
      <c r="F18" s="44"/>
      <c r="G18" s="44"/>
    </row>
    <row r="19" spans="2:20" ht="27" customHeight="1" x14ac:dyDescent="0.35">
      <c r="B19" s="8" t="s">
        <v>53</v>
      </c>
      <c r="C19" s="8" t="s">
        <v>40</v>
      </c>
      <c r="D19" s="8" t="s">
        <v>36</v>
      </c>
      <c r="E19" s="8" t="s">
        <v>37</v>
      </c>
      <c r="F19" s="9" t="s">
        <v>38</v>
      </c>
      <c r="G19" s="8" t="s">
        <v>39</v>
      </c>
    </row>
    <row r="20" spans="2:20" x14ac:dyDescent="0.35">
      <c r="B20" s="31" t="s">
        <v>41</v>
      </c>
      <c r="C20" s="10">
        <v>40</v>
      </c>
      <c r="D20" s="11">
        <v>6000</v>
      </c>
      <c r="E20" s="12">
        <f>C20*D20</f>
        <v>240000</v>
      </c>
      <c r="F20" s="13">
        <v>31</v>
      </c>
      <c r="G20" s="30">
        <f>E20*F20</f>
        <v>7440000</v>
      </c>
      <c r="H20" s="3"/>
      <c r="I20" s="39" t="s">
        <v>12</v>
      </c>
      <c r="J20" s="39"/>
      <c r="K20" s="39"/>
      <c r="L20" s="39"/>
      <c r="N20" s="39" t="s">
        <v>13</v>
      </c>
      <c r="O20" s="39"/>
    </row>
    <row r="21" spans="2:20" x14ac:dyDescent="0.35">
      <c r="B21" s="31" t="s">
        <v>42</v>
      </c>
      <c r="C21" s="10">
        <f>C20</f>
        <v>40</v>
      </c>
      <c r="D21" s="14">
        <f>D20</f>
        <v>6000</v>
      </c>
      <c r="E21" s="12">
        <f t="shared" ref="E21:E31" si="6">C21*D21</f>
        <v>240000</v>
      </c>
      <c r="F21" s="15">
        <v>28</v>
      </c>
      <c r="G21" s="30">
        <f t="shared" ref="G21:G31" si="7">E21*F21</f>
        <v>6720000</v>
      </c>
      <c r="H21" s="3"/>
      <c r="I21" s="10" t="s">
        <v>60</v>
      </c>
      <c r="J21" s="10">
        <v>1</v>
      </c>
      <c r="K21" s="20">
        <v>120000</v>
      </c>
      <c r="L21" s="14">
        <f t="shared" ref="L21:L25" si="8">J21*K21</f>
        <v>120000</v>
      </c>
      <c r="N21" s="10" t="s">
        <v>14</v>
      </c>
      <c r="O21" s="25">
        <v>6000000</v>
      </c>
    </row>
    <row r="22" spans="2:20" x14ac:dyDescent="0.35">
      <c r="B22" s="31" t="s">
        <v>43</v>
      </c>
      <c r="C22" s="10">
        <f t="shared" ref="C22:D31" si="9">C21</f>
        <v>40</v>
      </c>
      <c r="D22" s="14">
        <f t="shared" si="9"/>
        <v>6000</v>
      </c>
      <c r="E22" s="12">
        <f t="shared" si="6"/>
        <v>240000</v>
      </c>
      <c r="F22" s="16">
        <v>31</v>
      </c>
      <c r="G22" s="30">
        <f t="shared" si="7"/>
        <v>7440000</v>
      </c>
      <c r="H22" s="3"/>
      <c r="I22" s="10" t="s">
        <v>61</v>
      </c>
      <c r="J22" s="10">
        <v>1</v>
      </c>
      <c r="K22" s="20">
        <v>100000</v>
      </c>
      <c r="L22" s="14">
        <f t="shared" si="8"/>
        <v>100000</v>
      </c>
    </row>
    <row r="23" spans="2:20" x14ac:dyDescent="0.35">
      <c r="B23" s="31" t="s">
        <v>44</v>
      </c>
      <c r="C23" s="10">
        <f t="shared" si="9"/>
        <v>40</v>
      </c>
      <c r="D23" s="14">
        <f t="shared" si="9"/>
        <v>6000</v>
      </c>
      <c r="E23" s="12">
        <f t="shared" si="6"/>
        <v>240000</v>
      </c>
      <c r="F23" s="16">
        <f>F25</f>
        <v>30</v>
      </c>
      <c r="G23" s="30">
        <f t="shared" si="7"/>
        <v>7200000</v>
      </c>
      <c r="I23" s="10" t="s">
        <v>10</v>
      </c>
      <c r="J23" s="10">
        <v>1</v>
      </c>
      <c r="K23" s="20">
        <v>120000</v>
      </c>
      <c r="L23" s="14">
        <f t="shared" si="8"/>
        <v>120000</v>
      </c>
      <c r="N23" s="40" t="s">
        <v>16</v>
      </c>
      <c r="O23" s="41"/>
      <c r="P23" s="42"/>
    </row>
    <row r="24" spans="2:20" x14ac:dyDescent="0.35">
      <c r="B24" s="31" t="s">
        <v>45</v>
      </c>
      <c r="C24" s="10">
        <f t="shared" si="9"/>
        <v>40</v>
      </c>
      <c r="D24" s="14">
        <f t="shared" si="9"/>
        <v>6000</v>
      </c>
      <c r="E24" s="12">
        <f t="shared" si="6"/>
        <v>240000</v>
      </c>
      <c r="F24" s="17">
        <v>31</v>
      </c>
      <c r="G24" s="30">
        <f t="shared" si="7"/>
        <v>7440000</v>
      </c>
      <c r="I24" s="10" t="s">
        <v>62</v>
      </c>
      <c r="J24" s="10">
        <f>J32</f>
        <v>8</v>
      </c>
      <c r="K24" s="20">
        <v>35000</v>
      </c>
      <c r="L24" s="14">
        <f t="shared" si="8"/>
        <v>280000</v>
      </c>
      <c r="N24" s="26">
        <f>R27</f>
        <v>40</v>
      </c>
      <c r="O24" s="27">
        <v>7000</v>
      </c>
      <c r="P24" s="22">
        <f>O24*N24</f>
        <v>280000</v>
      </c>
    </row>
    <row r="25" spans="2:20" x14ac:dyDescent="0.35">
      <c r="B25" s="31" t="s">
        <v>46</v>
      </c>
      <c r="C25" s="10">
        <f t="shared" si="9"/>
        <v>40</v>
      </c>
      <c r="D25" s="14">
        <f t="shared" si="9"/>
        <v>6000</v>
      </c>
      <c r="E25" s="12">
        <f t="shared" si="6"/>
        <v>240000</v>
      </c>
      <c r="F25" s="13">
        <v>30</v>
      </c>
      <c r="G25" s="30">
        <f t="shared" si="7"/>
        <v>7200000</v>
      </c>
      <c r="I25" s="10" t="s">
        <v>11</v>
      </c>
      <c r="J25" s="10">
        <v>1</v>
      </c>
      <c r="K25" s="20">
        <v>180000</v>
      </c>
      <c r="L25" s="14">
        <f t="shared" si="8"/>
        <v>180000</v>
      </c>
    </row>
    <row r="26" spans="2:20" x14ac:dyDescent="0.35">
      <c r="B26" s="31" t="s">
        <v>47</v>
      </c>
      <c r="C26" s="10">
        <f t="shared" si="9"/>
        <v>40</v>
      </c>
      <c r="D26" s="14">
        <f t="shared" si="9"/>
        <v>6000</v>
      </c>
      <c r="E26" s="12">
        <f t="shared" si="6"/>
        <v>240000</v>
      </c>
      <c r="F26" s="17">
        <v>31</v>
      </c>
      <c r="G26" s="30">
        <f t="shared" si="7"/>
        <v>7440000</v>
      </c>
      <c r="I26" s="46" t="s">
        <v>56</v>
      </c>
      <c r="J26" s="47"/>
      <c r="K26" s="48"/>
      <c r="L26" s="21">
        <f>SUM(L21:L25)</f>
        <v>800000</v>
      </c>
      <c r="N26" s="40" t="s">
        <v>30</v>
      </c>
      <c r="O26" s="41"/>
      <c r="P26" s="42"/>
      <c r="R26" s="40" t="s">
        <v>15</v>
      </c>
      <c r="S26" s="41"/>
      <c r="T26" s="42"/>
    </row>
    <row r="27" spans="2:20" x14ac:dyDescent="0.35">
      <c r="B27" s="31" t="s">
        <v>48</v>
      </c>
      <c r="C27" s="10">
        <f t="shared" si="9"/>
        <v>40</v>
      </c>
      <c r="D27" s="14">
        <f t="shared" si="9"/>
        <v>6000</v>
      </c>
      <c r="E27" s="12">
        <f t="shared" si="6"/>
        <v>240000</v>
      </c>
      <c r="F27" s="17">
        <v>31</v>
      </c>
      <c r="G27" s="30">
        <f t="shared" si="7"/>
        <v>7440000</v>
      </c>
      <c r="N27" s="28">
        <v>12</v>
      </c>
      <c r="O27" s="29">
        <v>25000</v>
      </c>
      <c r="P27" s="23">
        <f>N27*O27</f>
        <v>300000</v>
      </c>
      <c r="R27" s="28">
        <f>C20</f>
        <v>40</v>
      </c>
      <c r="S27" s="29">
        <v>60000</v>
      </c>
      <c r="T27" s="24">
        <f>R27*S27</f>
        <v>2400000</v>
      </c>
    </row>
    <row r="28" spans="2:20" x14ac:dyDescent="0.35">
      <c r="B28" s="31" t="s">
        <v>49</v>
      </c>
      <c r="C28" s="10">
        <f t="shared" si="9"/>
        <v>40</v>
      </c>
      <c r="D28" s="14">
        <f t="shared" si="9"/>
        <v>6000</v>
      </c>
      <c r="E28" s="12">
        <f t="shared" si="6"/>
        <v>240000</v>
      </c>
      <c r="F28" s="13">
        <v>30</v>
      </c>
      <c r="G28" s="30">
        <f t="shared" si="7"/>
        <v>7200000</v>
      </c>
      <c r="J28" t="s">
        <v>17</v>
      </c>
      <c r="K28" s="6">
        <v>1000000</v>
      </c>
    </row>
    <row r="29" spans="2:20" x14ac:dyDescent="0.35">
      <c r="B29" s="31" t="s">
        <v>50</v>
      </c>
      <c r="C29" s="10">
        <f t="shared" si="9"/>
        <v>40</v>
      </c>
      <c r="D29" s="14">
        <f t="shared" si="9"/>
        <v>6000</v>
      </c>
      <c r="E29" s="12">
        <f t="shared" si="6"/>
        <v>240000</v>
      </c>
      <c r="F29" s="18">
        <v>31</v>
      </c>
      <c r="G29" s="30">
        <f t="shared" si="7"/>
        <v>7440000</v>
      </c>
    </row>
    <row r="30" spans="2:20" x14ac:dyDescent="0.35">
      <c r="B30" s="31" t="s">
        <v>51</v>
      </c>
      <c r="C30" s="10">
        <f t="shared" si="9"/>
        <v>40</v>
      </c>
      <c r="D30" s="14">
        <f t="shared" si="9"/>
        <v>6000</v>
      </c>
      <c r="E30" s="12">
        <f t="shared" si="6"/>
        <v>240000</v>
      </c>
      <c r="F30" s="13">
        <v>30</v>
      </c>
      <c r="G30" s="30">
        <f t="shared" si="7"/>
        <v>7200000</v>
      </c>
      <c r="R30" s="40" t="s">
        <v>31</v>
      </c>
      <c r="S30" s="41"/>
      <c r="T30" s="42"/>
    </row>
    <row r="31" spans="2:20" x14ac:dyDescent="0.35">
      <c r="B31" s="31" t="s">
        <v>52</v>
      </c>
      <c r="C31" s="10">
        <f t="shared" si="9"/>
        <v>40</v>
      </c>
      <c r="D31" s="14">
        <f t="shared" si="9"/>
        <v>6000</v>
      </c>
      <c r="E31" s="12">
        <f t="shared" si="6"/>
        <v>240000</v>
      </c>
      <c r="F31" s="18">
        <v>31</v>
      </c>
      <c r="G31" s="30">
        <f t="shared" si="7"/>
        <v>7440000</v>
      </c>
      <c r="I31" s="39" t="s">
        <v>34</v>
      </c>
      <c r="J31" s="39"/>
      <c r="K31" s="39"/>
      <c r="L31" s="39"/>
      <c r="N31" s="43" t="s">
        <v>58</v>
      </c>
      <c r="O31" s="43"/>
      <c r="P31" s="32"/>
      <c r="R31" s="28">
        <f>R27</f>
        <v>40</v>
      </c>
      <c r="S31" s="29">
        <v>1300000</v>
      </c>
      <c r="T31" s="24">
        <f>R31*S31</f>
        <v>52000000</v>
      </c>
    </row>
    <row r="32" spans="2:20" ht="21.5" x14ac:dyDescent="0.75">
      <c r="B32" s="45" t="s">
        <v>55</v>
      </c>
      <c r="C32" s="45"/>
      <c r="D32" s="45"/>
      <c r="E32" s="45"/>
      <c r="F32" s="45"/>
      <c r="G32" s="19">
        <f>SUM(G20:G31)</f>
        <v>87600000</v>
      </c>
      <c r="I32" s="10" t="s">
        <v>32</v>
      </c>
      <c r="J32" s="10">
        <v>8</v>
      </c>
      <c r="K32" s="20">
        <f>3500*I17</f>
        <v>5600000</v>
      </c>
      <c r="L32" s="20">
        <f>J32*K32</f>
        <v>44800000</v>
      </c>
      <c r="N32" s="10" t="s">
        <v>59</v>
      </c>
      <c r="O32" s="25">
        <v>1000000</v>
      </c>
    </row>
    <row r="33" spans="6:13" x14ac:dyDescent="0.35">
      <c r="I33" s="10" t="s">
        <v>35</v>
      </c>
      <c r="J33" s="49">
        <f>'40 Bikes - 1st year'!J33</f>
        <v>116</v>
      </c>
      <c r="K33" s="20">
        <f>250*I17</f>
        <v>400000</v>
      </c>
      <c r="L33" s="20">
        <f>J33*K33</f>
        <v>46400000</v>
      </c>
    </row>
    <row r="34" spans="6:13" x14ac:dyDescent="0.35">
      <c r="I34" s="39" t="s">
        <v>57</v>
      </c>
      <c r="J34" s="39"/>
      <c r="K34" s="39"/>
      <c r="L34" s="21">
        <f>SUM(L32:L33)</f>
        <v>91200000</v>
      </c>
    </row>
    <row r="35" spans="6:13" x14ac:dyDescent="0.35">
      <c r="F35">
        <f>SUM(F20:F31)</f>
        <v>365</v>
      </c>
      <c r="M35" s="4">
        <f>L34/3</f>
        <v>30400000</v>
      </c>
    </row>
  </sheetData>
  <mergeCells count="14">
    <mergeCell ref="B32:F32"/>
    <mergeCell ref="I34:K34"/>
    <mergeCell ref="I26:K26"/>
    <mergeCell ref="N26:P26"/>
    <mergeCell ref="R26:T26"/>
    <mergeCell ref="R30:T30"/>
    <mergeCell ref="I31:L31"/>
    <mergeCell ref="N31:O31"/>
    <mergeCell ref="C4:P4"/>
    <mergeCell ref="C13:P13"/>
    <mergeCell ref="B18:G18"/>
    <mergeCell ref="I20:L20"/>
    <mergeCell ref="N20:O20"/>
    <mergeCell ref="N23:P23"/>
  </mergeCells>
  <conditionalFormatting sqref="D6:P12">
    <cfRule type="cellIs" dxfId="1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60 Bikes</vt:lpstr>
      <vt:lpstr>40 Bikes - 1st year</vt:lpstr>
      <vt:lpstr>40 Bikes - 2nd year</vt:lpstr>
      <vt:lpstr>40 Bikes - 3rd year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2024-09-26T15:12:44Z</dcterms:created>
  <dcterms:modified xsi:type="dcterms:W3CDTF">2024-10-07T15:49:55Z</dcterms:modified>
</cp:coreProperties>
</file>