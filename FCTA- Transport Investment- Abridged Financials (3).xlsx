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Oga Shamsu\"/>
    </mc:Choice>
  </mc:AlternateContent>
  <bookViews>
    <workbookView xWindow="0" yWindow="0" windowWidth="15530" windowHeight="7310" tabRatio="962" firstSheet="3" activeTab="5"/>
  </bookViews>
  <sheets>
    <sheet name="Summary Of Financials" sheetId="13" r:id="rId1"/>
    <sheet name="Summary Of Financials $" sheetId="14" r:id="rId2"/>
    <sheet name="Parameters and Summary" sheetId="1" r:id="rId3"/>
    <sheet name="Exchange Rate growth " sheetId="11" r:id="rId4"/>
    <sheet name="Income Statement" sheetId="3" r:id="rId5"/>
    <sheet name="Cashflow Statement" sheetId="6" r:id="rId6"/>
    <sheet name="Fleet Inventory" sheetId="7" r:id="rId7"/>
    <sheet name="Revenue Schedule" sheetId="4" r:id="rId8"/>
    <sheet name="Facility Repayment Plan" sheetId="5" r:id="rId9"/>
    <sheet name="Balance Sheet" sheetId="12" r:id="rId10"/>
    <sheet name="CAPEX" sheetId="10" r:id="rId11"/>
    <sheet name="OPEX" sheetId="9" r:id="rId12"/>
  </sheets>
  <externalReferences>
    <externalReference r:id="rId13"/>
    <externalReference r:id="rId14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BQ16" i="4" l="1"/>
  <c r="S49" i="4"/>
  <c r="S33" i="4"/>
  <c r="S30" i="4"/>
  <c r="S31" i="4"/>
  <c r="S23" i="4"/>
  <c r="S16" i="4"/>
  <c r="G23" i="4"/>
  <c r="G16" i="4"/>
  <c r="G9" i="4"/>
  <c r="AP33" i="4"/>
  <c r="AR33" i="4"/>
  <c r="AR23" i="4"/>
  <c r="AR16" i="4"/>
  <c r="J13" i="14"/>
  <c r="K13" i="14"/>
  <c r="L13" i="14"/>
  <c r="M13" i="14"/>
  <c r="M20" i="14" s="1"/>
  <c r="I13" i="14"/>
  <c r="H19" i="14"/>
  <c r="G19" i="14"/>
  <c r="F19" i="14"/>
  <c r="E19" i="14"/>
  <c r="N19" i="14" s="1"/>
  <c r="D19" i="14"/>
  <c r="M18" i="14"/>
  <c r="L18" i="14"/>
  <c r="K18" i="14"/>
  <c r="J18" i="14"/>
  <c r="I18" i="14"/>
  <c r="H18" i="14"/>
  <c r="G18" i="14"/>
  <c r="F18" i="14"/>
  <c r="E18" i="14"/>
  <c r="D18" i="14"/>
  <c r="M16" i="14"/>
  <c r="L16" i="14"/>
  <c r="K16" i="14"/>
  <c r="J16" i="14"/>
  <c r="I16" i="14"/>
  <c r="H16" i="14"/>
  <c r="G16" i="14"/>
  <c r="F16" i="14"/>
  <c r="E16" i="14"/>
  <c r="D16" i="14"/>
  <c r="M14" i="14"/>
  <c r="L14" i="14"/>
  <c r="K14" i="14"/>
  <c r="J14" i="14"/>
  <c r="I14" i="14"/>
  <c r="H14" i="14"/>
  <c r="G14" i="14"/>
  <c r="F14" i="14"/>
  <c r="E14" i="14"/>
  <c r="D14" i="14"/>
  <c r="J20" i="14"/>
  <c r="M12" i="14"/>
  <c r="L12" i="14"/>
  <c r="K12" i="14"/>
  <c r="J12" i="14"/>
  <c r="I12" i="14"/>
  <c r="H12" i="14"/>
  <c r="G12" i="14"/>
  <c r="N12" i="14" s="1"/>
  <c r="F12" i="14"/>
  <c r="E12" i="14"/>
  <c r="D12" i="14"/>
  <c r="M11" i="14"/>
  <c r="L11" i="14"/>
  <c r="K11" i="14"/>
  <c r="J11" i="14"/>
  <c r="I11" i="14"/>
  <c r="H11" i="14"/>
  <c r="G11" i="14"/>
  <c r="F11" i="14"/>
  <c r="E11" i="14"/>
  <c r="N11" i="14" s="1"/>
  <c r="D11" i="14"/>
  <c r="M10" i="14"/>
  <c r="L10" i="14"/>
  <c r="K10" i="14"/>
  <c r="J10" i="14"/>
  <c r="I10" i="14"/>
  <c r="H10" i="14"/>
  <c r="G10" i="14"/>
  <c r="N10" i="14" s="1"/>
  <c r="F10" i="14"/>
  <c r="E10" i="14"/>
  <c r="D10" i="14"/>
  <c r="M9" i="14"/>
  <c r="L9" i="14"/>
  <c r="K9" i="14"/>
  <c r="J9" i="14"/>
  <c r="I9" i="14"/>
  <c r="H9" i="14"/>
  <c r="G9" i="14"/>
  <c r="F9" i="14"/>
  <c r="E9" i="14"/>
  <c r="D9" i="14"/>
  <c r="M8" i="14"/>
  <c r="L8" i="14"/>
  <c r="K8" i="14"/>
  <c r="J8" i="14"/>
  <c r="I8" i="14"/>
  <c r="H8" i="14"/>
  <c r="G8" i="14"/>
  <c r="N8" i="14" s="1"/>
  <c r="F8" i="14"/>
  <c r="E8" i="14"/>
  <c r="D8" i="14"/>
  <c r="M7" i="14"/>
  <c r="L7" i="14"/>
  <c r="K7" i="14"/>
  <c r="J7" i="14"/>
  <c r="I7" i="14"/>
  <c r="H7" i="14"/>
  <c r="G7" i="14"/>
  <c r="F7" i="14"/>
  <c r="E7" i="14"/>
  <c r="D7" i="14"/>
  <c r="H20" i="14"/>
  <c r="G20" i="14"/>
  <c r="F20" i="14"/>
  <c r="E20" i="14"/>
  <c r="D20" i="14"/>
  <c r="L20" i="14"/>
  <c r="K20" i="14"/>
  <c r="I20" i="14"/>
  <c r="N9" i="14"/>
  <c r="M12" i="13"/>
  <c r="L12" i="13"/>
  <c r="K12" i="13"/>
  <c r="J12" i="13"/>
  <c r="AL70" i="3"/>
  <c r="AI70" i="3"/>
  <c r="AF70" i="3"/>
  <c r="AC70" i="3"/>
  <c r="Z70" i="3"/>
  <c r="D12" i="13"/>
  <c r="I61" i="1"/>
  <c r="J61" i="1"/>
  <c r="K61" i="1"/>
  <c r="L61" i="1"/>
  <c r="M61" i="1" s="1"/>
  <c r="N61" i="1" s="1"/>
  <c r="O61" i="1" s="1"/>
  <c r="H61" i="1"/>
  <c r="G61" i="1"/>
  <c r="G24" i="1"/>
  <c r="H24" i="1" s="1"/>
  <c r="I24" i="1" s="1"/>
  <c r="J24" i="1" s="1"/>
  <c r="K24" i="1" s="1"/>
  <c r="L24" i="1" s="1"/>
  <c r="M24" i="1" s="1"/>
  <c r="N24" i="1" s="1"/>
  <c r="O24" i="1" s="1"/>
  <c r="N16" i="14" l="1"/>
  <c r="N18" i="14"/>
  <c r="N20" i="14"/>
  <c r="N7" i="14"/>
  <c r="N14" i="14"/>
  <c r="N13" i="14"/>
  <c r="Z13" i="3"/>
  <c r="AM13" i="3"/>
  <c r="AL13" i="3"/>
  <c r="AN13" i="3" s="1"/>
  <c r="AI13" i="3"/>
  <c r="AF13" i="3"/>
  <c r="AC13" i="3"/>
  <c r="W13" i="3"/>
  <c r="T13" i="3"/>
  <c r="Q13" i="3"/>
  <c r="N13" i="3"/>
  <c r="E13" i="3" s="1"/>
  <c r="G13" i="3" s="1"/>
  <c r="I13" i="3"/>
  <c r="F13" i="3"/>
  <c r="AA13" i="6"/>
  <c r="AP13" i="6"/>
  <c r="AM13" i="6"/>
  <c r="AJ13" i="6"/>
  <c r="AD13" i="6"/>
  <c r="AG13" i="6"/>
  <c r="AE13" i="6"/>
  <c r="X13" i="6"/>
  <c r="U13" i="6"/>
  <c r="R13" i="6"/>
  <c r="P13" i="6"/>
  <c r="O13" i="6"/>
  <c r="N13" i="6"/>
  <c r="L13" i="6"/>
  <c r="M13" i="6" s="1"/>
  <c r="I13" i="6"/>
  <c r="F13" i="6"/>
  <c r="AJ18" i="5"/>
  <c r="AJ17" i="5"/>
  <c r="AZ18" i="5"/>
  <c r="AZ17" i="5"/>
  <c r="AU18" i="5"/>
  <c r="AU17" i="5"/>
  <c r="AP18" i="5"/>
  <c r="AP17" i="5"/>
  <c r="AK18" i="5"/>
  <c r="AK17" i="5"/>
  <c r="AF18" i="5"/>
  <c r="H30" i="5" s="1"/>
  <c r="AF17" i="5"/>
  <c r="AY18" i="5"/>
  <c r="AY17" i="5"/>
  <c r="AT18" i="5"/>
  <c r="AT17" i="5"/>
  <c r="AO18" i="5"/>
  <c r="AO17" i="5"/>
  <c r="AE18" i="5"/>
  <c r="AE17" i="5"/>
  <c r="AQ43" i="4"/>
  <c r="E19" i="13"/>
  <c r="F19" i="13"/>
  <c r="G19" i="13"/>
  <c r="H19" i="13"/>
  <c r="D19" i="13"/>
  <c r="AQ10" i="4"/>
  <c r="K66" i="3"/>
  <c r="H20" i="13"/>
  <c r="G20" i="13"/>
  <c r="F20" i="13"/>
  <c r="E20" i="13"/>
  <c r="D20" i="13"/>
  <c r="M13" i="13"/>
  <c r="M20" i="13" s="1"/>
  <c r="L13" i="13"/>
  <c r="L20" i="13" s="1"/>
  <c r="K13" i="13"/>
  <c r="K20" i="13" s="1"/>
  <c r="J13" i="13"/>
  <c r="J20" i="13" s="1"/>
  <c r="I13" i="13"/>
  <c r="I20" i="13" s="1"/>
  <c r="I30" i="5" l="1"/>
  <c r="N20" i="13"/>
  <c r="BP10" i="4"/>
  <c r="N13" i="13"/>
  <c r="N19" i="13"/>
  <c r="C12" i="3"/>
  <c r="F6" i="11"/>
  <c r="G6" i="11"/>
  <c r="H6" i="11" s="1"/>
  <c r="I6" i="11" s="1"/>
  <c r="J6" i="11" s="1"/>
  <c r="K6" i="11" s="1"/>
  <c r="L6" i="11" s="1"/>
  <c r="M6" i="11" s="1"/>
  <c r="E6" i="11"/>
  <c r="AI23" i="12"/>
  <c r="AF23" i="12"/>
  <c r="AC23" i="12"/>
  <c r="Z23" i="12"/>
  <c r="W23" i="12"/>
  <c r="T23" i="12"/>
  <c r="Q23" i="12"/>
  <c r="N23" i="12"/>
  <c r="K23" i="12"/>
  <c r="K14" i="12"/>
  <c r="H23" i="12"/>
  <c r="G44" i="12"/>
  <c r="G47" i="12" s="1"/>
  <c r="D20" i="12"/>
  <c r="K45" i="12"/>
  <c r="C37" i="12"/>
  <c r="AF33" i="12"/>
  <c r="AC33" i="12"/>
  <c r="Z33" i="12"/>
  <c r="G35" i="12"/>
  <c r="H30" i="12"/>
  <c r="K30" i="12" s="1"/>
  <c r="H22" i="12"/>
  <c r="E11" i="12"/>
  <c r="AI10" i="12"/>
  <c r="AF10" i="12"/>
  <c r="H10" i="12"/>
  <c r="K4" i="12"/>
  <c r="N4" i="12" s="1"/>
  <c r="Q4" i="12" s="1"/>
  <c r="T4" i="12" s="1"/>
  <c r="W4" i="12" s="1"/>
  <c r="Z4" i="12" s="1"/>
  <c r="AC4" i="12" s="1"/>
  <c r="AF4" i="12" s="1"/>
  <c r="AI4" i="12" s="1"/>
  <c r="D38" i="5"/>
  <c r="G38" i="6"/>
  <c r="D6" i="11"/>
  <c r="D9" i="12" s="1"/>
  <c r="D54" i="1"/>
  <c r="D55" i="1" s="1"/>
  <c r="D56" i="1" s="1"/>
  <c r="D57" i="1" s="1"/>
  <c r="D58" i="1" s="1"/>
  <c r="E54" i="1"/>
  <c r="E55" i="1" s="1"/>
  <c r="E56" i="1" s="1"/>
  <c r="E57" i="1" s="1"/>
  <c r="E58" i="1" s="1"/>
  <c r="F54" i="1"/>
  <c r="F55" i="1" s="1"/>
  <c r="F56" i="1" s="1"/>
  <c r="F57" i="1" s="1"/>
  <c r="F58" i="1" s="1"/>
  <c r="F45" i="1"/>
  <c r="F46" i="1" s="1"/>
  <c r="F47" i="1" s="1"/>
  <c r="F48" i="1" s="1"/>
  <c r="F49" i="1" s="1"/>
  <c r="E45" i="1"/>
  <c r="E46" i="1" s="1"/>
  <c r="E47" i="1" s="1"/>
  <c r="E48" i="1" s="1"/>
  <c r="E49" i="1" s="1"/>
  <c r="D45" i="1"/>
  <c r="D46" i="1" s="1"/>
  <c r="D47" i="1" s="1"/>
  <c r="D48" i="1" s="1"/>
  <c r="D49" i="1" s="1"/>
  <c r="G78" i="6"/>
  <c r="G85" i="6"/>
  <c r="H71" i="3"/>
  <c r="AL36" i="3"/>
  <c r="AL35" i="3"/>
  <c r="AI36" i="3"/>
  <c r="AI35" i="3"/>
  <c r="AF36" i="3"/>
  <c r="AF35" i="3"/>
  <c r="AC36" i="3"/>
  <c r="AC35" i="3"/>
  <c r="Z36" i="3"/>
  <c r="Z35" i="3"/>
  <c r="W36" i="3"/>
  <c r="W35" i="3"/>
  <c r="T36" i="3"/>
  <c r="T35" i="3"/>
  <c r="Q36" i="3"/>
  <c r="Q35" i="3"/>
  <c r="K54" i="3"/>
  <c r="K53" i="3"/>
  <c r="AL12" i="3"/>
  <c r="AI12" i="3"/>
  <c r="AF12" i="3"/>
  <c r="AC12" i="3"/>
  <c r="Z12" i="3"/>
  <c r="W12" i="3"/>
  <c r="T12" i="3"/>
  <c r="Q12" i="3"/>
  <c r="N12" i="3"/>
  <c r="C14" i="5"/>
  <c r="C13" i="5"/>
  <c r="IF48" i="4"/>
  <c r="IF55" i="4" s="1"/>
  <c r="IF62" i="4" s="1"/>
  <c r="IF47" i="4"/>
  <c r="IF54" i="4" s="1"/>
  <c r="IF61" i="4" s="1"/>
  <c r="IF46" i="4"/>
  <c r="IF53" i="4" s="1"/>
  <c r="IF60" i="4" s="1"/>
  <c r="IF45" i="4"/>
  <c r="IF52" i="4" s="1"/>
  <c r="IF59" i="4" s="1"/>
  <c r="IF44" i="4"/>
  <c r="IF51" i="4" s="1"/>
  <c r="IF58" i="4" s="1"/>
  <c r="IF43" i="4"/>
  <c r="IF50" i="4" s="1"/>
  <c r="IF57" i="4" s="1"/>
  <c r="IF15" i="4"/>
  <c r="IF22" i="4" s="1"/>
  <c r="IF29" i="4" s="1"/>
  <c r="IF14" i="4"/>
  <c r="IF21" i="4" s="1"/>
  <c r="IF28" i="4" s="1"/>
  <c r="IF13" i="4"/>
  <c r="IF20" i="4" s="1"/>
  <c r="IF27" i="4" s="1"/>
  <c r="IF12" i="4"/>
  <c r="IF19" i="4" s="1"/>
  <c r="IF26" i="4" s="1"/>
  <c r="IF11" i="4"/>
  <c r="IF18" i="4" s="1"/>
  <c r="IF25" i="4" s="1"/>
  <c r="IF10" i="4"/>
  <c r="IF17" i="4" s="1"/>
  <c r="IF24" i="4" s="1"/>
  <c r="HG48" i="4"/>
  <c r="HG55" i="4" s="1"/>
  <c r="HG62" i="4" s="1"/>
  <c r="HG47" i="4"/>
  <c r="HG54" i="4" s="1"/>
  <c r="HG61" i="4" s="1"/>
  <c r="HG46" i="4"/>
  <c r="HG53" i="4" s="1"/>
  <c r="HG60" i="4" s="1"/>
  <c r="HG45" i="4"/>
  <c r="HG52" i="4" s="1"/>
  <c r="HG59" i="4" s="1"/>
  <c r="HG44" i="4"/>
  <c r="HG51" i="4" s="1"/>
  <c r="HG58" i="4" s="1"/>
  <c r="HG43" i="4"/>
  <c r="HG50" i="4" s="1"/>
  <c r="HG57" i="4" s="1"/>
  <c r="HG15" i="4"/>
  <c r="HG22" i="4" s="1"/>
  <c r="HG29" i="4" s="1"/>
  <c r="HG14" i="4"/>
  <c r="HG21" i="4" s="1"/>
  <c r="HG28" i="4" s="1"/>
  <c r="HG13" i="4"/>
  <c r="HG20" i="4" s="1"/>
  <c r="HG27" i="4" s="1"/>
  <c r="HG12" i="4"/>
  <c r="HG19" i="4" s="1"/>
  <c r="HG26" i="4" s="1"/>
  <c r="HG11" i="4"/>
  <c r="HG18" i="4" s="1"/>
  <c r="HG25" i="4" s="1"/>
  <c r="HG10" i="4"/>
  <c r="HG17" i="4" s="1"/>
  <c r="HG24" i="4" s="1"/>
  <c r="GH48" i="4"/>
  <c r="GH55" i="4" s="1"/>
  <c r="GH62" i="4" s="1"/>
  <c r="GH47" i="4"/>
  <c r="GH54" i="4" s="1"/>
  <c r="GH61" i="4" s="1"/>
  <c r="GH46" i="4"/>
  <c r="GH53" i="4" s="1"/>
  <c r="GH60" i="4" s="1"/>
  <c r="GH45" i="4"/>
  <c r="GH52" i="4" s="1"/>
  <c r="GH59" i="4" s="1"/>
  <c r="GH44" i="4"/>
  <c r="GH51" i="4" s="1"/>
  <c r="GH58" i="4" s="1"/>
  <c r="GH43" i="4"/>
  <c r="GH50" i="4" s="1"/>
  <c r="GH57" i="4" s="1"/>
  <c r="GH15" i="4"/>
  <c r="GH22" i="4" s="1"/>
  <c r="GH29" i="4" s="1"/>
  <c r="GH14" i="4"/>
  <c r="GH21" i="4" s="1"/>
  <c r="GH28" i="4" s="1"/>
  <c r="GH13" i="4"/>
  <c r="GH20" i="4" s="1"/>
  <c r="GH27" i="4" s="1"/>
  <c r="GH12" i="4"/>
  <c r="GH19" i="4" s="1"/>
  <c r="GH26" i="4" s="1"/>
  <c r="GH11" i="4"/>
  <c r="GH18" i="4" s="1"/>
  <c r="GH25" i="4" s="1"/>
  <c r="GH10" i="4"/>
  <c r="GH17" i="4" s="1"/>
  <c r="GH24" i="4" s="1"/>
  <c r="FI48" i="4"/>
  <c r="FI55" i="4" s="1"/>
  <c r="FI62" i="4" s="1"/>
  <c r="FI47" i="4"/>
  <c r="FI54" i="4" s="1"/>
  <c r="FI61" i="4" s="1"/>
  <c r="FI46" i="4"/>
  <c r="FI53" i="4" s="1"/>
  <c r="FI60" i="4" s="1"/>
  <c r="FI45" i="4"/>
  <c r="FI52" i="4" s="1"/>
  <c r="FI59" i="4" s="1"/>
  <c r="FI44" i="4"/>
  <c r="FI51" i="4" s="1"/>
  <c r="FI58" i="4" s="1"/>
  <c r="FI43" i="4"/>
  <c r="FI50" i="4" s="1"/>
  <c r="FI57" i="4" s="1"/>
  <c r="FI15" i="4"/>
  <c r="FI22" i="4" s="1"/>
  <c r="FI29" i="4" s="1"/>
  <c r="FI14" i="4"/>
  <c r="FI21" i="4" s="1"/>
  <c r="FI28" i="4" s="1"/>
  <c r="FI13" i="4"/>
  <c r="FI20" i="4" s="1"/>
  <c r="FI27" i="4" s="1"/>
  <c r="FI12" i="4"/>
  <c r="FI19" i="4" s="1"/>
  <c r="FI26" i="4" s="1"/>
  <c r="FI11" i="4"/>
  <c r="FI18" i="4" s="1"/>
  <c r="FI25" i="4" s="1"/>
  <c r="FI10" i="4"/>
  <c r="FI17" i="4" s="1"/>
  <c r="FI24" i="4" s="1"/>
  <c r="EJ48" i="4"/>
  <c r="EJ55" i="4" s="1"/>
  <c r="EJ62" i="4" s="1"/>
  <c r="EJ47" i="4"/>
  <c r="EJ54" i="4" s="1"/>
  <c r="EJ61" i="4" s="1"/>
  <c r="EJ46" i="4"/>
  <c r="EJ53" i="4" s="1"/>
  <c r="EJ60" i="4" s="1"/>
  <c r="EJ45" i="4"/>
  <c r="EJ52" i="4" s="1"/>
  <c r="EJ59" i="4" s="1"/>
  <c r="EJ44" i="4"/>
  <c r="EJ51" i="4" s="1"/>
  <c r="EJ58" i="4" s="1"/>
  <c r="EJ43" i="4"/>
  <c r="EJ50" i="4" s="1"/>
  <c r="EJ57" i="4" s="1"/>
  <c r="EJ15" i="4"/>
  <c r="EJ22" i="4" s="1"/>
  <c r="EJ29" i="4" s="1"/>
  <c r="EJ14" i="4"/>
  <c r="EJ21" i="4" s="1"/>
  <c r="EJ28" i="4" s="1"/>
  <c r="EJ13" i="4"/>
  <c r="EJ20" i="4" s="1"/>
  <c r="EJ27" i="4" s="1"/>
  <c r="EJ12" i="4"/>
  <c r="EJ19" i="4" s="1"/>
  <c r="EJ26" i="4" s="1"/>
  <c r="EJ11" i="4"/>
  <c r="EJ18" i="4" s="1"/>
  <c r="EJ25" i="4" s="1"/>
  <c r="EJ10" i="4"/>
  <c r="EJ17" i="4" s="1"/>
  <c r="EJ24" i="4" s="1"/>
  <c r="DK48" i="4"/>
  <c r="DK55" i="4" s="1"/>
  <c r="DK62" i="4" s="1"/>
  <c r="DK47" i="4"/>
  <c r="DK54" i="4" s="1"/>
  <c r="DK61" i="4" s="1"/>
  <c r="DK46" i="4"/>
  <c r="DK53" i="4" s="1"/>
  <c r="DK60" i="4" s="1"/>
  <c r="DK45" i="4"/>
  <c r="DK52" i="4" s="1"/>
  <c r="DK59" i="4" s="1"/>
  <c r="DK44" i="4"/>
  <c r="DK51" i="4" s="1"/>
  <c r="DK58" i="4" s="1"/>
  <c r="DK43" i="4"/>
  <c r="DK50" i="4" s="1"/>
  <c r="DK57" i="4" s="1"/>
  <c r="DK15" i="4"/>
  <c r="DK22" i="4" s="1"/>
  <c r="DK29" i="4" s="1"/>
  <c r="DK14" i="4"/>
  <c r="DK21" i="4" s="1"/>
  <c r="DK28" i="4" s="1"/>
  <c r="DK13" i="4"/>
  <c r="DK20" i="4" s="1"/>
  <c r="DK27" i="4" s="1"/>
  <c r="DK12" i="4"/>
  <c r="DK19" i="4" s="1"/>
  <c r="DK26" i="4" s="1"/>
  <c r="DK11" i="4"/>
  <c r="DK18" i="4" s="1"/>
  <c r="DK25" i="4" s="1"/>
  <c r="DK10" i="4"/>
  <c r="DK17" i="4" s="1"/>
  <c r="DK24" i="4" s="1"/>
  <c r="CL48" i="4"/>
  <c r="CL55" i="4" s="1"/>
  <c r="CL62" i="4" s="1"/>
  <c r="CL47" i="4"/>
  <c r="CL54" i="4" s="1"/>
  <c r="CL61" i="4" s="1"/>
  <c r="CL46" i="4"/>
  <c r="CL53" i="4" s="1"/>
  <c r="CL60" i="4" s="1"/>
  <c r="CL45" i="4"/>
  <c r="CL52" i="4" s="1"/>
  <c r="CL59" i="4" s="1"/>
  <c r="CL44" i="4"/>
  <c r="CL51" i="4" s="1"/>
  <c r="CL58" i="4" s="1"/>
  <c r="CL43" i="4"/>
  <c r="CL50" i="4" s="1"/>
  <c r="CL57" i="4" s="1"/>
  <c r="CL10" i="4"/>
  <c r="CL17" i="4" s="1"/>
  <c r="CL24" i="4" s="1"/>
  <c r="K77" i="6"/>
  <c r="BM48" i="4"/>
  <c r="BM55" i="4" s="1"/>
  <c r="BM62" i="4" s="1"/>
  <c r="BM47" i="4"/>
  <c r="BM54" i="4" s="1"/>
  <c r="BM61" i="4" s="1"/>
  <c r="BM46" i="4"/>
  <c r="BM53" i="4" s="1"/>
  <c r="BM60" i="4" s="1"/>
  <c r="BM45" i="4"/>
  <c r="BM52" i="4" s="1"/>
  <c r="BM59" i="4" s="1"/>
  <c r="BM44" i="4"/>
  <c r="BM51" i="4" s="1"/>
  <c r="BM58" i="4" s="1"/>
  <c r="BM43" i="4"/>
  <c r="BM50" i="4" s="1"/>
  <c r="BM57" i="4" s="1"/>
  <c r="BP17" i="4"/>
  <c r="BM15" i="4"/>
  <c r="BM22" i="4" s="1"/>
  <c r="BM29" i="4" s="1"/>
  <c r="BM14" i="4"/>
  <c r="BM21" i="4" s="1"/>
  <c r="BM28" i="4" s="1"/>
  <c r="BM13" i="4"/>
  <c r="BM20" i="4" s="1"/>
  <c r="BM27" i="4" s="1"/>
  <c r="BM12" i="4"/>
  <c r="BM19" i="4" s="1"/>
  <c r="BM26" i="4" s="1"/>
  <c r="BM11" i="4"/>
  <c r="BM18" i="4" s="1"/>
  <c r="BM25" i="4" s="1"/>
  <c r="BM10" i="4"/>
  <c r="BM17" i="4" s="1"/>
  <c r="BM24" i="4" s="1"/>
  <c r="AQ44" i="4"/>
  <c r="AN48" i="4"/>
  <c r="AN55" i="4" s="1"/>
  <c r="AN62" i="4" s="1"/>
  <c r="AN47" i="4"/>
  <c r="AN54" i="4" s="1"/>
  <c r="AN61" i="4" s="1"/>
  <c r="AN46" i="4"/>
  <c r="AN53" i="4" s="1"/>
  <c r="AN60" i="4" s="1"/>
  <c r="AN45" i="4"/>
  <c r="AN52" i="4" s="1"/>
  <c r="AN59" i="4" s="1"/>
  <c r="AN44" i="4"/>
  <c r="AN51" i="4" s="1"/>
  <c r="AN58" i="4" s="1"/>
  <c r="AN43" i="4"/>
  <c r="AN50" i="4" s="1"/>
  <c r="AN57" i="4" s="1"/>
  <c r="AL42" i="4"/>
  <c r="AL49" i="4" s="1"/>
  <c r="AL56" i="4" s="1"/>
  <c r="AL57" i="4" s="1"/>
  <c r="AL58" i="4" s="1"/>
  <c r="AL59" i="4" s="1"/>
  <c r="AL60" i="4" s="1"/>
  <c r="AL61" i="4" s="1"/>
  <c r="AL62" i="4" s="1"/>
  <c r="AN15" i="4"/>
  <c r="AN22" i="4" s="1"/>
  <c r="AN29" i="4" s="1"/>
  <c r="AN14" i="4"/>
  <c r="AN21" i="4" s="1"/>
  <c r="AN28" i="4" s="1"/>
  <c r="AN13" i="4"/>
  <c r="AN20" i="4" s="1"/>
  <c r="AN27" i="4" s="1"/>
  <c r="AN12" i="4"/>
  <c r="AN19" i="4" s="1"/>
  <c r="AN26" i="4" s="1"/>
  <c r="AN11" i="4"/>
  <c r="AN18" i="4" s="1"/>
  <c r="AN25" i="4" s="1"/>
  <c r="AN10" i="4"/>
  <c r="AN17" i="4" s="1"/>
  <c r="AN24" i="4" s="1"/>
  <c r="IO61" i="4"/>
  <c r="IH58" i="4"/>
  <c r="IH59" i="4" s="1"/>
  <c r="IH60" i="4" s="1"/>
  <c r="IB58" i="4"/>
  <c r="IB59" i="4" s="1"/>
  <c r="IB60" i="4" s="1"/>
  <c r="IB61" i="4" s="1"/>
  <c r="IB62" i="4" s="1"/>
  <c r="IO57" i="4"/>
  <c r="IL57" i="4"/>
  <c r="IP57" i="4" s="1"/>
  <c r="IT57" i="4" s="1"/>
  <c r="IO55" i="4"/>
  <c r="IK55" i="4"/>
  <c r="IK62" i="4" s="1"/>
  <c r="IO54" i="4"/>
  <c r="IK54" i="4"/>
  <c r="IK61" i="4" s="1"/>
  <c r="IO53" i="4"/>
  <c r="IO60" i="4" s="1"/>
  <c r="IK53" i="4"/>
  <c r="IO52" i="4"/>
  <c r="IO59" i="4" s="1"/>
  <c r="IK52" i="4"/>
  <c r="IK59" i="4" s="1"/>
  <c r="IO51" i="4"/>
  <c r="IL51" i="4"/>
  <c r="IL52" i="4" s="1"/>
  <c r="IP52" i="4" s="1"/>
  <c r="IT52" i="4" s="1"/>
  <c r="IK51" i="4"/>
  <c r="IK58" i="4" s="1"/>
  <c r="IH51" i="4"/>
  <c r="IH52" i="4" s="1"/>
  <c r="IH53" i="4" s="1"/>
  <c r="IH54" i="4" s="1"/>
  <c r="IH55" i="4" s="1"/>
  <c r="IB51" i="4"/>
  <c r="IB52" i="4" s="1"/>
  <c r="IB53" i="4" s="1"/>
  <c r="IB54" i="4" s="1"/>
  <c r="IB55" i="4" s="1"/>
  <c r="IP50" i="4"/>
  <c r="IT50" i="4" s="1"/>
  <c r="IO50" i="4"/>
  <c r="IK50" i="4"/>
  <c r="IK57" i="4" s="1"/>
  <c r="IS48" i="4"/>
  <c r="IS55" i="4" s="1"/>
  <c r="IS62" i="4" s="1"/>
  <c r="IS47" i="4"/>
  <c r="IS54" i="4" s="1"/>
  <c r="IS46" i="4"/>
  <c r="IS53" i="4" s="1"/>
  <c r="IS45" i="4"/>
  <c r="IS44" i="4"/>
  <c r="IS51" i="4" s="1"/>
  <c r="IS58" i="4" s="1"/>
  <c r="IH44" i="4"/>
  <c r="IL44" i="4" s="1"/>
  <c r="IP44" i="4" s="1"/>
  <c r="IT44" i="4" s="1"/>
  <c r="IB44" i="4"/>
  <c r="IB45" i="4" s="1"/>
  <c r="IB46" i="4" s="1"/>
  <c r="IB47" i="4" s="1"/>
  <c r="IB48" i="4" s="1"/>
  <c r="IS43" i="4"/>
  <c r="IL43" i="4"/>
  <c r="IP43" i="4" s="1"/>
  <c r="IO29" i="4"/>
  <c r="IL29" i="4"/>
  <c r="IP29" i="4" s="1"/>
  <c r="IT29" i="4" s="1"/>
  <c r="IP28" i="4"/>
  <c r="IT28" i="4" s="1"/>
  <c r="IL28" i="4"/>
  <c r="IL27" i="4"/>
  <c r="IP27" i="4" s="1"/>
  <c r="IT27" i="4" s="1"/>
  <c r="IP26" i="4"/>
  <c r="IT26" i="4" s="1"/>
  <c r="IL26" i="4"/>
  <c r="IT25" i="4"/>
  <c r="IL25" i="4"/>
  <c r="IP25" i="4" s="1"/>
  <c r="IB25" i="4"/>
  <c r="IB26" i="4" s="1"/>
  <c r="IB27" i="4" s="1"/>
  <c r="IB28" i="4" s="1"/>
  <c r="IB29" i="4" s="1"/>
  <c r="IP24" i="4"/>
  <c r="IT24" i="4" s="1"/>
  <c r="IL24" i="4"/>
  <c r="IO22" i="4"/>
  <c r="IK22" i="4"/>
  <c r="IO21" i="4"/>
  <c r="IO28" i="4" s="1"/>
  <c r="IK21" i="4"/>
  <c r="IK28" i="4" s="1"/>
  <c r="IO20" i="4"/>
  <c r="IO27" i="4" s="1"/>
  <c r="IK20" i="4"/>
  <c r="IK27" i="4" s="1"/>
  <c r="IB20" i="4"/>
  <c r="IB21" i="4" s="1"/>
  <c r="IB22" i="4" s="1"/>
  <c r="IO19" i="4"/>
  <c r="IO26" i="4" s="1"/>
  <c r="IK19" i="4"/>
  <c r="IK26" i="4" s="1"/>
  <c r="IB19" i="4"/>
  <c r="IO18" i="4"/>
  <c r="IO25" i="4" s="1"/>
  <c r="IK18" i="4"/>
  <c r="IK25" i="4" s="1"/>
  <c r="IH18" i="4"/>
  <c r="IL18" i="4" s="1"/>
  <c r="IP18" i="4" s="1"/>
  <c r="IT18" i="4" s="1"/>
  <c r="IB18" i="4"/>
  <c r="IO17" i="4"/>
  <c r="IL17" i="4"/>
  <c r="IP17" i="4" s="1"/>
  <c r="IT17" i="4" s="1"/>
  <c r="IK17" i="4"/>
  <c r="IK24" i="4" s="1"/>
  <c r="IS15" i="4"/>
  <c r="IS22" i="4" s="1"/>
  <c r="IS14" i="4"/>
  <c r="IS21" i="4" s="1"/>
  <c r="IS13" i="4"/>
  <c r="IS20" i="4" s="1"/>
  <c r="IS12" i="4"/>
  <c r="IS11" i="4"/>
  <c r="IS18" i="4" s="1"/>
  <c r="IS25" i="4" s="1"/>
  <c r="IH11" i="4"/>
  <c r="IH12" i="4" s="1"/>
  <c r="IB11" i="4"/>
  <c r="IB12" i="4" s="1"/>
  <c r="IB13" i="4" s="1"/>
  <c r="IB14" i="4" s="1"/>
  <c r="IB15" i="4" s="1"/>
  <c r="IS10" i="4"/>
  <c r="IS17" i="4" s="1"/>
  <c r="IS24" i="4" s="1"/>
  <c r="IL10" i="4"/>
  <c r="IP10" i="4" s="1"/>
  <c r="HP61" i="4"/>
  <c r="HL59" i="4"/>
  <c r="HI58" i="4"/>
  <c r="HC58" i="4"/>
  <c r="HC59" i="4" s="1"/>
  <c r="HC60" i="4" s="1"/>
  <c r="HC61" i="4" s="1"/>
  <c r="HC62" i="4" s="1"/>
  <c r="HM57" i="4"/>
  <c r="HQ57" i="4" s="1"/>
  <c r="HU57" i="4" s="1"/>
  <c r="HP55" i="4"/>
  <c r="HP62" i="4" s="1"/>
  <c r="HL55" i="4"/>
  <c r="HL62" i="4" s="1"/>
  <c r="HT54" i="4"/>
  <c r="HT61" i="4" s="1"/>
  <c r="HP54" i="4"/>
  <c r="HL54" i="4"/>
  <c r="HP53" i="4"/>
  <c r="HP60" i="4" s="1"/>
  <c r="HL53" i="4"/>
  <c r="HL60" i="4" s="1"/>
  <c r="HP52" i="4"/>
  <c r="HP59" i="4" s="1"/>
  <c r="HM52" i="4"/>
  <c r="HM53" i="4" s="1"/>
  <c r="HL52" i="4"/>
  <c r="HQ51" i="4"/>
  <c r="HU51" i="4" s="1"/>
  <c r="HP51" i="4"/>
  <c r="HP58" i="4" s="1"/>
  <c r="HM51" i="4"/>
  <c r="HL51" i="4"/>
  <c r="HL58" i="4" s="1"/>
  <c r="HI51" i="4"/>
  <c r="HI52" i="4" s="1"/>
  <c r="HI53" i="4" s="1"/>
  <c r="HI54" i="4" s="1"/>
  <c r="HI55" i="4" s="1"/>
  <c r="HC51" i="4"/>
  <c r="HC52" i="4" s="1"/>
  <c r="HC53" i="4" s="1"/>
  <c r="HC54" i="4" s="1"/>
  <c r="HC55" i="4" s="1"/>
  <c r="HT50" i="4"/>
  <c r="HT57" i="4" s="1"/>
  <c r="HQ50" i="4"/>
  <c r="HU50" i="4" s="1"/>
  <c r="HP50" i="4"/>
  <c r="HP57" i="4" s="1"/>
  <c r="HL50" i="4"/>
  <c r="HL57" i="4" s="1"/>
  <c r="HT48" i="4"/>
  <c r="HT55" i="4" s="1"/>
  <c r="HT47" i="4"/>
  <c r="HT46" i="4"/>
  <c r="HT53" i="4" s="1"/>
  <c r="HT45" i="4"/>
  <c r="HT44" i="4"/>
  <c r="HT51" i="4" s="1"/>
  <c r="HI44" i="4"/>
  <c r="HM44" i="4" s="1"/>
  <c r="HC44" i="4"/>
  <c r="HC45" i="4" s="1"/>
  <c r="HC46" i="4" s="1"/>
  <c r="HC47" i="4" s="1"/>
  <c r="HC48" i="4" s="1"/>
  <c r="HU43" i="4"/>
  <c r="HT43" i="4"/>
  <c r="HQ43" i="4"/>
  <c r="HM43" i="4"/>
  <c r="HE49" i="4"/>
  <c r="HE56" i="4" s="1"/>
  <c r="HE57" i="4" s="1"/>
  <c r="HE58" i="4" s="1"/>
  <c r="HE59" i="4" s="1"/>
  <c r="HE60" i="4" s="1"/>
  <c r="HE61" i="4" s="1"/>
  <c r="HE62" i="4" s="1"/>
  <c r="HQ29" i="4"/>
  <c r="HU29" i="4" s="1"/>
  <c r="HM29" i="4"/>
  <c r="HM28" i="4"/>
  <c r="HQ28" i="4" s="1"/>
  <c r="HU28" i="4" s="1"/>
  <c r="HQ27" i="4"/>
  <c r="HU27" i="4" s="1"/>
  <c r="HP27" i="4"/>
  <c r="HM27" i="4"/>
  <c r="HU26" i="4"/>
  <c r="HM26" i="4"/>
  <c r="HQ26" i="4" s="1"/>
  <c r="HC26" i="4"/>
  <c r="HC27" i="4" s="1"/>
  <c r="HC28" i="4" s="1"/>
  <c r="HC29" i="4" s="1"/>
  <c r="HQ25" i="4"/>
  <c r="HU25" i="4" s="1"/>
  <c r="HM25" i="4"/>
  <c r="HC25" i="4"/>
  <c r="HU24" i="4"/>
  <c r="HM24" i="4"/>
  <c r="HQ24" i="4" s="1"/>
  <c r="HP22" i="4"/>
  <c r="HP29" i="4" s="1"/>
  <c r="HL22" i="4"/>
  <c r="HP21" i="4"/>
  <c r="HP28" i="4" s="1"/>
  <c r="HL21" i="4"/>
  <c r="HL28" i="4" s="1"/>
  <c r="HP20" i="4"/>
  <c r="HL20" i="4"/>
  <c r="HL27" i="4" s="1"/>
  <c r="HP19" i="4"/>
  <c r="HP26" i="4" s="1"/>
  <c r="HL19" i="4"/>
  <c r="HL26" i="4" s="1"/>
  <c r="HC19" i="4"/>
  <c r="HC20" i="4" s="1"/>
  <c r="HC21" i="4" s="1"/>
  <c r="HC22" i="4" s="1"/>
  <c r="HP18" i="4"/>
  <c r="HP25" i="4" s="1"/>
  <c r="HL18" i="4"/>
  <c r="HL25" i="4" s="1"/>
  <c r="HI18" i="4"/>
  <c r="HM18" i="4" s="1"/>
  <c r="HQ18" i="4" s="1"/>
  <c r="HU18" i="4" s="1"/>
  <c r="HC18" i="4"/>
  <c r="HP17" i="4"/>
  <c r="HM17" i="4"/>
  <c r="HQ17" i="4" s="1"/>
  <c r="HU17" i="4" s="1"/>
  <c r="HL17" i="4"/>
  <c r="HL24" i="4" s="1"/>
  <c r="HT15" i="4"/>
  <c r="HT22" i="4" s="1"/>
  <c r="HT14" i="4"/>
  <c r="HT21" i="4" s="1"/>
  <c r="HT13" i="4"/>
  <c r="HT20" i="4" s="1"/>
  <c r="HT12" i="4"/>
  <c r="HT19" i="4" s="1"/>
  <c r="HT11" i="4"/>
  <c r="HT18" i="4" s="1"/>
  <c r="HI11" i="4"/>
  <c r="HC11" i="4"/>
  <c r="HC12" i="4" s="1"/>
  <c r="HC13" i="4" s="1"/>
  <c r="HC14" i="4" s="1"/>
  <c r="HC15" i="4" s="1"/>
  <c r="HT10" i="4"/>
  <c r="HM10" i="4"/>
  <c r="HQ10" i="4" s="1"/>
  <c r="GJ58" i="4"/>
  <c r="GJ59" i="4" s="1"/>
  <c r="GJ60" i="4" s="1"/>
  <c r="GN60" i="4" s="1"/>
  <c r="GR60" i="4" s="1"/>
  <c r="GV60" i="4" s="1"/>
  <c r="GD58" i="4"/>
  <c r="GD59" i="4" s="1"/>
  <c r="GD60" i="4" s="1"/>
  <c r="GD61" i="4" s="1"/>
  <c r="GD62" i="4" s="1"/>
  <c r="GR57" i="4"/>
  <c r="GV57" i="4" s="1"/>
  <c r="GN57" i="4"/>
  <c r="GM57" i="4"/>
  <c r="GQ55" i="4"/>
  <c r="GM55" i="4"/>
  <c r="GQ54" i="4"/>
  <c r="GQ61" i="4" s="1"/>
  <c r="GM54" i="4"/>
  <c r="GM61" i="4" s="1"/>
  <c r="GU53" i="4"/>
  <c r="GQ53" i="4"/>
  <c r="GM53" i="4"/>
  <c r="GQ52" i="4"/>
  <c r="GQ59" i="4" s="1"/>
  <c r="GN52" i="4"/>
  <c r="GN53" i="4" s="1"/>
  <c r="GM52" i="4"/>
  <c r="GM59" i="4" s="1"/>
  <c r="GR51" i="4"/>
  <c r="GV51" i="4" s="1"/>
  <c r="GQ51" i="4"/>
  <c r="GN51" i="4"/>
  <c r="GM51" i="4"/>
  <c r="GJ51" i="4"/>
  <c r="GJ52" i="4" s="1"/>
  <c r="GJ53" i="4" s="1"/>
  <c r="GJ54" i="4" s="1"/>
  <c r="GJ55" i="4" s="1"/>
  <c r="GD51" i="4"/>
  <c r="GD52" i="4" s="1"/>
  <c r="GD53" i="4" s="1"/>
  <c r="GD54" i="4" s="1"/>
  <c r="GD55" i="4" s="1"/>
  <c r="GR50" i="4"/>
  <c r="GV50" i="4" s="1"/>
  <c r="GQ50" i="4"/>
  <c r="GQ57" i="4" s="1"/>
  <c r="GM50" i="4"/>
  <c r="GU48" i="4"/>
  <c r="GU55" i="4" s="1"/>
  <c r="GU47" i="4"/>
  <c r="GU46" i="4"/>
  <c r="GU45" i="4"/>
  <c r="GD45" i="4"/>
  <c r="GD46" i="4" s="1"/>
  <c r="GD47" i="4" s="1"/>
  <c r="GD48" i="4" s="1"/>
  <c r="GU44" i="4"/>
  <c r="GJ44" i="4"/>
  <c r="GN44" i="4" s="1"/>
  <c r="GR44" i="4" s="1"/>
  <c r="GV44" i="4" s="1"/>
  <c r="GD44" i="4"/>
  <c r="GU43" i="4"/>
  <c r="GR43" i="4"/>
  <c r="GN43" i="4"/>
  <c r="GF49" i="4"/>
  <c r="GF56" i="4" s="1"/>
  <c r="GF57" i="4" s="1"/>
  <c r="GF58" i="4" s="1"/>
  <c r="GF59" i="4" s="1"/>
  <c r="GF60" i="4" s="1"/>
  <c r="GF61" i="4" s="1"/>
  <c r="GF62" i="4" s="1"/>
  <c r="GN29" i="4"/>
  <c r="GR29" i="4" s="1"/>
  <c r="GV29" i="4" s="1"/>
  <c r="GR28" i="4"/>
  <c r="GV28" i="4" s="1"/>
  <c r="GN28" i="4"/>
  <c r="GN27" i="4"/>
  <c r="GR27" i="4" s="1"/>
  <c r="GV27" i="4" s="1"/>
  <c r="GN26" i="4"/>
  <c r="GR26" i="4" s="1"/>
  <c r="GV26" i="4" s="1"/>
  <c r="GR25" i="4"/>
  <c r="GV25" i="4" s="1"/>
  <c r="GN25" i="4"/>
  <c r="GD25" i="4"/>
  <c r="GD26" i="4" s="1"/>
  <c r="GD27" i="4" s="1"/>
  <c r="GD28" i="4" s="1"/>
  <c r="GD29" i="4" s="1"/>
  <c r="GN24" i="4"/>
  <c r="GR24" i="4" s="1"/>
  <c r="GV24" i="4" s="1"/>
  <c r="GQ22" i="4"/>
  <c r="GM22" i="4"/>
  <c r="GQ21" i="4"/>
  <c r="GQ28" i="4" s="1"/>
  <c r="GM21" i="4"/>
  <c r="GQ20" i="4"/>
  <c r="GQ27" i="4" s="1"/>
  <c r="GM20" i="4"/>
  <c r="GM27" i="4" s="1"/>
  <c r="GQ19" i="4"/>
  <c r="GQ26" i="4" s="1"/>
  <c r="GM19" i="4"/>
  <c r="GM26" i="4" s="1"/>
  <c r="GQ18" i="4"/>
  <c r="GM18" i="4"/>
  <c r="GJ18" i="4"/>
  <c r="GD18" i="4"/>
  <c r="GD19" i="4" s="1"/>
  <c r="GD20" i="4" s="1"/>
  <c r="GD21" i="4" s="1"/>
  <c r="GD22" i="4" s="1"/>
  <c r="GQ17" i="4"/>
  <c r="GN17" i="4"/>
  <c r="GR17" i="4" s="1"/>
  <c r="GV17" i="4" s="1"/>
  <c r="GM17" i="4"/>
  <c r="GM24" i="4" s="1"/>
  <c r="GU15" i="4"/>
  <c r="GU22" i="4" s="1"/>
  <c r="GU14" i="4"/>
  <c r="GU21" i="4" s="1"/>
  <c r="GU13" i="4"/>
  <c r="GU12" i="4"/>
  <c r="GU19" i="4" s="1"/>
  <c r="GU11" i="4"/>
  <c r="GU18" i="4" s="1"/>
  <c r="GJ11" i="4"/>
  <c r="GJ12" i="4" s="1"/>
  <c r="GJ13" i="4" s="1"/>
  <c r="GD11" i="4"/>
  <c r="GD12" i="4" s="1"/>
  <c r="GD13" i="4" s="1"/>
  <c r="GD14" i="4" s="1"/>
  <c r="GD15" i="4" s="1"/>
  <c r="GU10" i="4"/>
  <c r="GU17" i="4" s="1"/>
  <c r="GU24" i="4" s="1"/>
  <c r="GN10" i="4"/>
  <c r="GR10" i="4" s="1"/>
  <c r="FK58" i="4"/>
  <c r="FK59" i="4" s="1"/>
  <c r="FK60" i="4" s="1"/>
  <c r="FO60" i="4" s="1"/>
  <c r="FS60" i="4" s="1"/>
  <c r="FW60" i="4" s="1"/>
  <c r="FE58" i="4"/>
  <c r="FE59" i="4" s="1"/>
  <c r="FE60" i="4" s="1"/>
  <c r="FE61" i="4" s="1"/>
  <c r="FE62" i="4" s="1"/>
  <c r="FS57" i="4"/>
  <c r="FW57" i="4" s="1"/>
  <c r="FO57" i="4"/>
  <c r="FR55" i="4"/>
  <c r="FR62" i="4" s="1"/>
  <c r="FN55" i="4"/>
  <c r="FN62" i="4" s="1"/>
  <c r="FR54" i="4"/>
  <c r="FN54" i="4"/>
  <c r="FR53" i="4"/>
  <c r="FR60" i="4" s="1"/>
  <c r="FN53" i="4"/>
  <c r="FN60" i="4" s="1"/>
  <c r="FV52" i="4"/>
  <c r="FR52" i="4"/>
  <c r="FN52" i="4"/>
  <c r="FE52" i="4"/>
  <c r="FE53" i="4" s="1"/>
  <c r="FE54" i="4" s="1"/>
  <c r="FE55" i="4" s="1"/>
  <c r="FR51" i="4"/>
  <c r="FR58" i="4" s="1"/>
  <c r="FO51" i="4"/>
  <c r="FO52" i="4" s="1"/>
  <c r="FS52" i="4" s="1"/>
  <c r="FW52" i="4" s="1"/>
  <c r="FN51" i="4"/>
  <c r="FN58" i="4" s="1"/>
  <c r="FK51" i="4"/>
  <c r="FK52" i="4" s="1"/>
  <c r="FK53" i="4" s="1"/>
  <c r="FK54" i="4" s="1"/>
  <c r="FK55" i="4" s="1"/>
  <c r="FE51" i="4"/>
  <c r="FS50" i="4"/>
  <c r="FW50" i="4" s="1"/>
  <c r="FR50" i="4"/>
  <c r="FN50" i="4"/>
  <c r="FV48" i="4"/>
  <c r="FV55" i="4" s="1"/>
  <c r="FV62" i="4" s="1"/>
  <c r="FV47" i="4"/>
  <c r="FV54" i="4" s="1"/>
  <c r="FV46" i="4"/>
  <c r="FV53" i="4" s="1"/>
  <c r="FV60" i="4" s="1"/>
  <c r="FV45" i="4"/>
  <c r="FV44" i="4"/>
  <c r="FV51" i="4" s="1"/>
  <c r="FV58" i="4" s="1"/>
  <c r="FK44" i="4"/>
  <c r="FO44" i="4" s="1"/>
  <c r="FS44" i="4" s="1"/>
  <c r="FW44" i="4" s="1"/>
  <c r="FE44" i="4"/>
  <c r="FE45" i="4" s="1"/>
  <c r="FE46" i="4" s="1"/>
  <c r="FE47" i="4" s="1"/>
  <c r="FE48" i="4" s="1"/>
  <c r="FV43" i="4"/>
  <c r="FV50" i="4" s="1"/>
  <c r="FO43" i="4"/>
  <c r="FS43" i="4" s="1"/>
  <c r="FG43" i="4"/>
  <c r="FG44" i="4" s="1"/>
  <c r="FG45" i="4" s="1"/>
  <c r="FG46" i="4" s="1"/>
  <c r="FG47" i="4" s="1"/>
  <c r="FG48" i="4" s="1"/>
  <c r="FO29" i="4"/>
  <c r="FS29" i="4" s="1"/>
  <c r="FW29" i="4" s="1"/>
  <c r="FR28" i="4"/>
  <c r="FO28" i="4"/>
  <c r="FS28" i="4" s="1"/>
  <c r="FW28" i="4" s="1"/>
  <c r="FO27" i="4"/>
  <c r="FS27" i="4" s="1"/>
  <c r="FW27" i="4" s="1"/>
  <c r="FR26" i="4"/>
  <c r="FO26" i="4"/>
  <c r="FS26" i="4" s="1"/>
  <c r="FW26" i="4" s="1"/>
  <c r="FS25" i="4"/>
  <c r="FW25" i="4" s="1"/>
  <c r="FO25" i="4"/>
  <c r="FN25" i="4"/>
  <c r="FE25" i="4"/>
  <c r="FE26" i="4" s="1"/>
  <c r="FE27" i="4" s="1"/>
  <c r="FE28" i="4" s="1"/>
  <c r="FE29" i="4" s="1"/>
  <c r="FR24" i="4"/>
  <c r="FO24" i="4"/>
  <c r="FS24" i="4" s="1"/>
  <c r="FW24" i="4" s="1"/>
  <c r="FR22" i="4"/>
  <c r="FR29" i="4" s="1"/>
  <c r="FN22" i="4"/>
  <c r="FN29" i="4" s="1"/>
  <c r="FR21" i="4"/>
  <c r="FN21" i="4"/>
  <c r="FN28" i="4" s="1"/>
  <c r="FR20" i="4"/>
  <c r="FN20" i="4"/>
  <c r="FN27" i="4" s="1"/>
  <c r="FR19" i="4"/>
  <c r="FN19" i="4"/>
  <c r="FE19" i="4"/>
  <c r="FE20" i="4" s="1"/>
  <c r="FE21" i="4" s="1"/>
  <c r="FE22" i="4" s="1"/>
  <c r="FR18" i="4"/>
  <c r="FR25" i="4" s="1"/>
  <c r="FN18" i="4"/>
  <c r="FK18" i="4"/>
  <c r="FE18" i="4"/>
  <c r="FR17" i="4"/>
  <c r="FO17" i="4"/>
  <c r="FS17" i="4" s="1"/>
  <c r="FW17" i="4" s="1"/>
  <c r="FN17" i="4"/>
  <c r="FN24" i="4" s="1"/>
  <c r="FV15" i="4"/>
  <c r="FV14" i="4"/>
  <c r="FV13" i="4"/>
  <c r="FV20" i="4" s="1"/>
  <c r="FV27" i="4" s="1"/>
  <c r="FV12" i="4"/>
  <c r="FV19" i="4" s="1"/>
  <c r="FV11" i="4"/>
  <c r="FV18" i="4" s="1"/>
  <c r="FV25" i="4" s="1"/>
  <c r="FK11" i="4"/>
  <c r="FK12" i="4" s="1"/>
  <c r="FO12" i="4" s="1"/>
  <c r="FS12" i="4" s="1"/>
  <c r="FW12" i="4" s="1"/>
  <c r="FE11" i="4"/>
  <c r="FE12" i="4" s="1"/>
  <c r="FE13" i="4" s="1"/>
  <c r="FE14" i="4" s="1"/>
  <c r="FE15" i="4" s="1"/>
  <c r="FV10" i="4"/>
  <c r="FV17" i="4" s="1"/>
  <c r="FV24" i="4" s="1"/>
  <c r="FO10" i="4"/>
  <c r="EO62" i="4"/>
  <c r="ES60" i="4"/>
  <c r="EL58" i="4"/>
  <c r="EL59" i="4" s="1"/>
  <c r="EP59" i="4" s="1"/>
  <c r="ET59" i="4" s="1"/>
  <c r="EX59" i="4" s="1"/>
  <c r="EF58" i="4"/>
  <c r="EF59" i="4" s="1"/>
  <c r="EF60" i="4" s="1"/>
  <c r="EF61" i="4" s="1"/>
  <c r="EF62" i="4" s="1"/>
  <c r="ET57" i="4"/>
  <c r="EX57" i="4" s="1"/>
  <c r="EP57" i="4"/>
  <c r="ES55" i="4"/>
  <c r="ES62" i="4" s="1"/>
  <c r="EO55" i="4"/>
  <c r="ES54" i="4"/>
  <c r="ES61" i="4" s="1"/>
  <c r="EO54" i="4"/>
  <c r="ES53" i="4"/>
  <c r="EO53" i="4"/>
  <c r="EO60" i="4" s="1"/>
  <c r="ES52" i="4"/>
  <c r="EP52" i="4"/>
  <c r="ET52" i="4" s="1"/>
  <c r="EX52" i="4" s="1"/>
  <c r="EO52" i="4"/>
  <c r="EO59" i="4" s="1"/>
  <c r="ET51" i="4"/>
  <c r="EX51" i="4" s="1"/>
  <c r="ES51" i="4"/>
  <c r="ES58" i="4" s="1"/>
  <c r="EP51" i="4"/>
  <c r="EO51" i="4"/>
  <c r="EO58" i="4" s="1"/>
  <c r="EL51" i="4"/>
  <c r="EL52" i="4" s="1"/>
  <c r="EL53" i="4" s="1"/>
  <c r="EL54" i="4" s="1"/>
  <c r="EL55" i="4" s="1"/>
  <c r="EF51" i="4"/>
  <c r="EF52" i="4" s="1"/>
  <c r="EF53" i="4" s="1"/>
  <c r="EF54" i="4" s="1"/>
  <c r="EF55" i="4" s="1"/>
  <c r="ET50" i="4"/>
  <c r="EX50" i="4" s="1"/>
  <c r="ES50" i="4"/>
  <c r="ES57" i="4" s="1"/>
  <c r="EO50" i="4"/>
  <c r="EW48" i="4"/>
  <c r="EW55" i="4" s="1"/>
  <c r="EW47" i="4"/>
  <c r="EW46" i="4"/>
  <c r="EW53" i="4" s="1"/>
  <c r="EW45" i="4"/>
  <c r="EW44" i="4"/>
  <c r="EW51" i="4" s="1"/>
  <c r="EL44" i="4"/>
  <c r="EL45" i="4" s="1"/>
  <c r="EL46" i="4" s="1"/>
  <c r="EL47" i="4" s="1"/>
  <c r="EF44" i="4"/>
  <c r="EF45" i="4" s="1"/>
  <c r="EF46" i="4" s="1"/>
  <c r="EF47" i="4" s="1"/>
  <c r="EF48" i="4" s="1"/>
  <c r="EW43" i="4"/>
  <c r="EP43" i="4"/>
  <c r="ET43" i="4" s="1"/>
  <c r="EP29" i="4"/>
  <c r="ET29" i="4" s="1"/>
  <c r="EX29" i="4" s="1"/>
  <c r="EP28" i="4"/>
  <c r="ET28" i="4" s="1"/>
  <c r="EX28" i="4" s="1"/>
  <c r="EP27" i="4"/>
  <c r="ET27" i="4" s="1"/>
  <c r="EX27" i="4" s="1"/>
  <c r="EP26" i="4"/>
  <c r="ET26" i="4" s="1"/>
  <c r="EX26" i="4" s="1"/>
  <c r="EP25" i="4"/>
  <c r="ET25" i="4" s="1"/>
  <c r="EX25" i="4" s="1"/>
  <c r="EF25" i="4"/>
  <c r="EF26" i="4" s="1"/>
  <c r="EF27" i="4" s="1"/>
  <c r="EF28" i="4" s="1"/>
  <c r="EF29" i="4" s="1"/>
  <c r="ET24" i="4"/>
  <c r="EX24" i="4" s="1"/>
  <c r="EP24" i="4"/>
  <c r="ES22" i="4"/>
  <c r="ES29" i="4" s="1"/>
  <c r="EO22" i="4"/>
  <c r="EO29" i="4" s="1"/>
  <c r="EW21" i="4"/>
  <c r="ES21" i="4"/>
  <c r="ES28" i="4" s="1"/>
  <c r="EO21" i="4"/>
  <c r="ES20" i="4"/>
  <c r="ES27" i="4" s="1"/>
  <c r="EO20" i="4"/>
  <c r="EW19" i="4"/>
  <c r="EW26" i="4" s="1"/>
  <c r="ES19" i="4"/>
  <c r="ES26" i="4" s="1"/>
  <c r="EO19" i="4"/>
  <c r="EO26" i="4" s="1"/>
  <c r="ES18" i="4"/>
  <c r="ES25" i="4" s="1"/>
  <c r="EO18" i="4"/>
  <c r="EL18" i="4"/>
  <c r="EF18" i="4"/>
  <c r="EF19" i="4" s="1"/>
  <c r="EF20" i="4" s="1"/>
  <c r="EF21" i="4" s="1"/>
  <c r="EF22" i="4" s="1"/>
  <c r="ET17" i="4"/>
  <c r="EX17" i="4" s="1"/>
  <c r="ES17" i="4"/>
  <c r="EP17" i="4"/>
  <c r="EO17" i="4"/>
  <c r="EO24" i="4" s="1"/>
  <c r="EW15" i="4"/>
  <c r="EW22" i="4" s="1"/>
  <c r="EW14" i="4"/>
  <c r="EW13" i="4"/>
  <c r="EW12" i="4"/>
  <c r="EW11" i="4"/>
  <c r="EW18" i="4" s="1"/>
  <c r="EL11" i="4"/>
  <c r="EL12" i="4" s="1"/>
  <c r="EF11" i="4"/>
  <c r="EF12" i="4" s="1"/>
  <c r="EF13" i="4" s="1"/>
  <c r="EF14" i="4" s="1"/>
  <c r="EF15" i="4" s="1"/>
  <c r="EW10" i="4"/>
  <c r="EW17" i="4" s="1"/>
  <c r="EW24" i="4" s="1"/>
  <c r="ET10" i="4"/>
  <c r="EP10" i="4"/>
  <c r="DP61" i="4"/>
  <c r="DM58" i="4"/>
  <c r="DM59" i="4" s="1"/>
  <c r="DM60" i="4" s="1"/>
  <c r="DG58" i="4"/>
  <c r="DG59" i="4" s="1"/>
  <c r="DG60" i="4" s="1"/>
  <c r="DG61" i="4" s="1"/>
  <c r="DG62" i="4" s="1"/>
  <c r="DU57" i="4"/>
  <c r="DY57" i="4" s="1"/>
  <c r="DQ57" i="4"/>
  <c r="DT55" i="4"/>
  <c r="DP55" i="4"/>
  <c r="DT54" i="4"/>
  <c r="DT61" i="4" s="1"/>
  <c r="DP54" i="4"/>
  <c r="DT53" i="4"/>
  <c r="DP53" i="4"/>
  <c r="DT52" i="4"/>
  <c r="DT59" i="4" s="1"/>
  <c r="DP52" i="4"/>
  <c r="DP59" i="4" s="1"/>
  <c r="DG52" i="4"/>
  <c r="DG53" i="4" s="1"/>
  <c r="DG54" i="4" s="1"/>
  <c r="DG55" i="4" s="1"/>
  <c r="DT51" i="4"/>
  <c r="DQ51" i="4"/>
  <c r="DQ52" i="4" s="1"/>
  <c r="DQ53" i="4" s="1"/>
  <c r="DP51" i="4"/>
  <c r="DM51" i="4"/>
  <c r="DM52" i="4" s="1"/>
  <c r="DM53" i="4" s="1"/>
  <c r="DM54" i="4" s="1"/>
  <c r="DM55" i="4" s="1"/>
  <c r="DG51" i="4"/>
  <c r="DY50" i="4"/>
  <c r="DU50" i="4"/>
  <c r="DT50" i="4"/>
  <c r="DT57" i="4" s="1"/>
  <c r="DP50" i="4"/>
  <c r="DP57" i="4" s="1"/>
  <c r="DX48" i="4"/>
  <c r="DX55" i="4" s="1"/>
  <c r="DX47" i="4"/>
  <c r="DX46" i="4"/>
  <c r="DX53" i="4" s="1"/>
  <c r="DX45" i="4"/>
  <c r="DX44" i="4"/>
  <c r="DX51" i="4" s="1"/>
  <c r="DM44" i="4"/>
  <c r="DQ44" i="4" s="1"/>
  <c r="DG44" i="4"/>
  <c r="DG45" i="4" s="1"/>
  <c r="DG46" i="4" s="1"/>
  <c r="DG47" i="4" s="1"/>
  <c r="DG48" i="4" s="1"/>
  <c r="DX43" i="4"/>
  <c r="DQ43" i="4"/>
  <c r="DU43" i="4" s="1"/>
  <c r="DY43" i="4" s="1"/>
  <c r="DI43" i="4"/>
  <c r="DI44" i="4" s="1"/>
  <c r="DI45" i="4" s="1"/>
  <c r="DI46" i="4" s="1"/>
  <c r="DI47" i="4" s="1"/>
  <c r="DI48" i="4" s="1"/>
  <c r="DI49" i="4"/>
  <c r="DI56" i="4" s="1"/>
  <c r="DI57" i="4" s="1"/>
  <c r="DI58" i="4" s="1"/>
  <c r="DI59" i="4" s="1"/>
  <c r="DI60" i="4" s="1"/>
  <c r="DI61" i="4" s="1"/>
  <c r="DI62" i="4" s="1"/>
  <c r="DQ29" i="4"/>
  <c r="DU29" i="4" s="1"/>
  <c r="DY29" i="4" s="1"/>
  <c r="DQ28" i="4"/>
  <c r="DU28" i="4" s="1"/>
  <c r="DY28" i="4" s="1"/>
  <c r="DQ27" i="4"/>
  <c r="DU27" i="4" s="1"/>
  <c r="DY27" i="4" s="1"/>
  <c r="DQ26" i="4"/>
  <c r="DU26" i="4" s="1"/>
  <c r="DY26" i="4" s="1"/>
  <c r="DU25" i="4"/>
  <c r="DY25" i="4" s="1"/>
  <c r="DQ25" i="4"/>
  <c r="DG25" i="4"/>
  <c r="DG26" i="4" s="1"/>
  <c r="DG27" i="4" s="1"/>
  <c r="DG28" i="4" s="1"/>
  <c r="DG29" i="4" s="1"/>
  <c r="DQ24" i="4"/>
  <c r="DU24" i="4" s="1"/>
  <c r="DY24" i="4" s="1"/>
  <c r="DT22" i="4"/>
  <c r="DP22" i="4"/>
  <c r="DT21" i="4"/>
  <c r="DT28" i="4" s="1"/>
  <c r="DP21" i="4"/>
  <c r="DT20" i="4"/>
  <c r="DT27" i="4" s="1"/>
  <c r="DP20" i="4"/>
  <c r="DP27" i="4" s="1"/>
  <c r="DT19" i="4"/>
  <c r="DT26" i="4" s="1"/>
  <c r="DP19" i="4"/>
  <c r="DP26" i="4" s="1"/>
  <c r="DT18" i="4"/>
  <c r="DP18" i="4"/>
  <c r="DM18" i="4"/>
  <c r="DG18" i="4"/>
  <c r="DG19" i="4" s="1"/>
  <c r="DG20" i="4" s="1"/>
  <c r="DG21" i="4" s="1"/>
  <c r="DG22" i="4" s="1"/>
  <c r="DT17" i="4"/>
  <c r="DQ17" i="4"/>
  <c r="DU17" i="4" s="1"/>
  <c r="DY17" i="4" s="1"/>
  <c r="DP17" i="4"/>
  <c r="DP24" i="4" s="1"/>
  <c r="DX15" i="4"/>
  <c r="DX22" i="4" s="1"/>
  <c r="DX14" i="4"/>
  <c r="DX21" i="4" s="1"/>
  <c r="DX13" i="4"/>
  <c r="DX12" i="4"/>
  <c r="DX19" i="4" s="1"/>
  <c r="DX26" i="4" s="1"/>
  <c r="DG12" i="4"/>
  <c r="DG13" i="4" s="1"/>
  <c r="DG14" i="4" s="1"/>
  <c r="DG15" i="4" s="1"/>
  <c r="DX11" i="4"/>
  <c r="DM11" i="4"/>
  <c r="DG11" i="4"/>
  <c r="DX10" i="4"/>
  <c r="DX17" i="4" s="1"/>
  <c r="DQ10" i="4"/>
  <c r="DU10" i="4" s="1"/>
  <c r="CQ59" i="4"/>
  <c r="CN58" i="4"/>
  <c r="CN59" i="4" s="1"/>
  <c r="CN60" i="4" s="1"/>
  <c r="CH58" i="4"/>
  <c r="CH59" i="4" s="1"/>
  <c r="CH60" i="4" s="1"/>
  <c r="CH61" i="4" s="1"/>
  <c r="CH62" i="4" s="1"/>
  <c r="CR57" i="4"/>
  <c r="CV57" i="4" s="1"/>
  <c r="CZ57" i="4" s="1"/>
  <c r="CU55" i="4"/>
  <c r="CQ55" i="4"/>
  <c r="CQ62" i="4" s="1"/>
  <c r="CU54" i="4"/>
  <c r="CU61" i="4" s="1"/>
  <c r="CQ54" i="4"/>
  <c r="CQ61" i="4" s="1"/>
  <c r="CU53" i="4"/>
  <c r="CU60" i="4" s="1"/>
  <c r="CQ53" i="4"/>
  <c r="CU52" i="4"/>
  <c r="CU59" i="4" s="1"/>
  <c r="CQ52" i="4"/>
  <c r="CV51" i="4"/>
  <c r="CZ51" i="4" s="1"/>
  <c r="CU51" i="4"/>
  <c r="CR51" i="4"/>
  <c r="CR52" i="4" s="1"/>
  <c r="CQ51" i="4"/>
  <c r="CQ58" i="4" s="1"/>
  <c r="CN51" i="4"/>
  <c r="CN52" i="4" s="1"/>
  <c r="CN53" i="4" s="1"/>
  <c r="CN54" i="4" s="1"/>
  <c r="CN55" i="4" s="1"/>
  <c r="CH51" i="4"/>
  <c r="CH52" i="4" s="1"/>
  <c r="CH53" i="4" s="1"/>
  <c r="CH54" i="4" s="1"/>
  <c r="CH55" i="4" s="1"/>
  <c r="CV50" i="4"/>
  <c r="CZ50" i="4" s="1"/>
  <c r="CU50" i="4"/>
  <c r="CU57" i="4" s="1"/>
  <c r="CQ50" i="4"/>
  <c r="CQ57" i="4" s="1"/>
  <c r="CY48" i="4"/>
  <c r="CY55" i="4" s="1"/>
  <c r="CY62" i="4" s="1"/>
  <c r="CY47" i="4"/>
  <c r="CY46" i="4"/>
  <c r="CY53" i="4" s="1"/>
  <c r="CY45" i="4"/>
  <c r="CY44" i="4"/>
  <c r="CY51" i="4" s="1"/>
  <c r="CY58" i="4" s="1"/>
  <c r="CN44" i="4"/>
  <c r="CR44" i="4" s="1"/>
  <c r="CV44" i="4" s="1"/>
  <c r="CZ44" i="4" s="1"/>
  <c r="CH44" i="4"/>
  <c r="CH45" i="4" s="1"/>
  <c r="CH46" i="4" s="1"/>
  <c r="CH47" i="4" s="1"/>
  <c r="CH48" i="4" s="1"/>
  <c r="CY43" i="4"/>
  <c r="CR43" i="4"/>
  <c r="CV43" i="4" s="1"/>
  <c r="CJ49" i="4"/>
  <c r="CJ56" i="4" s="1"/>
  <c r="CJ57" i="4" s="1"/>
  <c r="CJ58" i="4" s="1"/>
  <c r="CJ59" i="4" s="1"/>
  <c r="CJ60" i="4" s="1"/>
  <c r="CJ61" i="4" s="1"/>
  <c r="CJ62" i="4" s="1"/>
  <c r="CR29" i="4"/>
  <c r="CV29" i="4" s="1"/>
  <c r="CZ29" i="4" s="1"/>
  <c r="CR28" i="4"/>
  <c r="CV28" i="4" s="1"/>
  <c r="CZ28" i="4" s="1"/>
  <c r="CU27" i="4"/>
  <c r="CR27" i="4"/>
  <c r="CV27" i="4" s="1"/>
  <c r="CZ27" i="4" s="1"/>
  <c r="CR26" i="4"/>
  <c r="CV26" i="4" s="1"/>
  <c r="CZ26" i="4" s="1"/>
  <c r="CR25" i="4"/>
  <c r="CV25" i="4" s="1"/>
  <c r="CZ25" i="4" s="1"/>
  <c r="CH25" i="4"/>
  <c r="CH26" i="4" s="1"/>
  <c r="CH27" i="4" s="1"/>
  <c r="CH28" i="4" s="1"/>
  <c r="CH29" i="4" s="1"/>
  <c r="CV24" i="4"/>
  <c r="CZ24" i="4" s="1"/>
  <c r="CR24" i="4"/>
  <c r="CU22" i="4"/>
  <c r="CU29" i="4" s="1"/>
  <c r="CQ22" i="4"/>
  <c r="CU21" i="4"/>
  <c r="CU28" i="4" s="1"/>
  <c r="CQ21" i="4"/>
  <c r="CY20" i="4"/>
  <c r="CY27" i="4" s="1"/>
  <c r="CU20" i="4"/>
  <c r="CQ20" i="4"/>
  <c r="CQ27" i="4" s="1"/>
  <c r="CU19" i="4"/>
  <c r="CU26" i="4" s="1"/>
  <c r="CQ19" i="4"/>
  <c r="CQ26" i="4" s="1"/>
  <c r="CH19" i="4"/>
  <c r="CH20" i="4" s="1"/>
  <c r="CH21" i="4" s="1"/>
  <c r="CH22" i="4" s="1"/>
  <c r="CU18" i="4"/>
  <c r="CU25" i="4" s="1"/>
  <c r="CQ18" i="4"/>
  <c r="CQ25" i="4" s="1"/>
  <c r="CN18" i="4"/>
  <c r="CR18" i="4" s="1"/>
  <c r="CV18" i="4" s="1"/>
  <c r="CZ18" i="4" s="1"/>
  <c r="CH18" i="4"/>
  <c r="CU17" i="4"/>
  <c r="CR17" i="4"/>
  <c r="CV17" i="4" s="1"/>
  <c r="CZ17" i="4" s="1"/>
  <c r="CQ17" i="4"/>
  <c r="CQ24" i="4" s="1"/>
  <c r="CY15" i="4"/>
  <c r="CY22" i="4" s="1"/>
  <c r="CY14" i="4"/>
  <c r="CY21" i="4" s="1"/>
  <c r="CY13" i="4"/>
  <c r="CY12" i="4"/>
  <c r="CY11" i="4"/>
  <c r="CY18" i="4" s="1"/>
  <c r="CY25" i="4" s="1"/>
  <c r="CN11" i="4"/>
  <c r="CN12" i="4" s="1"/>
  <c r="CH11" i="4"/>
  <c r="CH12" i="4" s="1"/>
  <c r="CH13" i="4" s="1"/>
  <c r="CH14" i="4" s="1"/>
  <c r="CH15" i="4" s="1"/>
  <c r="CY10" i="4"/>
  <c r="CY17" i="4" s="1"/>
  <c r="CR10" i="4"/>
  <c r="CV10" i="4" s="1"/>
  <c r="BO58" i="4"/>
  <c r="BI58" i="4"/>
  <c r="BI59" i="4" s="1"/>
  <c r="BI60" i="4" s="1"/>
  <c r="BI61" i="4" s="1"/>
  <c r="BI62" i="4" s="1"/>
  <c r="BW57" i="4"/>
  <c r="CA57" i="4" s="1"/>
  <c r="BV57" i="4"/>
  <c r="BS57" i="4"/>
  <c r="BV55" i="4"/>
  <c r="BR55" i="4"/>
  <c r="BV54" i="4"/>
  <c r="BV61" i="4" s="1"/>
  <c r="BR54" i="4"/>
  <c r="BV53" i="4"/>
  <c r="BV60" i="4" s="1"/>
  <c r="BR53" i="4"/>
  <c r="BV52" i="4"/>
  <c r="BV59" i="4" s="1"/>
  <c r="BR52" i="4"/>
  <c r="BR59" i="4" s="1"/>
  <c r="BI52" i="4"/>
  <c r="BI53" i="4" s="1"/>
  <c r="BI54" i="4" s="1"/>
  <c r="BI55" i="4" s="1"/>
  <c r="BV51" i="4"/>
  <c r="BS51" i="4"/>
  <c r="BS52" i="4" s="1"/>
  <c r="BS53" i="4" s="1"/>
  <c r="BR51" i="4"/>
  <c r="BR58" i="4" s="1"/>
  <c r="BO51" i="4"/>
  <c r="BO52" i="4" s="1"/>
  <c r="BO53" i="4" s="1"/>
  <c r="BO54" i="4" s="1"/>
  <c r="BO55" i="4" s="1"/>
  <c r="BI51" i="4"/>
  <c r="BW50" i="4"/>
  <c r="CA50" i="4" s="1"/>
  <c r="BV50" i="4"/>
  <c r="BR50" i="4"/>
  <c r="BR57" i="4" s="1"/>
  <c r="BZ48" i="4"/>
  <c r="BZ55" i="4" s="1"/>
  <c r="BZ47" i="4"/>
  <c r="BZ54" i="4" s="1"/>
  <c r="BZ61" i="4" s="1"/>
  <c r="BZ46" i="4"/>
  <c r="BZ53" i="4" s="1"/>
  <c r="BZ45" i="4"/>
  <c r="BZ52" i="4" s="1"/>
  <c r="BZ59" i="4" s="1"/>
  <c r="BZ44" i="4"/>
  <c r="BZ51" i="4" s="1"/>
  <c r="BO44" i="4"/>
  <c r="BS44" i="4" s="1"/>
  <c r="BW44" i="4" s="1"/>
  <c r="CA44" i="4" s="1"/>
  <c r="BI44" i="4"/>
  <c r="BI45" i="4" s="1"/>
  <c r="BI46" i="4" s="1"/>
  <c r="BI47" i="4" s="1"/>
  <c r="BI48" i="4" s="1"/>
  <c r="CA43" i="4"/>
  <c r="BZ43" i="4"/>
  <c r="BZ50" i="4" s="1"/>
  <c r="BW43" i="4"/>
  <c r="BS43" i="4"/>
  <c r="BK49" i="4"/>
  <c r="BK56" i="4" s="1"/>
  <c r="BK57" i="4" s="1"/>
  <c r="BK58" i="4" s="1"/>
  <c r="BK59" i="4" s="1"/>
  <c r="BK60" i="4" s="1"/>
  <c r="BK61" i="4" s="1"/>
  <c r="BK62" i="4" s="1"/>
  <c r="BS29" i="4"/>
  <c r="BW29" i="4" s="1"/>
  <c r="CA29" i="4" s="1"/>
  <c r="BZ28" i="4"/>
  <c r="BS28" i="4"/>
  <c r="BW28" i="4" s="1"/>
  <c r="CA28" i="4" s="1"/>
  <c r="BW27" i="4"/>
  <c r="CA27" i="4" s="1"/>
  <c r="BS27" i="4"/>
  <c r="CA26" i="4"/>
  <c r="BS26" i="4"/>
  <c r="BW26" i="4" s="1"/>
  <c r="BS25" i="4"/>
  <c r="BW25" i="4" s="1"/>
  <c r="CA25" i="4" s="1"/>
  <c r="BI25" i="4"/>
  <c r="BI26" i="4" s="1"/>
  <c r="BI27" i="4" s="1"/>
  <c r="BI28" i="4" s="1"/>
  <c r="BI29" i="4" s="1"/>
  <c r="BS24" i="4"/>
  <c r="BW24" i="4" s="1"/>
  <c r="CA24" i="4" s="1"/>
  <c r="BV22" i="4"/>
  <c r="BR22" i="4"/>
  <c r="BV21" i="4"/>
  <c r="BV28" i="4" s="1"/>
  <c r="BR21" i="4"/>
  <c r="BR28" i="4" s="1"/>
  <c r="BV20" i="4"/>
  <c r="BV27" i="4" s="1"/>
  <c r="BR20" i="4"/>
  <c r="BR27" i="4" s="1"/>
  <c r="BV19" i="4"/>
  <c r="BV26" i="4" s="1"/>
  <c r="BR19" i="4"/>
  <c r="BR26" i="4" s="1"/>
  <c r="BV18" i="4"/>
  <c r="BV25" i="4" s="1"/>
  <c r="BR18" i="4"/>
  <c r="BR25" i="4" s="1"/>
  <c r="BO18" i="4"/>
  <c r="BS18" i="4" s="1"/>
  <c r="BW18" i="4" s="1"/>
  <c r="CA18" i="4" s="1"/>
  <c r="BI18" i="4"/>
  <c r="BI19" i="4" s="1"/>
  <c r="BI20" i="4" s="1"/>
  <c r="BI21" i="4" s="1"/>
  <c r="BI22" i="4" s="1"/>
  <c r="BV17" i="4"/>
  <c r="BV24" i="4" s="1"/>
  <c r="BS17" i="4"/>
  <c r="BW17" i="4" s="1"/>
  <c r="CA17" i="4" s="1"/>
  <c r="BR17" i="4"/>
  <c r="BZ15" i="4"/>
  <c r="BZ22" i="4" s="1"/>
  <c r="BZ14" i="4"/>
  <c r="BZ21" i="4" s="1"/>
  <c r="BZ13" i="4"/>
  <c r="BZ20" i="4" s="1"/>
  <c r="BZ27" i="4" s="1"/>
  <c r="BZ12" i="4"/>
  <c r="BZ11" i="4"/>
  <c r="BZ18" i="4" s="1"/>
  <c r="BZ25" i="4" s="1"/>
  <c r="BO11" i="4"/>
  <c r="BO12" i="4" s="1"/>
  <c r="BO13" i="4" s="1"/>
  <c r="BI11" i="4"/>
  <c r="BI12" i="4" s="1"/>
  <c r="BI13" i="4" s="1"/>
  <c r="BI14" i="4" s="1"/>
  <c r="BI15" i="4" s="1"/>
  <c r="BZ10" i="4"/>
  <c r="BZ17" i="4" s="1"/>
  <c r="BZ24" i="4" s="1"/>
  <c r="BW10" i="4"/>
  <c r="BS10" i="4"/>
  <c r="AS59" i="4"/>
  <c r="AP58" i="4"/>
  <c r="AJ58" i="4"/>
  <c r="AJ59" i="4" s="1"/>
  <c r="AJ60" i="4" s="1"/>
  <c r="AJ61" i="4" s="1"/>
  <c r="AJ62" i="4" s="1"/>
  <c r="AT57" i="4"/>
  <c r="AX57" i="4" s="1"/>
  <c r="BB57" i="4" s="1"/>
  <c r="AW55" i="4"/>
  <c r="AS55" i="4"/>
  <c r="AS62" i="4" s="1"/>
  <c r="AW54" i="4"/>
  <c r="AW61" i="4" s="1"/>
  <c r="AS54" i="4"/>
  <c r="AS61" i="4" s="1"/>
  <c r="AW53" i="4"/>
  <c r="AW60" i="4" s="1"/>
  <c r="AS53" i="4"/>
  <c r="AS60" i="4" s="1"/>
  <c r="AW52" i="4"/>
  <c r="AW59" i="4" s="1"/>
  <c r="AT52" i="4"/>
  <c r="AS52" i="4"/>
  <c r="AW51" i="4"/>
  <c r="AW58" i="4" s="1"/>
  <c r="AT51" i="4"/>
  <c r="AX51" i="4" s="1"/>
  <c r="BB51" i="4" s="1"/>
  <c r="AS51" i="4"/>
  <c r="AS58" i="4" s="1"/>
  <c r="AP51" i="4"/>
  <c r="AP52" i="4" s="1"/>
  <c r="AP53" i="4" s="1"/>
  <c r="AP54" i="4" s="1"/>
  <c r="AP55" i="4" s="1"/>
  <c r="AJ51" i="4"/>
  <c r="AJ52" i="4" s="1"/>
  <c r="AJ53" i="4" s="1"/>
  <c r="AJ54" i="4" s="1"/>
  <c r="AJ55" i="4" s="1"/>
  <c r="BB50" i="4"/>
  <c r="AX50" i="4"/>
  <c r="AW50" i="4"/>
  <c r="AW57" i="4" s="1"/>
  <c r="AS50" i="4"/>
  <c r="AS57" i="4" s="1"/>
  <c r="BA48" i="4"/>
  <c r="BA47" i="4"/>
  <c r="BA46" i="4"/>
  <c r="BA53" i="4" s="1"/>
  <c r="BA45" i="4"/>
  <c r="BA44" i="4"/>
  <c r="BA51" i="4" s="1"/>
  <c r="BA58" i="4" s="1"/>
  <c r="AP44" i="4"/>
  <c r="AT44" i="4" s="1"/>
  <c r="AX44" i="4" s="1"/>
  <c r="BB44" i="4" s="1"/>
  <c r="AJ44" i="4"/>
  <c r="AJ45" i="4" s="1"/>
  <c r="AJ46" i="4" s="1"/>
  <c r="AJ47" i="4" s="1"/>
  <c r="AJ48" i="4" s="1"/>
  <c r="BA43" i="4"/>
  <c r="AX43" i="4"/>
  <c r="BB43" i="4" s="1"/>
  <c r="AT43" i="4"/>
  <c r="AT29" i="4"/>
  <c r="AX29" i="4" s="1"/>
  <c r="BB29" i="4" s="1"/>
  <c r="AT28" i="4"/>
  <c r="AX28" i="4" s="1"/>
  <c r="BB28" i="4" s="1"/>
  <c r="AW27" i="4"/>
  <c r="AT27" i="4"/>
  <c r="AX27" i="4" s="1"/>
  <c r="BB27" i="4" s="1"/>
  <c r="AT26" i="4"/>
  <c r="AX26" i="4" s="1"/>
  <c r="BB26" i="4" s="1"/>
  <c r="AS26" i="4"/>
  <c r="AT25" i="4"/>
  <c r="AX25" i="4" s="1"/>
  <c r="BB25" i="4" s="1"/>
  <c r="AJ25" i="4"/>
  <c r="AJ26" i="4" s="1"/>
  <c r="AJ27" i="4" s="1"/>
  <c r="AJ28" i="4" s="1"/>
  <c r="AJ29" i="4" s="1"/>
  <c r="AT24" i="4"/>
  <c r="AX24" i="4" s="1"/>
  <c r="BB24" i="4" s="1"/>
  <c r="AW22" i="4"/>
  <c r="AW29" i="4" s="1"/>
  <c r="AS22" i="4"/>
  <c r="AW21" i="4"/>
  <c r="AW28" i="4" s="1"/>
  <c r="AS21" i="4"/>
  <c r="AW20" i="4"/>
  <c r="AS20" i="4"/>
  <c r="AW19" i="4"/>
  <c r="AW26" i="4" s="1"/>
  <c r="AS19" i="4"/>
  <c r="AW18" i="4"/>
  <c r="AS18" i="4"/>
  <c r="AS25" i="4" s="1"/>
  <c r="AP18" i="4"/>
  <c r="AT18" i="4" s="1"/>
  <c r="AX18" i="4" s="1"/>
  <c r="BB18" i="4" s="1"/>
  <c r="AJ18" i="4"/>
  <c r="AJ19" i="4" s="1"/>
  <c r="AJ20" i="4" s="1"/>
  <c r="AJ21" i="4" s="1"/>
  <c r="AJ22" i="4" s="1"/>
  <c r="AW17" i="4"/>
  <c r="AT17" i="4"/>
  <c r="AX17" i="4" s="1"/>
  <c r="BB17" i="4" s="1"/>
  <c r="AS17" i="4"/>
  <c r="BA15" i="4"/>
  <c r="BA14" i="4"/>
  <c r="BA13" i="4"/>
  <c r="BA12" i="4"/>
  <c r="BA11" i="4"/>
  <c r="BA18" i="4" s="1"/>
  <c r="BA25" i="4" s="1"/>
  <c r="AP11" i="4"/>
  <c r="AP12" i="4" s="1"/>
  <c r="AJ11" i="4"/>
  <c r="AJ12" i="4" s="1"/>
  <c r="AJ13" i="4" s="1"/>
  <c r="AJ14" i="4" s="1"/>
  <c r="AJ15" i="4" s="1"/>
  <c r="BA10" i="4"/>
  <c r="AT10" i="4"/>
  <c r="N65" i="6"/>
  <c r="K48" i="3" s="1"/>
  <c r="N63" i="6"/>
  <c r="K46" i="3" s="1"/>
  <c r="N61" i="6"/>
  <c r="K44" i="3" s="1"/>
  <c r="N60" i="6"/>
  <c r="K43" i="3" s="1"/>
  <c r="AO54" i="6"/>
  <c r="AL37" i="3" s="1"/>
  <c r="AL54" i="6"/>
  <c r="AI37" i="3" s="1"/>
  <c r="AI54" i="6"/>
  <c r="AF37" i="3" s="1"/>
  <c r="AF54" i="6"/>
  <c r="AC37" i="3" s="1"/>
  <c r="AC54" i="6"/>
  <c r="Z37" i="3" s="1"/>
  <c r="Z54" i="6"/>
  <c r="W37" i="3" s="1"/>
  <c r="W54" i="6"/>
  <c r="T37" i="3" s="1"/>
  <c r="T54" i="6"/>
  <c r="Q37" i="3" s="1"/>
  <c r="Q54" i="6"/>
  <c r="N37" i="3" s="1"/>
  <c r="N54" i="6"/>
  <c r="K37" i="3" s="1"/>
  <c r="K30" i="6"/>
  <c r="G23" i="12" s="1"/>
  <c r="G25" i="12" s="1"/>
  <c r="H8" i="6"/>
  <c r="AL58" i="3"/>
  <c r="AI58" i="3"/>
  <c r="AF58" i="3"/>
  <c r="AC58" i="3"/>
  <c r="Z58" i="3"/>
  <c r="W58" i="3"/>
  <c r="T58" i="3"/>
  <c r="Q58" i="3"/>
  <c r="N58" i="3"/>
  <c r="K58" i="3"/>
  <c r="C41" i="10"/>
  <c r="M37" i="10"/>
  <c r="M35" i="10"/>
  <c r="C30" i="10"/>
  <c r="G29" i="10"/>
  <c r="F29" i="10"/>
  <c r="E29" i="10"/>
  <c r="D29" i="10"/>
  <c r="C29" i="10"/>
  <c r="M29" i="10" s="1"/>
  <c r="L28" i="10"/>
  <c r="K28" i="10"/>
  <c r="J28" i="10"/>
  <c r="I28" i="10"/>
  <c r="H28" i="10"/>
  <c r="G28" i="10"/>
  <c r="F28" i="10"/>
  <c r="E28" i="10"/>
  <c r="D28" i="10"/>
  <c r="M28" i="10"/>
  <c r="M27" i="10"/>
  <c r="BP43" i="4" l="1"/>
  <c r="BP50" i="4" s="1"/>
  <c r="BP57" i="4" s="1"/>
  <c r="CO10" i="4"/>
  <c r="E12" i="3"/>
  <c r="L8" i="6"/>
  <c r="M8" i="6" s="1"/>
  <c r="D10" i="12"/>
  <c r="D11" i="12" s="1"/>
  <c r="I9" i="12"/>
  <c r="I17" i="12" s="1"/>
  <c r="I20" i="12" s="1"/>
  <c r="I22" i="12" s="1"/>
  <c r="I23" i="12" s="1"/>
  <c r="I30" i="12" s="1"/>
  <c r="J30" i="12" s="1"/>
  <c r="F13" i="5"/>
  <c r="O8" i="6"/>
  <c r="O11" i="6" s="1"/>
  <c r="O16" i="6" s="1"/>
  <c r="O17" i="6" s="1"/>
  <c r="O30" i="6" s="1"/>
  <c r="I8" i="6"/>
  <c r="I11" i="6" s="1"/>
  <c r="I16" i="6" s="1"/>
  <c r="I17" i="6" s="1"/>
  <c r="I30" i="6" s="1"/>
  <c r="I38" i="6" s="1"/>
  <c r="I39" i="6" s="1"/>
  <c r="I42" i="6" s="1"/>
  <c r="I43" i="6" s="1"/>
  <c r="I46" i="6" s="1"/>
  <c r="I51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7" i="6" s="1"/>
  <c r="I78" i="6" s="1"/>
  <c r="I85" i="6" s="1"/>
  <c r="I87" i="6" s="1"/>
  <c r="I90" i="6" s="1"/>
  <c r="H44" i="12"/>
  <c r="E33" i="12"/>
  <c r="K39" i="12"/>
  <c r="E10" i="12"/>
  <c r="M10" i="12"/>
  <c r="D14" i="12"/>
  <c r="D17" i="12" s="1"/>
  <c r="M11" i="12"/>
  <c r="J11" i="12"/>
  <c r="J10" i="12"/>
  <c r="N30" i="12"/>
  <c r="G40" i="12"/>
  <c r="G41" i="12" s="1"/>
  <c r="G48" i="12" s="1"/>
  <c r="E32" i="12"/>
  <c r="E45" i="12"/>
  <c r="H14" i="12"/>
  <c r="FK45" i="4"/>
  <c r="FO45" i="4" s="1"/>
  <c r="FS45" i="4" s="1"/>
  <c r="FW45" i="4" s="1"/>
  <c r="FK13" i="4"/>
  <c r="FK14" i="4" s="1"/>
  <c r="N64" i="6"/>
  <c r="CL11" i="4"/>
  <c r="CL18" i="4" s="1"/>
  <c r="CL25" i="4" s="1"/>
  <c r="BS11" i="4"/>
  <c r="BW11" i="4" s="1"/>
  <c r="CA11" i="4" s="1"/>
  <c r="EP11" i="4"/>
  <c r="ET11" i="4" s="1"/>
  <c r="EX11" i="4" s="1"/>
  <c r="GN58" i="4"/>
  <c r="GR58" i="4" s="1"/>
  <c r="GV58" i="4" s="1"/>
  <c r="IL58" i="4"/>
  <c r="IP58" i="4" s="1"/>
  <c r="IT58" i="4" s="1"/>
  <c r="EP44" i="4"/>
  <c r="ET44" i="4" s="1"/>
  <c r="EX44" i="4" s="1"/>
  <c r="AL50" i="4"/>
  <c r="AL51" i="4" s="1"/>
  <c r="AL52" i="4" s="1"/>
  <c r="AL53" i="4" s="1"/>
  <c r="AL54" i="4" s="1"/>
  <c r="AL55" i="4" s="1"/>
  <c r="HQ53" i="4"/>
  <c r="HU53" i="4" s="1"/>
  <c r="HM54" i="4"/>
  <c r="CV52" i="4"/>
  <c r="CZ52" i="4" s="1"/>
  <c r="CR53" i="4"/>
  <c r="CV53" i="4" s="1"/>
  <c r="CZ53" i="4" s="1"/>
  <c r="BK43" i="4"/>
  <c r="BK44" i="4" s="1"/>
  <c r="BK45" i="4" s="1"/>
  <c r="BK46" i="4" s="1"/>
  <c r="BK47" i="4" s="1"/>
  <c r="BK48" i="4" s="1"/>
  <c r="HE43" i="4"/>
  <c r="HE44" i="4" s="1"/>
  <c r="HE45" i="4" s="1"/>
  <c r="HE46" i="4" s="1"/>
  <c r="HE47" i="4" s="1"/>
  <c r="HE48" i="4" s="1"/>
  <c r="HQ52" i="4"/>
  <c r="HU52" i="4" s="1"/>
  <c r="IP51" i="4"/>
  <c r="IT51" i="4" s="1"/>
  <c r="BP11" i="4"/>
  <c r="BP18" i="4" s="1"/>
  <c r="BP25" i="4" s="1"/>
  <c r="DU51" i="4"/>
  <c r="DY51" i="4" s="1"/>
  <c r="EP58" i="4"/>
  <c r="ET58" i="4" s="1"/>
  <c r="EX58" i="4" s="1"/>
  <c r="FS51" i="4"/>
  <c r="FW51" i="4" s="1"/>
  <c r="IL59" i="4"/>
  <c r="IP59" i="4" s="1"/>
  <c r="IT59" i="4" s="1"/>
  <c r="AP19" i="4"/>
  <c r="AP20" i="4" s="1"/>
  <c r="BO19" i="4"/>
  <c r="BS19" i="4" s="1"/>
  <c r="BW19" i="4" s="1"/>
  <c r="CA19" i="4" s="1"/>
  <c r="BW51" i="4"/>
  <c r="CA51" i="4" s="1"/>
  <c r="FK61" i="4"/>
  <c r="FO61" i="4" s="1"/>
  <c r="FS61" i="4" s="1"/>
  <c r="FW61" i="4" s="1"/>
  <c r="GN12" i="4"/>
  <c r="GR12" i="4" s="1"/>
  <c r="GV12" i="4" s="1"/>
  <c r="GR52" i="4"/>
  <c r="GV52" i="4" s="1"/>
  <c r="EL60" i="4"/>
  <c r="BP44" i="4"/>
  <c r="BP45" i="4" s="1"/>
  <c r="IS27" i="4"/>
  <c r="IS61" i="4"/>
  <c r="IH13" i="4"/>
  <c r="IL12" i="4"/>
  <c r="IP12" i="4" s="1"/>
  <c r="IT12" i="4" s="1"/>
  <c r="IS28" i="4"/>
  <c r="IT10" i="4"/>
  <c r="IS29" i="4"/>
  <c r="IL60" i="4"/>
  <c r="IP60" i="4" s="1"/>
  <c r="IT60" i="4" s="1"/>
  <c r="IH61" i="4"/>
  <c r="IL11" i="4"/>
  <c r="IP11" i="4" s="1"/>
  <c r="IT11" i="4" s="1"/>
  <c r="IL53" i="4"/>
  <c r="IO24" i="4"/>
  <c r="IK60" i="4"/>
  <c r="IK29" i="4"/>
  <c r="IO62" i="4"/>
  <c r="IS19" i="4"/>
  <c r="IS50" i="4"/>
  <c r="IO58" i="4"/>
  <c r="IS60" i="4"/>
  <c r="ID43" i="4"/>
  <c r="ID44" i="4" s="1"/>
  <c r="ID45" i="4" s="1"/>
  <c r="ID46" i="4" s="1"/>
  <c r="ID47" i="4" s="1"/>
  <c r="ID48" i="4" s="1"/>
  <c r="ID49" i="4"/>
  <c r="IH19" i="4"/>
  <c r="IT43" i="4"/>
  <c r="IH45" i="4"/>
  <c r="IS52" i="4"/>
  <c r="HT62" i="4"/>
  <c r="HT27" i="4"/>
  <c r="HT58" i="4"/>
  <c r="HT25" i="4"/>
  <c r="HT29" i="4"/>
  <c r="HT60" i="4"/>
  <c r="HU10" i="4"/>
  <c r="HT26" i="4"/>
  <c r="HQ44" i="4"/>
  <c r="HU44" i="4" s="1"/>
  <c r="HT17" i="4"/>
  <c r="HL61" i="4"/>
  <c r="HL29" i="4"/>
  <c r="HM55" i="4"/>
  <c r="HQ55" i="4" s="1"/>
  <c r="HU55" i="4" s="1"/>
  <c r="HQ54" i="4"/>
  <c r="HU54" i="4" s="1"/>
  <c r="HI19" i="4"/>
  <c r="HT28" i="4"/>
  <c r="HM11" i="4"/>
  <c r="HI12" i="4"/>
  <c r="HI59" i="4"/>
  <c r="HM58" i="4"/>
  <c r="HQ58" i="4" s="1"/>
  <c r="HU58" i="4" s="1"/>
  <c r="HI45" i="4"/>
  <c r="HE50" i="4"/>
  <c r="HE51" i="4" s="1"/>
  <c r="HE52" i="4" s="1"/>
  <c r="HE53" i="4" s="1"/>
  <c r="HE54" i="4" s="1"/>
  <c r="HE55" i="4" s="1"/>
  <c r="HP24" i="4"/>
  <c r="HT52" i="4"/>
  <c r="GV10" i="4"/>
  <c r="GR53" i="4"/>
  <c r="GV53" i="4" s="1"/>
  <c r="GN54" i="4"/>
  <c r="GU62" i="4"/>
  <c r="GU29" i="4"/>
  <c r="GU26" i="4"/>
  <c r="GU25" i="4"/>
  <c r="GU60" i="4"/>
  <c r="GU20" i="4"/>
  <c r="GM25" i="4"/>
  <c r="GU28" i="4"/>
  <c r="GM29" i="4"/>
  <c r="GF50" i="4"/>
  <c r="GF51" i="4" s="1"/>
  <c r="GF52" i="4" s="1"/>
  <c r="GF53" i="4" s="1"/>
  <c r="GF54" i="4" s="1"/>
  <c r="GF55" i="4" s="1"/>
  <c r="GU51" i="4"/>
  <c r="GJ19" i="4"/>
  <c r="GN18" i="4"/>
  <c r="GR18" i="4" s="1"/>
  <c r="GV18" i="4" s="1"/>
  <c r="GF43" i="4"/>
  <c r="GF44" i="4" s="1"/>
  <c r="GF45" i="4" s="1"/>
  <c r="GF46" i="4" s="1"/>
  <c r="GF47" i="4" s="1"/>
  <c r="GF48" i="4" s="1"/>
  <c r="GM60" i="4"/>
  <c r="GQ62" i="4"/>
  <c r="GQ25" i="4"/>
  <c r="GU50" i="4"/>
  <c r="GM58" i="4"/>
  <c r="GM28" i="4"/>
  <c r="GQ29" i="4"/>
  <c r="GV43" i="4"/>
  <c r="GN59" i="4"/>
  <c r="GR59" i="4" s="1"/>
  <c r="GV59" i="4" s="1"/>
  <c r="GJ14" i="4"/>
  <c r="GN13" i="4"/>
  <c r="GR13" i="4" s="1"/>
  <c r="GV13" i="4" s="1"/>
  <c r="GU52" i="4"/>
  <c r="GQ60" i="4"/>
  <c r="GJ61" i="4"/>
  <c r="GM62" i="4"/>
  <c r="GN11" i="4"/>
  <c r="GQ24" i="4"/>
  <c r="GU54" i="4"/>
  <c r="GQ58" i="4"/>
  <c r="GJ45" i="4"/>
  <c r="FK46" i="4"/>
  <c r="FR27" i="4"/>
  <c r="FV61" i="4"/>
  <c r="FR61" i="4"/>
  <c r="FV22" i="4"/>
  <c r="FW43" i="4"/>
  <c r="FN59" i="4"/>
  <c r="FO53" i="4"/>
  <c r="FV26" i="4"/>
  <c r="FV57" i="4"/>
  <c r="FV59" i="4"/>
  <c r="FN26" i="4"/>
  <c r="FO59" i="4"/>
  <c r="FS59" i="4" s="1"/>
  <c r="FW59" i="4" s="1"/>
  <c r="FS10" i="4"/>
  <c r="FO11" i="4"/>
  <c r="FS11" i="4" s="1"/>
  <c r="FW11" i="4" s="1"/>
  <c r="FK19" i="4"/>
  <c r="FO18" i="4"/>
  <c r="FS18" i="4" s="1"/>
  <c r="FW18" i="4" s="1"/>
  <c r="FR57" i="4"/>
  <c r="FV21" i="4"/>
  <c r="FO58" i="4"/>
  <c r="FS58" i="4" s="1"/>
  <c r="FW58" i="4" s="1"/>
  <c r="FN57" i="4"/>
  <c r="FR59" i="4"/>
  <c r="FN61" i="4"/>
  <c r="FG49" i="4"/>
  <c r="EL13" i="4"/>
  <c r="EP12" i="4"/>
  <c r="ET12" i="4" s="1"/>
  <c r="EX12" i="4" s="1"/>
  <c r="EW60" i="4"/>
  <c r="EL48" i="4"/>
  <c r="EP48" i="4" s="1"/>
  <c r="ET48" i="4" s="1"/>
  <c r="EX48" i="4" s="1"/>
  <c r="EP47" i="4"/>
  <c r="ET47" i="4" s="1"/>
  <c r="EX47" i="4" s="1"/>
  <c r="EW20" i="4"/>
  <c r="EW50" i="4"/>
  <c r="EW58" i="4"/>
  <c r="EW52" i="4"/>
  <c r="EW29" i="4"/>
  <c r="EW54" i="4"/>
  <c r="EL19" i="4"/>
  <c r="EP18" i="4"/>
  <c r="ET18" i="4" s="1"/>
  <c r="EX18" i="4" s="1"/>
  <c r="EO28" i="4"/>
  <c r="EH43" i="4"/>
  <c r="EH44" i="4" s="1"/>
  <c r="EH45" i="4" s="1"/>
  <c r="EH46" i="4" s="1"/>
  <c r="EH47" i="4" s="1"/>
  <c r="EH48" i="4" s="1"/>
  <c r="EH49" i="4"/>
  <c r="EP53" i="4"/>
  <c r="EX10" i="4"/>
  <c r="EW25" i="4"/>
  <c r="EW62" i="4"/>
  <c r="EW28" i="4"/>
  <c r="ES24" i="4"/>
  <c r="EP46" i="4"/>
  <c r="ET46" i="4" s="1"/>
  <c r="EX46" i="4" s="1"/>
  <c r="EO25" i="4"/>
  <c r="EO27" i="4"/>
  <c r="EX43" i="4"/>
  <c r="EO57" i="4"/>
  <c r="ES59" i="4"/>
  <c r="EO61" i="4"/>
  <c r="EP45" i="4"/>
  <c r="ET45" i="4" s="1"/>
  <c r="EX45" i="4" s="1"/>
  <c r="DX58" i="4"/>
  <c r="DX62" i="4"/>
  <c r="DY10" i="4"/>
  <c r="DU53" i="4"/>
  <c r="DY53" i="4" s="1"/>
  <c r="DQ54" i="4"/>
  <c r="DX24" i="4"/>
  <c r="DQ60" i="4"/>
  <c r="DU60" i="4" s="1"/>
  <c r="DY60" i="4" s="1"/>
  <c r="DM61" i="4"/>
  <c r="DT29" i="4"/>
  <c r="DX52" i="4"/>
  <c r="DT60" i="4"/>
  <c r="DQ59" i="4"/>
  <c r="DU59" i="4" s="1"/>
  <c r="DY59" i="4" s="1"/>
  <c r="DT24" i="4"/>
  <c r="DX18" i="4"/>
  <c r="DX29" i="4"/>
  <c r="DX54" i="4"/>
  <c r="DT58" i="4"/>
  <c r="DM19" i="4"/>
  <c r="DQ18" i="4"/>
  <c r="DU18" i="4" s="1"/>
  <c r="DY18" i="4" s="1"/>
  <c r="DU44" i="4"/>
  <c r="DU52" i="4"/>
  <c r="DY52" i="4" s="1"/>
  <c r="DX60" i="4"/>
  <c r="DQ58" i="4"/>
  <c r="DU58" i="4" s="1"/>
  <c r="DY58" i="4" s="1"/>
  <c r="DX20" i="4"/>
  <c r="DP62" i="4"/>
  <c r="DP28" i="4"/>
  <c r="DQ11" i="4"/>
  <c r="DU11" i="4" s="1"/>
  <c r="DY11" i="4" s="1"/>
  <c r="DM12" i="4"/>
  <c r="DP25" i="4"/>
  <c r="DX28" i="4"/>
  <c r="DP29" i="4"/>
  <c r="DI50" i="4"/>
  <c r="DI51" i="4" s="1"/>
  <c r="DI52" i="4" s="1"/>
  <c r="DI53" i="4" s="1"/>
  <c r="DI54" i="4" s="1"/>
  <c r="DI55" i="4" s="1"/>
  <c r="DP60" i="4"/>
  <c r="DT62" i="4"/>
  <c r="DT25" i="4"/>
  <c r="DX50" i="4"/>
  <c r="DP58" i="4"/>
  <c r="DM45" i="4"/>
  <c r="CR60" i="4"/>
  <c r="CV60" i="4" s="1"/>
  <c r="CZ60" i="4" s="1"/>
  <c r="CN61" i="4"/>
  <c r="CY28" i="4"/>
  <c r="CY29" i="4"/>
  <c r="CZ10" i="4"/>
  <c r="CY60" i="4"/>
  <c r="CY24" i="4"/>
  <c r="CN13" i="4"/>
  <c r="CR12" i="4"/>
  <c r="CV12" i="4" s="1"/>
  <c r="CZ12" i="4" s="1"/>
  <c r="CY52" i="4"/>
  <c r="CU24" i="4"/>
  <c r="CN19" i="4"/>
  <c r="CR11" i="4"/>
  <c r="CV11" i="4" s="1"/>
  <c r="CZ11" i="4" s="1"/>
  <c r="CY19" i="4"/>
  <c r="CY54" i="4"/>
  <c r="CR59" i="4"/>
  <c r="CV59" i="4" s="1"/>
  <c r="CZ59" i="4" s="1"/>
  <c r="CZ43" i="4"/>
  <c r="CJ43" i="4"/>
  <c r="CJ44" i="4" s="1"/>
  <c r="CJ45" i="4" s="1"/>
  <c r="CJ46" i="4" s="1"/>
  <c r="CJ47" i="4" s="1"/>
  <c r="CJ48" i="4" s="1"/>
  <c r="CN45" i="4"/>
  <c r="CR58" i="4"/>
  <c r="CV58" i="4" s="1"/>
  <c r="CZ58" i="4" s="1"/>
  <c r="CU62" i="4"/>
  <c r="CQ29" i="4"/>
  <c r="CJ50" i="4"/>
  <c r="CJ51" i="4" s="1"/>
  <c r="CJ52" i="4" s="1"/>
  <c r="CJ53" i="4" s="1"/>
  <c r="CJ54" i="4" s="1"/>
  <c r="CJ55" i="4" s="1"/>
  <c r="CY50" i="4"/>
  <c r="CR54" i="4"/>
  <c r="CU58" i="4"/>
  <c r="CQ28" i="4"/>
  <c r="CQ60" i="4"/>
  <c r="BZ60" i="4"/>
  <c r="BZ58" i="4"/>
  <c r="BZ29" i="4"/>
  <c r="BZ62" i="4"/>
  <c r="BW53" i="4"/>
  <c r="CA53" i="4" s="1"/>
  <c r="BS54" i="4"/>
  <c r="BS12" i="4"/>
  <c r="BW12" i="4" s="1"/>
  <c r="CA12" i="4" s="1"/>
  <c r="BP24" i="4"/>
  <c r="BV29" i="4"/>
  <c r="BK50" i="4"/>
  <c r="BK51" i="4" s="1"/>
  <c r="BK52" i="4" s="1"/>
  <c r="BK53" i="4" s="1"/>
  <c r="BK54" i="4" s="1"/>
  <c r="BK55" i="4" s="1"/>
  <c r="BV58" i="4"/>
  <c r="BW52" i="4"/>
  <c r="CA52" i="4" s="1"/>
  <c r="BZ57" i="4"/>
  <c r="BO45" i="4"/>
  <c r="BR62" i="4"/>
  <c r="CA10" i="4"/>
  <c r="BR24" i="4"/>
  <c r="BP58" i="4"/>
  <c r="BV62" i="4"/>
  <c r="BR61" i="4"/>
  <c r="BR29" i="4"/>
  <c r="BR60" i="4"/>
  <c r="BO14" i="4"/>
  <c r="BS13" i="4"/>
  <c r="BW13" i="4" s="1"/>
  <c r="CA13" i="4" s="1"/>
  <c r="BO20" i="4"/>
  <c r="BO59" i="4"/>
  <c r="BS58" i="4"/>
  <c r="BW58" i="4" s="1"/>
  <c r="CA58" i="4" s="1"/>
  <c r="BZ19" i="4"/>
  <c r="AW24" i="4"/>
  <c r="AQ51" i="4"/>
  <c r="AQ45" i="4"/>
  <c r="BA54" i="4"/>
  <c r="BA60" i="4"/>
  <c r="BA22" i="4"/>
  <c r="AS29" i="4"/>
  <c r="AQ17" i="4"/>
  <c r="AQ11" i="4"/>
  <c r="AP59" i="4"/>
  <c r="AT58" i="4"/>
  <c r="AX58" i="4" s="1"/>
  <c r="BB58" i="4" s="1"/>
  <c r="BA17" i="4"/>
  <c r="BA20" i="4"/>
  <c r="AS27" i="4"/>
  <c r="AX52" i="4"/>
  <c r="BB52" i="4" s="1"/>
  <c r="AT53" i="4"/>
  <c r="AS24" i="4"/>
  <c r="BA55" i="4"/>
  <c r="BA50" i="4"/>
  <c r="BA19" i="4"/>
  <c r="AP13" i="4"/>
  <c r="AT12" i="4"/>
  <c r="AX12" i="4" s="1"/>
  <c r="BB12" i="4" s="1"/>
  <c r="BA21" i="4"/>
  <c r="AQ50" i="4"/>
  <c r="BA52" i="4"/>
  <c r="AS28" i="4"/>
  <c r="AW25" i="4"/>
  <c r="AX10" i="4"/>
  <c r="AT11" i="4"/>
  <c r="AX11" i="4" s="1"/>
  <c r="BB11" i="4" s="1"/>
  <c r="AL43" i="4"/>
  <c r="AL44" i="4" s="1"/>
  <c r="AL45" i="4" s="1"/>
  <c r="AL46" i="4" s="1"/>
  <c r="AL47" i="4" s="1"/>
  <c r="AL48" i="4" s="1"/>
  <c r="AP45" i="4"/>
  <c r="AW62" i="4"/>
  <c r="E58" i="3"/>
  <c r="C36" i="10"/>
  <c r="C38" i="10" s="1"/>
  <c r="D35" i="10" s="1"/>
  <c r="D33" i="10"/>
  <c r="D27" i="10"/>
  <c r="CO43" i="4" l="1"/>
  <c r="CO17" i="4"/>
  <c r="CO24" i="4" s="1"/>
  <c r="CO11" i="4"/>
  <c r="CO18" i="4" s="1"/>
  <c r="CO25" i="4" s="1"/>
  <c r="DN10" i="4"/>
  <c r="I31" i="12"/>
  <c r="I32" i="12" s="1"/>
  <c r="I33" i="12" s="1"/>
  <c r="L11" i="6"/>
  <c r="M11" i="6" s="1"/>
  <c r="P11" i="6"/>
  <c r="R8" i="6"/>
  <c r="R11" i="6" s="1"/>
  <c r="O10" i="3"/>
  <c r="L9" i="12"/>
  <c r="L17" i="12" s="1"/>
  <c r="K13" i="5"/>
  <c r="J32" i="12"/>
  <c r="K47" i="3"/>
  <c r="O38" i="6"/>
  <c r="O39" i="6" s="1"/>
  <c r="O42" i="6" s="1"/>
  <c r="O43" i="6" s="1"/>
  <c r="O46" i="6" s="1"/>
  <c r="O51" i="6" s="1"/>
  <c r="O54" i="6" s="1"/>
  <c r="P30" i="6"/>
  <c r="K44" i="12"/>
  <c r="N44" i="12" s="1"/>
  <c r="Q44" i="12" s="1"/>
  <c r="F10" i="12"/>
  <c r="J14" i="12"/>
  <c r="F11" i="12"/>
  <c r="Q30" i="12"/>
  <c r="D22" i="12"/>
  <c r="FO13" i="4"/>
  <c r="FS13" i="4" s="1"/>
  <c r="FW13" i="4" s="1"/>
  <c r="BP51" i="4"/>
  <c r="CL12" i="4"/>
  <c r="CL19" i="4" s="1"/>
  <c r="CL26" i="4" s="1"/>
  <c r="FK62" i="4"/>
  <c r="FO62" i="4" s="1"/>
  <c r="FS62" i="4" s="1"/>
  <c r="FW62" i="4" s="1"/>
  <c r="AT19" i="4"/>
  <c r="AX19" i="4" s="1"/>
  <c r="BB19" i="4" s="1"/>
  <c r="BP12" i="4"/>
  <c r="BP13" i="4" s="1"/>
  <c r="EP60" i="4"/>
  <c r="ET60" i="4" s="1"/>
  <c r="EX60" i="4" s="1"/>
  <c r="EL61" i="4"/>
  <c r="ID56" i="4"/>
  <c r="ID57" i="4" s="1"/>
  <c r="ID58" i="4" s="1"/>
  <c r="ID59" i="4" s="1"/>
  <c r="ID60" i="4" s="1"/>
  <c r="ID61" i="4" s="1"/>
  <c r="ID62" i="4" s="1"/>
  <c r="ID50" i="4"/>
  <c r="ID51" i="4" s="1"/>
  <c r="ID52" i="4" s="1"/>
  <c r="ID53" i="4" s="1"/>
  <c r="ID54" i="4" s="1"/>
  <c r="ID55" i="4" s="1"/>
  <c r="IH14" i="4"/>
  <c r="IL13" i="4"/>
  <c r="IP13" i="4" s="1"/>
  <c r="IT13" i="4" s="1"/>
  <c r="IL45" i="4"/>
  <c r="IH46" i="4"/>
  <c r="IS59" i="4"/>
  <c r="IL19" i="4"/>
  <c r="IP19" i="4" s="1"/>
  <c r="IT19" i="4" s="1"/>
  <c r="IH20" i="4"/>
  <c r="IS57" i="4"/>
  <c r="IH62" i="4"/>
  <c r="IL62" i="4" s="1"/>
  <c r="IP62" i="4" s="1"/>
  <c r="IT62" i="4" s="1"/>
  <c r="IL61" i="4"/>
  <c r="IP61" i="4" s="1"/>
  <c r="IT61" i="4" s="1"/>
  <c r="IL54" i="4"/>
  <c r="IP53" i="4"/>
  <c r="IT53" i="4" s="1"/>
  <c r="IS26" i="4"/>
  <c r="HI13" i="4"/>
  <c r="HM12" i="4"/>
  <c r="HQ12" i="4" s="1"/>
  <c r="HU12" i="4" s="1"/>
  <c r="HM45" i="4"/>
  <c r="HI46" i="4"/>
  <c r="HT59" i="4"/>
  <c r="HQ11" i="4"/>
  <c r="HI20" i="4"/>
  <c r="HM19" i="4"/>
  <c r="HQ19" i="4" s="1"/>
  <c r="HU19" i="4" s="1"/>
  <c r="HI60" i="4"/>
  <c r="HM59" i="4"/>
  <c r="HQ59" i="4" s="1"/>
  <c r="HU59" i="4" s="1"/>
  <c r="HT24" i="4"/>
  <c r="GU61" i="4"/>
  <c r="GU59" i="4"/>
  <c r="GJ15" i="4"/>
  <c r="GN15" i="4" s="1"/>
  <c r="GR15" i="4" s="1"/>
  <c r="GV15" i="4" s="1"/>
  <c r="GN14" i="4"/>
  <c r="GR14" i="4" s="1"/>
  <c r="GV14" i="4" s="1"/>
  <c r="GU57" i="4"/>
  <c r="GJ46" i="4"/>
  <c r="GN45" i="4"/>
  <c r="GJ62" i="4"/>
  <c r="GN62" i="4" s="1"/>
  <c r="GR62" i="4" s="1"/>
  <c r="GV62" i="4" s="1"/>
  <c r="GN61" i="4"/>
  <c r="GR61" i="4" s="1"/>
  <c r="GV61" i="4" s="1"/>
  <c r="GN19" i="4"/>
  <c r="GR19" i="4" s="1"/>
  <c r="GV19" i="4" s="1"/>
  <c r="GJ20" i="4"/>
  <c r="GU27" i="4"/>
  <c r="GR11" i="4"/>
  <c r="GU58" i="4"/>
  <c r="GN55" i="4"/>
  <c r="GR55" i="4" s="1"/>
  <c r="GV55" i="4" s="1"/>
  <c r="GR54" i="4"/>
  <c r="GV54" i="4" s="1"/>
  <c r="FK15" i="4"/>
  <c r="FO14" i="4"/>
  <c r="FG56" i="4"/>
  <c r="FG57" i="4" s="1"/>
  <c r="FG58" i="4" s="1"/>
  <c r="FG59" i="4" s="1"/>
  <c r="FG60" i="4" s="1"/>
  <c r="FG61" i="4" s="1"/>
  <c r="FG62" i="4" s="1"/>
  <c r="FG50" i="4"/>
  <c r="FG51" i="4" s="1"/>
  <c r="FG52" i="4" s="1"/>
  <c r="FG53" i="4" s="1"/>
  <c r="FG54" i="4" s="1"/>
  <c r="FG55" i="4" s="1"/>
  <c r="FK20" i="4"/>
  <c r="FO19" i="4"/>
  <c r="FS19" i="4" s="1"/>
  <c r="FW19" i="4" s="1"/>
  <c r="FV28" i="4"/>
  <c r="FO46" i="4"/>
  <c r="FK47" i="4"/>
  <c r="FW10" i="4"/>
  <c r="FV29" i="4"/>
  <c r="FO54" i="4"/>
  <c r="FS53" i="4"/>
  <c r="FW53" i="4" s="1"/>
  <c r="EP19" i="4"/>
  <c r="ET19" i="4" s="1"/>
  <c r="EX19" i="4" s="1"/>
  <c r="EL20" i="4"/>
  <c r="EW59" i="4"/>
  <c r="EW61" i="4"/>
  <c r="EW27" i="4"/>
  <c r="EH56" i="4"/>
  <c r="EH57" i="4" s="1"/>
  <c r="EH58" i="4" s="1"/>
  <c r="EH59" i="4" s="1"/>
  <c r="EH60" i="4" s="1"/>
  <c r="EH61" i="4" s="1"/>
  <c r="EH62" i="4" s="1"/>
  <c r="EH50" i="4"/>
  <c r="EH51" i="4" s="1"/>
  <c r="EH52" i="4" s="1"/>
  <c r="EH53" i="4" s="1"/>
  <c r="EH54" i="4" s="1"/>
  <c r="EH55" i="4" s="1"/>
  <c r="EL14" i="4"/>
  <c r="EP13" i="4"/>
  <c r="EW57" i="4"/>
  <c r="EP54" i="4"/>
  <c r="ET53" i="4"/>
  <c r="EX53" i="4" s="1"/>
  <c r="DQ55" i="4"/>
  <c r="DU55" i="4" s="1"/>
  <c r="DY55" i="4" s="1"/>
  <c r="DU54" i="4"/>
  <c r="DY54" i="4" s="1"/>
  <c r="DX27" i="4"/>
  <c r="DY44" i="4"/>
  <c r="DQ61" i="4"/>
  <c r="DU61" i="4" s="1"/>
  <c r="DY61" i="4" s="1"/>
  <c r="DM62" i="4"/>
  <c r="DQ62" i="4" s="1"/>
  <c r="DU62" i="4" s="1"/>
  <c r="DY62" i="4" s="1"/>
  <c r="DX25" i="4"/>
  <c r="DX57" i="4"/>
  <c r="DX59" i="4"/>
  <c r="DM46" i="4"/>
  <c r="DQ45" i="4"/>
  <c r="DX61" i="4"/>
  <c r="DM13" i="4"/>
  <c r="DQ12" i="4"/>
  <c r="DU12" i="4" s="1"/>
  <c r="DY12" i="4" s="1"/>
  <c r="DQ19" i="4"/>
  <c r="DU19" i="4" s="1"/>
  <c r="DY19" i="4" s="1"/>
  <c r="DM20" i="4"/>
  <c r="CY61" i="4"/>
  <c r="CR45" i="4"/>
  <c r="CN46" i="4"/>
  <c r="CR19" i="4"/>
  <c r="CV19" i="4" s="1"/>
  <c r="CZ19" i="4" s="1"/>
  <c r="CN20" i="4"/>
  <c r="CY26" i="4"/>
  <c r="CR61" i="4"/>
  <c r="CV61" i="4" s="1"/>
  <c r="CZ61" i="4" s="1"/>
  <c r="CN62" i="4"/>
  <c r="CR62" i="4" s="1"/>
  <c r="CV62" i="4" s="1"/>
  <c r="CZ62" i="4" s="1"/>
  <c r="CN14" i="4"/>
  <c r="CR13" i="4"/>
  <c r="CY59" i="4"/>
  <c r="CR55" i="4"/>
  <c r="CV55" i="4" s="1"/>
  <c r="CZ55" i="4" s="1"/>
  <c r="CV54" i="4"/>
  <c r="CZ54" i="4" s="1"/>
  <c r="CY57" i="4"/>
  <c r="BP52" i="4"/>
  <c r="BP46" i="4"/>
  <c r="BO60" i="4"/>
  <c r="BS59" i="4"/>
  <c r="BW59" i="4" s="1"/>
  <c r="CA59" i="4" s="1"/>
  <c r="BZ26" i="4"/>
  <c r="BS20" i="4"/>
  <c r="BW20" i="4" s="1"/>
  <c r="CA20" i="4" s="1"/>
  <c r="BO21" i="4"/>
  <c r="BS55" i="4"/>
  <c r="BW55" i="4" s="1"/>
  <c r="CA55" i="4" s="1"/>
  <c r="BW54" i="4"/>
  <c r="CA54" i="4" s="1"/>
  <c r="BS45" i="4"/>
  <c r="BO46" i="4"/>
  <c r="BS14" i="4"/>
  <c r="BW14" i="4" s="1"/>
  <c r="CA14" i="4" s="1"/>
  <c r="BO15" i="4"/>
  <c r="BP59" i="4"/>
  <c r="AT45" i="4"/>
  <c r="AP46" i="4"/>
  <c r="BA59" i="4"/>
  <c r="BA62" i="4"/>
  <c r="AQ52" i="4"/>
  <c r="AQ46" i="4"/>
  <c r="BA24" i="4"/>
  <c r="AQ24" i="4"/>
  <c r="BA28" i="4"/>
  <c r="AT20" i="4"/>
  <c r="AX20" i="4" s="1"/>
  <c r="BB20" i="4" s="1"/>
  <c r="AP21" i="4"/>
  <c r="BA29" i="4"/>
  <c r="AQ57" i="4"/>
  <c r="AP14" i="4"/>
  <c r="AT13" i="4"/>
  <c r="AX13" i="4" s="1"/>
  <c r="BB13" i="4" s="1"/>
  <c r="BA26" i="4"/>
  <c r="AP60" i="4"/>
  <c r="AT59" i="4"/>
  <c r="AX59" i="4" s="1"/>
  <c r="BB59" i="4" s="1"/>
  <c r="AX53" i="4"/>
  <c r="BB53" i="4" s="1"/>
  <c r="AT54" i="4"/>
  <c r="BB10" i="4"/>
  <c r="BA57" i="4"/>
  <c r="BA27" i="4"/>
  <c r="AQ18" i="4"/>
  <c r="AQ12" i="4"/>
  <c r="BA61" i="4"/>
  <c r="E33" i="10"/>
  <c r="D30" i="10"/>
  <c r="D41" i="10"/>
  <c r="C42" i="10"/>
  <c r="C19" i="10"/>
  <c r="M15" i="10"/>
  <c r="M13" i="10"/>
  <c r="C11" i="10"/>
  <c r="D11" i="10" s="1"/>
  <c r="E11" i="10" s="1"/>
  <c r="F11" i="10" s="1"/>
  <c r="G11" i="10" s="1"/>
  <c r="H11" i="10" s="1"/>
  <c r="I11" i="10" s="1"/>
  <c r="J11" i="10" s="1"/>
  <c r="K11" i="10" s="1"/>
  <c r="L11" i="10" s="1"/>
  <c r="D7" i="10"/>
  <c r="E7" i="10"/>
  <c r="F7" i="10"/>
  <c r="G7" i="10"/>
  <c r="C7" i="10"/>
  <c r="M5" i="10"/>
  <c r="F14" i="9"/>
  <c r="G14" i="9"/>
  <c r="G13" i="9"/>
  <c r="G12" i="9"/>
  <c r="G8" i="9"/>
  <c r="G7" i="9"/>
  <c r="G6" i="9"/>
  <c r="Q51" i="4"/>
  <c r="Q52" i="4" s="1"/>
  <c r="Q53" i="4" s="1"/>
  <c r="Q54" i="4" s="1"/>
  <c r="Q55" i="4" s="1"/>
  <c r="Q44" i="4"/>
  <c r="U44" i="4" s="1"/>
  <c r="Y44" i="4" s="1"/>
  <c r="AC44" i="4" s="1"/>
  <c r="Q18" i="4"/>
  <c r="U18" i="4" s="1"/>
  <c r="Y18" i="4" s="1"/>
  <c r="AC18" i="4" s="1"/>
  <c r="Q11" i="4"/>
  <c r="Q12" i="4" s="1"/>
  <c r="E46" i="9"/>
  <c r="E47" i="9" s="1"/>
  <c r="I35" i="9"/>
  <c r="I34" i="9"/>
  <c r="I33" i="9"/>
  <c r="I32" i="9"/>
  <c r="I31" i="9"/>
  <c r="G27" i="9"/>
  <c r="G28" i="9" s="1"/>
  <c r="M42" i="4"/>
  <c r="M43" i="4" s="1"/>
  <c r="M44" i="4" s="1"/>
  <c r="M45" i="4" s="1"/>
  <c r="M46" i="4" s="1"/>
  <c r="M47" i="4" s="1"/>
  <c r="M48" i="4" s="1"/>
  <c r="O62" i="4"/>
  <c r="O61" i="4"/>
  <c r="O60" i="4"/>
  <c r="O59" i="4"/>
  <c r="O58" i="4"/>
  <c r="O57" i="4"/>
  <c r="O55" i="4"/>
  <c r="O54" i="4"/>
  <c r="O53" i="4"/>
  <c r="O52" i="4"/>
  <c r="O51" i="4"/>
  <c r="O50" i="4"/>
  <c r="O48" i="4"/>
  <c r="O47" i="4"/>
  <c r="O46" i="4"/>
  <c r="O45" i="4"/>
  <c r="O44" i="4"/>
  <c r="O43" i="4"/>
  <c r="O29" i="4"/>
  <c r="O28" i="4"/>
  <c r="O27" i="4"/>
  <c r="O26" i="4"/>
  <c r="O25" i="4"/>
  <c r="O24" i="4"/>
  <c r="O22" i="4"/>
  <c r="O21" i="4"/>
  <c r="O20" i="4"/>
  <c r="O19" i="4"/>
  <c r="O18" i="4"/>
  <c r="O17" i="4"/>
  <c r="O15" i="4"/>
  <c r="O14" i="4"/>
  <c r="O13" i="4"/>
  <c r="O12" i="4"/>
  <c r="O11" i="4"/>
  <c r="O10" i="4"/>
  <c r="U52" i="4"/>
  <c r="U53" i="4" s="1"/>
  <c r="U51" i="4"/>
  <c r="Y51" i="4" s="1"/>
  <c r="AC51" i="4" s="1"/>
  <c r="Q58" i="4"/>
  <c r="Q59" i="4" s="1"/>
  <c r="R10" i="4"/>
  <c r="R17" i="4" s="1"/>
  <c r="R24" i="4" s="1"/>
  <c r="R43" i="4"/>
  <c r="R50" i="4" s="1"/>
  <c r="R57" i="4" s="1"/>
  <c r="R58" i="4" s="1"/>
  <c r="R59" i="4" s="1"/>
  <c r="R60" i="4" s="1"/>
  <c r="R61" i="4" s="1"/>
  <c r="R62" i="4" s="1"/>
  <c r="T62" i="4"/>
  <c r="X60" i="4"/>
  <c r="K58" i="4"/>
  <c r="K59" i="4" s="1"/>
  <c r="U57" i="4"/>
  <c r="Y57" i="4" s="1"/>
  <c r="AC57" i="4" s="1"/>
  <c r="X55" i="4"/>
  <c r="X62" i="4" s="1"/>
  <c r="T55" i="4"/>
  <c r="AB54" i="4"/>
  <c r="AB61" i="4" s="1"/>
  <c r="X54" i="4"/>
  <c r="X61" i="4" s="1"/>
  <c r="T54" i="4"/>
  <c r="T61" i="4" s="1"/>
  <c r="X53" i="4"/>
  <c r="T53" i="4"/>
  <c r="T60" i="4" s="1"/>
  <c r="X52" i="4"/>
  <c r="X59" i="4" s="1"/>
  <c r="T52" i="4"/>
  <c r="T59" i="4" s="1"/>
  <c r="X51" i="4"/>
  <c r="X58" i="4" s="1"/>
  <c r="T51" i="4"/>
  <c r="T58" i="4" s="1"/>
  <c r="K51" i="4"/>
  <c r="AB50" i="4"/>
  <c r="AB57" i="4" s="1"/>
  <c r="Y50" i="4"/>
  <c r="AC50" i="4" s="1"/>
  <c r="X50" i="4"/>
  <c r="X57" i="4" s="1"/>
  <c r="T50" i="4"/>
  <c r="T57" i="4" s="1"/>
  <c r="AB48" i="4"/>
  <c r="AB55" i="4" s="1"/>
  <c r="AB47" i="4"/>
  <c r="AB46" i="4"/>
  <c r="AB53" i="4" s="1"/>
  <c r="AB60" i="4" s="1"/>
  <c r="AB45" i="4"/>
  <c r="AB52" i="4" s="1"/>
  <c r="AB44" i="4"/>
  <c r="AB51" i="4" s="1"/>
  <c r="K44" i="4"/>
  <c r="K45" i="4" s="1"/>
  <c r="K46" i="4" s="1"/>
  <c r="K47" i="4" s="1"/>
  <c r="K48" i="4" s="1"/>
  <c r="AB43" i="4"/>
  <c r="U43" i="4"/>
  <c r="U29" i="4"/>
  <c r="Y29" i="4" s="1"/>
  <c r="AC29" i="4" s="1"/>
  <c r="U28" i="4"/>
  <c r="Y28" i="4" s="1"/>
  <c r="AC28" i="4" s="1"/>
  <c r="U27" i="4"/>
  <c r="Y27" i="4" s="1"/>
  <c r="AC27" i="4" s="1"/>
  <c r="U26" i="4"/>
  <c r="Y26" i="4" s="1"/>
  <c r="AC26" i="4" s="1"/>
  <c r="U25" i="4"/>
  <c r="Y25" i="4" s="1"/>
  <c r="AC25" i="4" s="1"/>
  <c r="U24" i="4"/>
  <c r="U17" i="4"/>
  <c r="Y17" i="4" s="1"/>
  <c r="AC17" i="4" s="1"/>
  <c r="U10" i="4"/>
  <c r="Y10" i="4" s="1"/>
  <c r="AC10" i="4" s="1"/>
  <c r="X25" i="4"/>
  <c r="X22" i="4"/>
  <c r="X29" i="4" s="1"/>
  <c r="T22" i="4"/>
  <c r="T29" i="4" s="1"/>
  <c r="X21" i="4"/>
  <c r="X28" i="4" s="1"/>
  <c r="T21" i="4"/>
  <c r="T28" i="4" s="1"/>
  <c r="X20" i="4"/>
  <c r="X27" i="4" s="1"/>
  <c r="T20" i="4"/>
  <c r="T27" i="4" s="1"/>
  <c r="X19" i="4"/>
  <c r="X26" i="4" s="1"/>
  <c r="T19" i="4"/>
  <c r="T26" i="4" s="1"/>
  <c r="X18" i="4"/>
  <c r="T18" i="4"/>
  <c r="T25" i="4" s="1"/>
  <c r="X17" i="4"/>
  <c r="X24" i="4" s="1"/>
  <c r="T17" i="4"/>
  <c r="T24" i="4" s="1"/>
  <c r="AB15" i="4"/>
  <c r="AB22" i="4" s="1"/>
  <c r="AB29" i="4" s="1"/>
  <c r="AB14" i="4"/>
  <c r="AB21" i="4" s="1"/>
  <c r="AB28" i="4" s="1"/>
  <c r="AB13" i="4"/>
  <c r="AB20" i="4" s="1"/>
  <c r="AB27" i="4" s="1"/>
  <c r="AB12" i="4"/>
  <c r="AB19" i="4" s="1"/>
  <c r="AB26" i="4" s="1"/>
  <c r="AB11" i="4"/>
  <c r="AB18" i="4" s="1"/>
  <c r="AB25" i="4" s="1"/>
  <c r="AB10" i="4"/>
  <c r="AB17" i="4" s="1"/>
  <c r="AB24" i="4" s="1"/>
  <c r="K25" i="4"/>
  <c r="K26" i="4" s="1"/>
  <c r="K18" i="4"/>
  <c r="K19" i="4" s="1"/>
  <c r="K20" i="4" s="1"/>
  <c r="K21" i="4" s="1"/>
  <c r="K22" i="4" s="1"/>
  <c r="K11" i="4"/>
  <c r="K12" i="4" s="1"/>
  <c r="K13" i="4" s="1"/>
  <c r="K14" i="4" s="1"/>
  <c r="K15" i="4" s="1"/>
  <c r="L17" i="7"/>
  <c r="K17" i="7"/>
  <c r="J17" i="7"/>
  <c r="I17" i="7"/>
  <c r="H17" i="7"/>
  <c r="G17" i="7"/>
  <c r="F17" i="7"/>
  <c r="E17" i="7"/>
  <c r="D17" i="7"/>
  <c r="M16" i="7"/>
  <c r="M18" i="7"/>
  <c r="L8" i="7"/>
  <c r="K8" i="7"/>
  <c r="J8" i="7"/>
  <c r="I8" i="7"/>
  <c r="H8" i="7"/>
  <c r="G8" i="7"/>
  <c r="F8" i="7"/>
  <c r="E8" i="7"/>
  <c r="D8" i="7"/>
  <c r="M9" i="7"/>
  <c r="M7" i="7"/>
  <c r="K87" i="6"/>
  <c r="F8" i="6"/>
  <c r="AO97" i="6"/>
  <c r="AC97" i="6"/>
  <c r="Q97" i="6"/>
  <c r="AL97" i="6"/>
  <c r="AI97" i="6"/>
  <c r="Z97" i="6"/>
  <c r="Y97" i="6"/>
  <c r="W97" i="6"/>
  <c r="J81" i="6"/>
  <c r="H81" i="6"/>
  <c r="Q30" i="6"/>
  <c r="H11" i="6"/>
  <c r="C11" i="6"/>
  <c r="Q5" i="6"/>
  <c r="T5" i="6" s="1"/>
  <c r="W5" i="6" s="1"/>
  <c r="Z5" i="6" s="1"/>
  <c r="AC5" i="6" s="1"/>
  <c r="AF5" i="6" s="1"/>
  <c r="AI5" i="6" s="1"/>
  <c r="AL5" i="6" s="1"/>
  <c r="AO5" i="6" s="1"/>
  <c r="G39" i="5"/>
  <c r="F39" i="5"/>
  <c r="E39" i="5"/>
  <c r="D39" i="5"/>
  <c r="L40" i="5"/>
  <c r="M40" i="5" s="1"/>
  <c r="C39" i="5"/>
  <c r="C37" i="5"/>
  <c r="M37" i="5" s="1"/>
  <c r="G37" i="5"/>
  <c r="M28" i="5"/>
  <c r="G30" i="5"/>
  <c r="G28" i="5"/>
  <c r="F30" i="5"/>
  <c r="E30" i="5"/>
  <c r="D30" i="5"/>
  <c r="C30" i="5"/>
  <c r="C28" i="5"/>
  <c r="AW18" i="5"/>
  <c r="AV18" i="5"/>
  <c r="AW17" i="5"/>
  <c r="AV17" i="5"/>
  <c r="AR18" i="5"/>
  <c r="AQ18" i="5"/>
  <c r="AR17" i="5"/>
  <c r="AQ17" i="5"/>
  <c r="AM18" i="5"/>
  <c r="AL18" i="5"/>
  <c r="AM17" i="5"/>
  <c r="AL17" i="5"/>
  <c r="AH18" i="5"/>
  <c r="AG18" i="5"/>
  <c r="AH17" i="5"/>
  <c r="AG17" i="5"/>
  <c r="AX14" i="5"/>
  <c r="L38" i="5" s="1"/>
  <c r="AX13" i="5"/>
  <c r="AS14" i="5"/>
  <c r="AS13" i="5"/>
  <c r="K38" i="5" s="1"/>
  <c r="AN14" i="5"/>
  <c r="AN13" i="5"/>
  <c r="AI14" i="5"/>
  <c r="AI13" i="5"/>
  <c r="AD14" i="5"/>
  <c r="AD13" i="5"/>
  <c r="Y14" i="5"/>
  <c r="AX18" i="5" s="1"/>
  <c r="L39" i="5" s="1"/>
  <c r="Y13" i="5"/>
  <c r="AX17" i="5" s="1"/>
  <c r="T14" i="5"/>
  <c r="AS18" i="5" s="1"/>
  <c r="T13" i="5"/>
  <c r="AS17" i="5" s="1"/>
  <c r="K39" i="5" s="1"/>
  <c r="F14" i="5"/>
  <c r="AC18" i="5"/>
  <c r="O14" i="5"/>
  <c r="AN18" i="5" s="1"/>
  <c r="O13" i="5"/>
  <c r="AN17" i="5" s="1"/>
  <c r="J39" i="5" s="1"/>
  <c r="F22" i="5"/>
  <c r="J14" i="5"/>
  <c r="AI18" i="5" s="1"/>
  <c r="J13" i="5"/>
  <c r="AI17" i="5" s="1"/>
  <c r="I39" i="5" s="1"/>
  <c r="F10" i="3"/>
  <c r="I10" i="3" s="1"/>
  <c r="H63" i="3"/>
  <c r="H29" i="3"/>
  <c r="H14" i="3"/>
  <c r="N5" i="3"/>
  <c r="Q5" i="3" s="1"/>
  <c r="T5" i="3" s="1"/>
  <c r="W5" i="3" s="1"/>
  <c r="Z5" i="3" s="1"/>
  <c r="AC5" i="3" s="1"/>
  <c r="AF5" i="3" s="1"/>
  <c r="AI5" i="3" s="1"/>
  <c r="AL5" i="3" s="1"/>
  <c r="AC17" i="5"/>
  <c r="CO12" i="4" l="1"/>
  <c r="CO19" i="4" s="1"/>
  <c r="L16" i="6"/>
  <c r="DN43" i="4"/>
  <c r="CO44" i="4"/>
  <c r="CO50" i="4"/>
  <c r="CO57" i="4" s="1"/>
  <c r="CO58" i="4" s="1"/>
  <c r="EM10" i="4"/>
  <c r="DN17" i="4"/>
  <c r="DN24" i="4" s="1"/>
  <c r="DN11" i="4"/>
  <c r="U8" i="6"/>
  <c r="U11" i="6" s="1"/>
  <c r="R10" i="3"/>
  <c r="O9" i="12"/>
  <c r="O17" i="12" s="1"/>
  <c r="O20" i="12" s="1"/>
  <c r="P13" i="5"/>
  <c r="Q13" i="5" s="1"/>
  <c r="L20" i="12"/>
  <c r="R16" i="6"/>
  <c r="R17" i="6" s="1"/>
  <c r="R30" i="6" s="1"/>
  <c r="R38" i="6" s="1"/>
  <c r="R39" i="6" s="1"/>
  <c r="R42" i="6" s="1"/>
  <c r="R43" i="6" s="1"/>
  <c r="R46" i="6" s="1"/>
  <c r="R51" i="6" s="1"/>
  <c r="R54" i="6" s="1"/>
  <c r="S11" i="6"/>
  <c r="O55" i="6"/>
  <c r="O56" i="6" s="1"/>
  <c r="O57" i="6" s="1"/>
  <c r="O58" i="6" s="1"/>
  <c r="O59" i="6" s="1"/>
  <c r="O60" i="6" s="1"/>
  <c r="P54" i="6"/>
  <c r="I34" i="12"/>
  <c r="I37" i="12" s="1"/>
  <c r="J33" i="12"/>
  <c r="T30" i="12"/>
  <c r="D23" i="12"/>
  <c r="J22" i="12"/>
  <c r="T44" i="12"/>
  <c r="Q39" i="12"/>
  <c r="N14" i="12"/>
  <c r="M49" i="4"/>
  <c r="M56" i="4" s="1"/>
  <c r="M57" i="4" s="1"/>
  <c r="M58" i="4" s="1"/>
  <c r="M59" i="4" s="1"/>
  <c r="M60" i="4" s="1"/>
  <c r="M61" i="4" s="1"/>
  <c r="M62" i="4" s="1"/>
  <c r="N97" i="6"/>
  <c r="I11" i="3"/>
  <c r="I12" i="3" s="1"/>
  <c r="I20" i="3"/>
  <c r="L10" i="3"/>
  <c r="I34" i="3"/>
  <c r="I37" i="3" s="1"/>
  <c r="I38" i="3" s="1"/>
  <c r="I39" i="3" s="1"/>
  <c r="N35" i="3"/>
  <c r="N36" i="3"/>
  <c r="BP19" i="4"/>
  <c r="BP26" i="4" s="1"/>
  <c r="CL13" i="4"/>
  <c r="CL14" i="4" s="1"/>
  <c r="CO13" i="4"/>
  <c r="CO20" i="4" s="1"/>
  <c r="F11" i="6"/>
  <c r="J8" i="6"/>
  <c r="Y52" i="4"/>
  <c r="AC52" i="4" s="1"/>
  <c r="EL62" i="4"/>
  <c r="EP61" i="4"/>
  <c r="ET61" i="4" s="1"/>
  <c r="EX61" i="4" s="1"/>
  <c r="IL55" i="4"/>
  <c r="IP55" i="4" s="1"/>
  <c r="IT55" i="4" s="1"/>
  <c r="IP54" i="4"/>
  <c r="IT54" i="4" s="1"/>
  <c r="IL20" i="4"/>
  <c r="IP20" i="4" s="1"/>
  <c r="IT20" i="4" s="1"/>
  <c r="IH21" i="4"/>
  <c r="IH15" i="4"/>
  <c r="IL15" i="4" s="1"/>
  <c r="IP15" i="4" s="1"/>
  <c r="IL14" i="4"/>
  <c r="IH47" i="4"/>
  <c r="IL46" i="4"/>
  <c r="IP46" i="4" s="1"/>
  <c r="IP45" i="4"/>
  <c r="HM60" i="4"/>
  <c r="HQ60" i="4" s="1"/>
  <c r="HU60" i="4" s="1"/>
  <c r="HI61" i="4"/>
  <c r="HI47" i="4"/>
  <c r="HM46" i="4"/>
  <c r="HQ46" i="4" s="1"/>
  <c r="HQ45" i="4"/>
  <c r="HI14" i="4"/>
  <c r="HM13" i="4"/>
  <c r="HQ13" i="4" s="1"/>
  <c r="HU11" i="4"/>
  <c r="HM20" i="4"/>
  <c r="HQ20" i="4" s="1"/>
  <c r="HU20" i="4" s="1"/>
  <c r="HI21" i="4"/>
  <c r="GN20" i="4"/>
  <c r="GJ21" i="4"/>
  <c r="GR45" i="4"/>
  <c r="GJ47" i="4"/>
  <c r="GN46" i="4"/>
  <c r="GR46" i="4" s="1"/>
  <c r="GV46" i="4" s="1"/>
  <c r="GV11" i="4"/>
  <c r="FS14" i="4"/>
  <c r="FO55" i="4"/>
  <c r="FS55" i="4" s="1"/>
  <c r="FW55" i="4" s="1"/>
  <c r="FS54" i="4"/>
  <c r="FW54" i="4" s="1"/>
  <c r="FK48" i="4"/>
  <c r="FO48" i="4" s="1"/>
  <c r="FS48" i="4" s="1"/>
  <c r="FO47" i="4"/>
  <c r="FS47" i="4" s="1"/>
  <c r="FO15" i="4"/>
  <c r="FS15" i="4" s="1"/>
  <c r="FS46" i="4"/>
  <c r="FK21" i="4"/>
  <c r="FO20" i="4"/>
  <c r="FS20" i="4" s="1"/>
  <c r="FW20" i="4" s="1"/>
  <c r="EL15" i="4"/>
  <c r="EP15" i="4" s="1"/>
  <c r="ET15" i="4" s="1"/>
  <c r="EP14" i="4"/>
  <c r="ET14" i="4" s="1"/>
  <c r="EP55" i="4"/>
  <c r="ET55" i="4" s="1"/>
  <c r="EX55" i="4" s="1"/>
  <c r="ET54" i="4"/>
  <c r="EX54" i="4" s="1"/>
  <c r="EL21" i="4"/>
  <c r="EP20" i="4"/>
  <c r="ET20" i="4" s="1"/>
  <c r="EX20" i="4" s="1"/>
  <c r="ET13" i="4"/>
  <c r="DM47" i="4"/>
  <c r="DQ46" i="4"/>
  <c r="DU46" i="4" s="1"/>
  <c r="DU45" i="4"/>
  <c r="DM14" i="4"/>
  <c r="DQ13" i="4"/>
  <c r="DM21" i="4"/>
  <c r="DQ20" i="4"/>
  <c r="DU20" i="4" s="1"/>
  <c r="DY20" i="4" s="1"/>
  <c r="CO26" i="4"/>
  <c r="CV13" i="4"/>
  <c r="CR14" i="4"/>
  <c r="CV14" i="4" s="1"/>
  <c r="CN15" i="4"/>
  <c r="CR15" i="4" s="1"/>
  <c r="CV15" i="4" s="1"/>
  <c r="CN21" i="4"/>
  <c r="CR20" i="4"/>
  <c r="CV20" i="4" s="1"/>
  <c r="CZ20" i="4" s="1"/>
  <c r="CV45" i="4"/>
  <c r="CN47" i="4"/>
  <c r="CR46" i="4"/>
  <c r="CV46" i="4" s="1"/>
  <c r="CZ46" i="4" s="1"/>
  <c r="BW45" i="4"/>
  <c r="BP47" i="4"/>
  <c r="BP53" i="4"/>
  <c r="BP20" i="4"/>
  <c r="BP14" i="4"/>
  <c r="BS15" i="4"/>
  <c r="BO22" i="4"/>
  <c r="BS22" i="4" s="1"/>
  <c r="BW22" i="4" s="1"/>
  <c r="CA22" i="4" s="1"/>
  <c r="BS21" i="4"/>
  <c r="BW21" i="4" s="1"/>
  <c r="CA21" i="4" s="1"/>
  <c r="BO47" i="4"/>
  <c r="BS46" i="4"/>
  <c r="BW46" i="4" s="1"/>
  <c r="BP60" i="4"/>
  <c r="BS60" i="4"/>
  <c r="BW60" i="4" s="1"/>
  <c r="CA60" i="4" s="1"/>
  <c r="BO61" i="4"/>
  <c r="AQ58" i="4"/>
  <c r="AP22" i="4"/>
  <c r="AT22" i="4" s="1"/>
  <c r="AX22" i="4" s="1"/>
  <c r="BB22" i="4" s="1"/>
  <c r="AT21" i="4"/>
  <c r="AX21" i="4" s="1"/>
  <c r="BB21" i="4" s="1"/>
  <c r="AQ25" i="4"/>
  <c r="AP47" i="4"/>
  <c r="AT46" i="4"/>
  <c r="AX46" i="4" s="1"/>
  <c r="BB46" i="4" s="1"/>
  <c r="AX45" i="4"/>
  <c r="AT60" i="4"/>
  <c r="AX60" i="4" s="1"/>
  <c r="BB60" i="4" s="1"/>
  <c r="AP61" i="4"/>
  <c r="AQ53" i="4"/>
  <c r="AQ47" i="4"/>
  <c r="AQ19" i="4"/>
  <c r="AQ13" i="4"/>
  <c r="AT55" i="4"/>
  <c r="AX55" i="4" s="1"/>
  <c r="BB55" i="4" s="1"/>
  <c r="AX54" i="4"/>
  <c r="BB54" i="4" s="1"/>
  <c r="AP15" i="4"/>
  <c r="AT15" i="4" s="1"/>
  <c r="AX15" i="4" s="1"/>
  <c r="AT14" i="4"/>
  <c r="E27" i="10"/>
  <c r="F33" i="10"/>
  <c r="D36" i="10"/>
  <c r="E37" i="3"/>
  <c r="H31" i="3"/>
  <c r="H64" i="3" s="1"/>
  <c r="H67" i="3" s="1"/>
  <c r="H75" i="3" s="1"/>
  <c r="F20" i="3"/>
  <c r="M7" i="10"/>
  <c r="H14" i="9"/>
  <c r="I14" i="9" s="1"/>
  <c r="D28" i="9"/>
  <c r="F28" i="9" s="1"/>
  <c r="H28" i="9" s="1"/>
  <c r="I28" i="9" s="1"/>
  <c r="U58" i="4"/>
  <c r="Y58" i="4" s="1"/>
  <c r="AC58" i="4" s="1"/>
  <c r="Q19" i="4"/>
  <c r="Q45" i="4"/>
  <c r="U11" i="4"/>
  <c r="Y11" i="4" s="1"/>
  <c r="AC11" i="4" s="1"/>
  <c r="U12" i="4"/>
  <c r="Y12" i="4" s="1"/>
  <c r="AC12" i="4" s="1"/>
  <c r="Q13" i="4"/>
  <c r="U13" i="4" s="1"/>
  <c r="Y13" i="4" s="1"/>
  <c r="AC13" i="4" s="1"/>
  <c r="Q60" i="4"/>
  <c r="U59" i="4"/>
  <c r="Y59" i="4" s="1"/>
  <c r="AC59" i="4" s="1"/>
  <c r="F11" i="3"/>
  <c r="F12" i="3" s="1"/>
  <c r="G12" i="3" s="1"/>
  <c r="R44" i="4"/>
  <c r="R45" i="4" s="1"/>
  <c r="R52" i="4" s="1"/>
  <c r="F34" i="3"/>
  <c r="C8" i="7"/>
  <c r="H9" i="4" s="1"/>
  <c r="R11" i="4"/>
  <c r="AB18" i="5"/>
  <c r="U54" i="4"/>
  <c r="Y53" i="4"/>
  <c r="AC53" i="4" s="1"/>
  <c r="AB59" i="4"/>
  <c r="AB62" i="4"/>
  <c r="AB58" i="4"/>
  <c r="K52" i="4"/>
  <c r="K60" i="4"/>
  <c r="Y43" i="4"/>
  <c r="Y24" i="4"/>
  <c r="AC24" i="4" s="1"/>
  <c r="K27" i="4"/>
  <c r="I38" i="5"/>
  <c r="J38" i="5"/>
  <c r="H38" i="5"/>
  <c r="F38" i="5"/>
  <c r="E38" i="5"/>
  <c r="G38" i="5"/>
  <c r="G51" i="6"/>
  <c r="G54" i="6" s="1"/>
  <c r="K22" i="6"/>
  <c r="T30" i="6"/>
  <c r="K88" i="6"/>
  <c r="T97" i="6"/>
  <c r="AF97" i="6"/>
  <c r="F21" i="5"/>
  <c r="J10" i="3"/>
  <c r="M16" i="6" l="1"/>
  <c r="L17" i="6"/>
  <c r="EM43" i="4"/>
  <c r="CO51" i="4"/>
  <c r="CO45" i="4"/>
  <c r="DN50" i="4"/>
  <c r="DN57" i="4" s="1"/>
  <c r="DN58" i="4" s="1"/>
  <c r="DN59" i="4" s="1"/>
  <c r="DN44" i="4"/>
  <c r="DN18" i="4"/>
  <c r="DN25" i="4" s="1"/>
  <c r="DN12" i="4"/>
  <c r="FL10" i="4"/>
  <c r="EM17" i="4"/>
  <c r="EM24" i="4" s="1"/>
  <c r="EM11" i="4"/>
  <c r="S30" i="6"/>
  <c r="O22" i="12"/>
  <c r="P20" i="12"/>
  <c r="U16" i="6"/>
  <c r="U17" i="6" s="1"/>
  <c r="U30" i="6" s="1"/>
  <c r="U38" i="6" s="1"/>
  <c r="U39" i="6" s="1"/>
  <c r="U42" i="6" s="1"/>
  <c r="U43" i="6" s="1"/>
  <c r="U46" i="6" s="1"/>
  <c r="U51" i="6" s="1"/>
  <c r="U54" i="6" s="1"/>
  <c r="V11" i="6"/>
  <c r="R55" i="6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7" i="6" s="1"/>
  <c r="R78" i="6" s="1"/>
  <c r="R85" i="6" s="1"/>
  <c r="R87" i="6" s="1"/>
  <c r="R90" i="6" s="1"/>
  <c r="S90" i="6" s="1"/>
  <c r="S54" i="6"/>
  <c r="U10" i="3"/>
  <c r="U13" i="5"/>
  <c r="X8" i="6"/>
  <c r="X11" i="6" s="1"/>
  <c r="R9" i="12"/>
  <c r="R17" i="12" s="1"/>
  <c r="R20" i="12" s="1"/>
  <c r="L22" i="12"/>
  <c r="M20" i="12"/>
  <c r="J37" i="12"/>
  <c r="I38" i="12"/>
  <c r="O61" i="6"/>
  <c r="P60" i="6"/>
  <c r="W30" i="12"/>
  <c r="T39" i="12"/>
  <c r="Q14" i="12"/>
  <c r="J23" i="12"/>
  <c r="W44" i="12"/>
  <c r="G55" i="6"/>
  <c r="D37" i="3"/>
  <c r="M50" i="4"/>
  <c r="M51" i="4" s="1"/>
  <c r="M52" i="4" s="1"/>
  <c r="M53" i="4" s="1"/>
  <c r="M54" i="4" s="1"/>
  <c r="M55" i="4" s="1"/>
  <c r="CO14" i="4"/>
  <c r="CO15" i="4" s="1"/>
  <c r="CL20" i="4"/>
  <c r="CL27" i="4" s="1"/>
  <c r="FK64" i="4"/>
  <c r="F16" i="6"/>
  <c r="I40" i="3"/>
  <c r="J40" i="3" s="1"/>
  <c r="I41" i="3"/>
  <c r="J41" i="3" s="1"/>
  <c r="I43" i="3"/>
  <c r="I44" i="3" s="1"/>
  <c r="I45" i="3" s="1"/>
  <c r="I42" i="3"/>
  <c r="J42" i="3" s="1"/>
  <c r="L20" i="3"/>
  <c r="L11" i="3"/>
  <c r="L34" i="3"/>
  <c r="L37" i="3" s="1"/>
  <c r="L38" i="3" s="1"/>
  <c r="L39" i="3" s="1"/>
  <c r="I21" i="3"/>
  <c r="I23" i="3" s="1"/>
  <c r="J14" i="3"/>
  <c r="R11" i="3"/>
  <c r="R34" i="3"/>
  <c r="R37" i="3" s="1"/>
  <c r="R38" i="3" s="1"/>
  <c r="R39" i="3" s="1"/>
  <c r="R20" i="3"/>
  <c r="O20" i="3"/>
  <c r="O34" i="3"/>
  <c r="O37" i="3" s="1"/>
  <c r="O38" i="3" s="1"/>
  <c r="O39" i="3" s="1"/>
  <c r="O11" i="3"/>
  <c r="H16" i="4"/>
  <c r="J17" i="4" s="1"/>
  <c r="L17" i="4" s="1"/>
  <c r="N17" i="4" s="1"/>
  <c r="P17" i="4" s="1"/>
  <c r="Z17" i="4" s="1"/>
  <c r="AA17" i="4" s="1"/>
  <c r="J9" i="4"/>
  <c r="N9" i="4" s="1"/>
  <c r="D6" i="9" s="1"/>
  <c r="FO64" i="4"/>
  <c r="Q61" i="4"/>
  <c r="U61" i="4" s="1"/>
  <c r="U60" i="4"/>
  <c r="Y60" i="4" s="1"/>
  <c r="AC60" i="4" s="1"/>
  <c r="CL15" i="4"/>
  <c r="CL22" i="4" s="1"/>
  <c r="CL29" i="4" s="1"/>
  <c r="CL21" i="4"/>
  <c r="CL28" i="4" s="1"/>
  <c r="EP62" i="4"/>
  <c r="EL64" i="4"/>
  <c r="AP31" i="4"/>
  <c r="IT46" i="4"/>
  <c r="IL47" i="4"/>
  <c r="IP47" i="4" s="1"/>
  <c r="IH48" i="4"/>
  <c r="IL48" i="4" s="1"/>
  <c r="IP48" i="4" s="1"/>
  <c r="IP14" i="4"/>
  <c r="IT15" i="4"/>
  <c r="IH22" i="4"/>
  <c r="IL21" i="4"/>
  <c r="IP21" i="4" s="1"/>
  <c r="IT45" i="4"/>
  <c r="HI22" i="4"/>
  <c r="HM22" i="4" s="1"/>
  <c r="HQ22" i="4" s="1"/>
  <c r="HM21" i="4"/>
  <c r="HQ21" i="4" s="1"/>
  <c r="HM47" i="4"/>
  <c r="HI48" i="4"/>
  <c r="HU13" i="4"/>
  <c r="HU45" i="4"/>
  <c r="HM14" i="4"/>
  <c r="HI15" i="4"/>
  <c r="HM15" i="4" s="1"/>
  <c r="HQ15" i="4" s="1"/>
  <c r="HM61" i="4"/>
  <c r="HQ61" i="4" s="1"/>
  <c r="HU61" i="4" s="1"/>
  <c r="HI62" i="4"/>
  <c r="HM62" i="4" s="1"/>
  <c r="HQ62" i="4" s="1"/>
  <c r="HU62" i="4" s="1"/>
  <c r="HU46" i="4"/>
  <c r="GJ48" i="4"/>
  <c r="GN48" i="4" s="1"/>
  <c r="GR48" i="4" s="1"/>
  <c r="GN47" i="4"/>
  <c r="GV45" i="4"/>
  <c r="GR20" i="4"/>
  <c r="GJ22" i="4"/>
  <c r="GN22" i="4" s="1"/>
  <c r="GR22" i="4" s="1"/>
  <c r="GN21" i="4"/>
  <c r="GR21" i="4" s="1"/>
  <c r="FW46" i="4"/>
  <c r="FS64" i="4"/>
  <c r="FW15" i="4"/>
  <c r="FW47" i="4"/>
  <c r="FW48" i="4"/>
  <c r="FW14" i="4"/>
  <c r="FK22" i="4"/>
  <c r="FO21" i="4"/>
  <c r="FS21" i="4" s="1"/>
  <c r="EX14" i="4"/>
  <c r="EX13" i="4"/>
  <c r="EX15" i="4"/>
  <c r="EL22" i="4"/>
  <c r="EP22" i="4" s="1"/>
  <c r="ET22" i="4" s="1"/>
  <c r="EP21" i="4"/>
  <c r="DM22" i="4"/>
  <c r="DQ22" i="4" s="1"/>
  <c r="DU22" i="4" s="1"/>
  <c r="DQ21" i="4"/>
  <c r="DU21" i="4" s="1"/>
  <c r="DQ14" i="4"/>
  <c r="DU14" i="4" s="1"/>
  <c r="DM15" i="4"/>
  <c r="DY46" i="4"/>
  <c r="DM48" i="4"/>
  <c r="DQ47" i="4"/>
  <c r="DU13" i="4"/>
  <c r="DY45" i="4"/>
  <c r="DN60" i="4"/>
  <c r="CZ45" i="4"/>
  <c r="CN22" i="4"/>
  <c r="CR22" i="4" s="1"/>
  <c r="CV22" i="4" s="1"/>
  <c r="CR21" i="4"/>
  <c r="CV21" i="4" s="1"/>
  <c r="CO27" i="4"/>
  <c r="CZ15" i="4"/>
  <c r="CO59" i="4"/>
  <c r="CZ14" i="4"/>
  <c r="CR47" i="4"/>
  <c r="CV47" i="4" s="1"/>
  <c r="CN48" i="4"/>
  <c r="CZ13" i="4"/>
  <c r="BS61" i="4"/>
  <c r="BW61" i="4" s="1"/>
  <c r="CA61" i="4" s="1"/>
  <c r="BO62" i="4"/>
  <c r="BS62" i="4" s="1"/>
  <c r="BW62" i="4" s="1"/>
  <c r="CA62" i="4" s="1"/>
  <c r="BP27" i="4"/>
  <c r="BP61" i="4"/>
  <c r="BP48" i="4"/>
  <c r="BP54" i="4"/>
  <c r="CA45" i="4"/>
  <c r="CA46" i="4"/>
  <c r="BW15" i="4"/>
  <c r="BS31" i="4"/>
  <c r="BS47" i="4"/>
  <c r="BW47" i="4" s="1"/>
  <c r="BO48" i="4"/>
  <c r="BO31" i="4"/>
  <c r="BP15" i="4"/>
  <c r="BP21" i="4"/>
  <c r="AT47" i="4"/>
  <c r="AX47" i="4" s="1"/>
  <c r="AP48" i="4"/>
  <c r="AT48" i="4" s="1"/>
  <c r="AX48" i="4" s="1"/>
  <c r="AQ59" i="4"/>
  <c r="AX14" i="4"/>
  <c r="AT31" i="4"/>
  <c r="BB45" i="4"/>
  <c r="BB15" i="4"/>
  <c r="AQ20" i="4"/>
  <c r="AQ14" i="4"/>
  <c r="AQ54" i="4"/>
  <c r="AQ48" i="4"/>
  <c r="AQ26" i="4"/>
  <c r="AT61" i="4"/>
  <c r="AX61" i="4" s="1"/>
  <c r="BB61" i="4" s="1"/>
  <c r="AP62" i="4"/>
  <c r="AT62" i="4" s="1"/>
  <c r="AX62" i="4" s="1"/>
  <c r="BB62" i="4" s="1"/>
  <c r="D38" i="10"/>
  <c r="G33" i="10"/>
  <c r="E30" i="10"/>
  <c r="J37" i="3"/>
  <c r="F37" i="3"/>
  <c r="G37" i="3" s="1"/>
  <c r="J20" i="3"/>
  <c r="F21" i="3"/>
  <c r="F23" i="3" s="1"/>
  <c r="F24" i="3" s="1"/>
  <c r="F26" i="3" s="1"/>
  <c r="Q46" i="4"/>
  <c r="U45" i="4"/>
  <c r="Y45" i="4" s="1"/>
  <c r="AC45" i="4" s="1"/>
  <c r="Q20" i="4"/>
  <c r="U19" i="4"/>
  <c r="Y19" i="4" s="1"/>
  <c r="AC19" i="4" s="1"/>
  <c r="Q14" i="4"/>
  <c r="U14" i="4" s="1"/>
  <c r="K21" i="5"/>
  <c r="L13" i="5"/>
  <c r="AB17" i="5"/>
  <c r="E13" i="5"/>
  <c r="AD17" i="5" s="1"/>
  <c r="R46" i="4"/>
  <c r="R47" i="4" s="1"/>
  <c r="M8" i="7"/>
  <c r="C21" i="5"/>
  <c r="H8" i="5" s="1"/>
  <c r="H21" i="5" s="1"/>
  <c r="V13" i="5"/>
  <c r="C10" i="7"/>
  <c r="D7" i="7" s="1"/>
  <c r="R51" i="4"/>
  <c r="K14" i="5"/>
  <c r="L14" i="5" s="1"/>
  <c r="E14" i="5"/>
  <c r="J10" i="4"/>
  <c r="J15" i="4"/>
  <c r="J14" i="4"/>
  <c r="J13" i="4"/>
  <c r="J12" i="4"/>
  <c r="J11" i="4"/>
  <c r="R12" i="4"/>
  <c r="R18" i="4"/>
  <c r="R25" i="4" s="1"/>
  <c r="C17" i="7"/>
  <c r="M17" i="7" s="1"/>
  <c r="C22" i="5"/>
  <c r="H9" i="5" s="1"/>
  <c r="H22" i="5" s="1"/>
  <c r="M9" i="5" s="1"/>
  <c r="M22" i="5" s="1"/>
  <c r="R9" i="5" s="1"/>
  <c r="R22" i="5" s="1"/>
  <c r="W9" i="5" s="1"/>
  <c r="W22" i="5" s="1"/>
  <c r="AB9" i="5" s="1"/>
  <c r="AB22" i="5" s="1"/>
  <c r="AG9" i="5" s="1"/>
  <c r="AG22" i="5" s="1"/>
  <c r="AL9" i="5" s="1"/>
  <c r="AL22" i="5" s="1"/>
  <c r="AQ9" i="5" s="1"/>
  <c r="AQ22" i="5" s="1"/>
  <c r="AV9" i="5" s="1"/>
  <c r="AV22" i="5" s="1"/>
  <c r="U55" i="4"/>
  <c r="Y55" i="4" s="1"/>
  <c r="AC55" i="4" s="1"/>
  <c r="Y54" i="4"/>
  <c r="AC54" i="4" s="1"/>
  <c r="K53" i="4"/>
  <c r="AC43" i="4"/>
  <c r="K61" i="4"/>
  <c r="K28" i="4"/>
  <c r="H97" i="6"/>
  <c r="G39" i="6"/>
  <c r="K91" i="6"/>
  <c r="W30" i="6"/>
  <c r="M17" i="6" l="1"/>
  <c r="L30" i="6"/>
  <c r="DN45" i="4"/>
  <c r="DN51" i="4"/>
  <c r="FL43" i="4"/>
  <c r="CO46" i="4"/>
  <c r="CO52" i="4"/>
  <c r="EM44" i="4"/>
  <c r="EM50" i="4"/>
  <c r="EM57" i="4" s="1"/>
  <c r="EM58" i="4" s="1"/>
  <c r="EM59" i="4" s="1"/>
  <c r="EM60" i="4" s="1"/>
  <c r="FL17" i="4"/>
  <c r="FL24" i="4" s="1"/>
  <c r="FL11" i="4"/>
  <c r="EM18" i="4"/>
  <c r="EM25" i="4" s="1"/>
  <c r="EM12" i="4"/>
  <c r="DN19" i="4"/>
  <c r="DN26" i="4" s="1"/>
  <c r="DN13" i="4"/>
  <c r="GK10" i="4"/>
  <c r="Z13" i="5"/>
  <c r="U9" i="12"/>
  <c r="U17" i="12" s="1"/>
  <c r="U20" i="12" s="1"/>
  <c r="X10" i="3"/>
  <c r="AA8" i="6"/>
  <c r="AA11" i="6" s="1"/>
  <c r="R22" i="12"/>
  <c r="S20" i="12"/>
  <c r="U55" i="6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7" i="6" s="1"/>
  <c r="U78" i="6" s="1"/>
  <c r="U85" i="6" s="1"/>
  <c r="U87" i="6" s="1"/>
  <c r="U90" i="6" s="1"/>
  <c r="V90" i="6" s="1"/>
  <c r="V54" i="6"/>
  <c r="L23" i="12"/>
  <c r="M22" i="12"/>
  <c r="X16" i="6"/>
  <c r="X17" i="6" s="1"/>
  <c r="X30" i="6" s="1"/>
  <c r="X38" i="6" s="1"/>
  <c r="X39" i="6" s="1"/>
  <c r="X42" i="6" s="1"/>
  <c r="X43" i="6" s="1"/>
  <c r="X46" i="6" s="1"/>
  <c r="X51" i="6" s="1"/>
  <c r="X54" i="6" s="1"/>
  <c r="Y11" i="6"/>
  <c r="O23" i="12"/>
  <c r="P22" i="12"/>
  <c r="V30" i="6"/>
  <c r="O62" i="6"/>
  <c r="O63" i="6" s="1"/>
  <c r="P61" i="6"/>
  <c r="I39" i="12"/>
  <c r="N8" i="6"/>
  <c r="P8" i="6" s="1"/>
  <c r="G9" i="12"/>
  <c r="G12" i="12" s="1"/>
  <c r="G26" i="12" s="1"/>
  <c r="T14" i="12"/>
  <c r="E22" i="12"/>
  <c r="Z30" i="12"/>
  <c r="W39" i="12"/>
  <c r="Z44" i="12"/>
  <c r="D30" i="12"/>
  <c r="Z30" i="6"/>
  <c r="G56" i="6"/>
  <c r="D38" i="3"/>
  <c r="CO21" i="4"/>
  <c r="CO28" i="4" s="1"/>
  <c r="J16" i="4"/>
  <c r="N16" i="4" s="1"/>
  <c r="D7" i="9" s="1"/>
  <c r="F7" i="9" s="1"/>
  <c r="H7" i="9" s="1"/>
  <c r="I7" i="9" s="1"/>
  <c r="J20" i="4"/>
  <c r="L20" i="4" s="1"/>
  <c r="N20" i="4" s="1"/>
  <c r="P20" i="4" s="1"/>
  <c r="V20" i="4" s="1"/>
  <c r="H23" i="4"/>
  <c r="J28" i="4" s="1"/>
  <c r="L28" i="4" s="1"/>
  <c r="N28" i="4" s="1"/>
  <c r="P28" i="4" s="1"/>
  <c r="Q62" i="4"/>
  <c r="U62" i="4" s="1"/>
  <c r="Y62" i="4" s="1"/>
  <c r="AC62" i="4" s="1"/>
  <c r="J18" i="4"/>
  <c r="L18" i="4" s="1"/>
  <c r="N18" i="4" s="1"/>
  <c r="P18" i="4" s="1"/>
  <c r="Z18" i="4" s="1"/>
  <c r="AA18" i="4" s="1"/>
  <c r="J19" i="4"/>
  <c r="L19" i="4" s="1"/>
  <c r="N19" i="4" s="1"/>
  <c r="P19" i="4" s="1"/>
  <c r="AD19" i="4" s="1"/>
  <c r="J21" i="4"/>
  <c r="L21" i="4" s="1"/>
  <c r="N21" i="4" s="1"/>
  <c r="P21" i="4" s="1"/>
  <c r="V21" i="4" s="1"/>
  <c r="J22" i="4"/>
  <c r="L22" i="4" s="1"/>
  <c r="N22" i="4" s="1"/>
  <c r="P22" i="4" s="1"/>
  <c r="V22" i="4" s="1"/>
  <c r="U21" i="5"/>
  <c r="IP64" i="4"/>
  <c r="J21" i="3"/>
  <c r="F17" i="6"/>
  <c r="F30" i="6" s="1"/>
  <c r="F38" i="6" s="1"/>
  <c r="L42" i="3"/>
  <c r="L41" i="3"/>
  <c r="L43" i="3"/>
  <c r="L44" i="3" s="1"/>
  <c r="L45" i="3" s="1"/>
  <c r="L40" i="3"/>
  <c r="L21" i="3"/>
  <c r="L23" i="3" s="1"/>
  <c r="I46" i="3"/>
  <c r="J46" i="3" s="1"/>
  <c r="I47" i="3"/>
  <c r="I48" i="3" s="1"/>
  <c r="I49" i="3" s="1"/>
  <c r="I27" i="3"/>
  <c r="J27" i="3" s="1"/>
  <c r="I24" i="3"/>
  <c r="I26" i="3" s="1"/>
  <c r="U20" i="3"/>
  <c r="U34" i="3"/>
  <c r="U37" i="3" s="1"/>
  <c r="U38" i="3" s="1"/>
  <c r="U39" i="3" s="1"/>
  <c r="U11" i="3"/>
  <c r="R21" i="3"/>
  <c r="R23" i="3" s="1"/>
  <c r="R43" i="3"/>
  <c r="R44" i="3" s="1"/>
  <c r="R45" i="3" s="1"/>
  <c r="R42" i="3"/>
  <c r="R41" i="3"/>
  <c r="R40" i="3"/>
  <c r="O42" i="3"/>
  <c r="O41" i="3"/>
  <c r="O43" i="3"/>
  <c r="O44" i="3" s="1"/>
  <c r="O45" i="3" s="1"/>
  <c r="O40" i="3"/>
  <c r="O21" i="3"/>
  <c r="O23" i="3" s="1"/>
  <c r="D10" i="7"/>
  <c r="E7" i="7" s="1"/>
  <c r="AG9" i="4"/>
  <c r="F27" i="3"/>
  <c r="HI31" i="4"/>
  <c r="CV31" i="4"/>
  <c r="GJ64" i="4"/>
  <c r="IL64" i="4"/>
  <c r="ET62" i="4"/>
  <c r="EP64" i="4"/>
  <c r="F6" i="9"/>
  <c r="H6" i="9" s="1"/>
  <c r="I6" i="9" s="1"/>
  <c r="D40" i="9"/>
  <c r="D27" i="9"/>
  <c r="F27" i="9" s="1"/>
  <c r="H27" i="9" s="1"/>
  <c r="I27" i="9" s="1"/>
  <c r="I36" i="9" s="1"/>
  <c r="N51" i="6" s="1"/>
  <c r="P51" i="6" s="1"/>
  <c r="AT64" i="4"/>
  <c r="IH64" i="4"/>
  <c r="IT21" i="4"/>
  <c r="IL22" i="4"/>
  <c r="IP22" i="4" s="1"/>
  <c r="IH31" i="4"/>
  <c r="IT48" i="4"/>
  <c r="IT47" i="4"/>
  <c r="IT14" i="4"/>
  <c r="IP31" i="4"/>
  <c r="HQ14" i="4"/>
  <c r="HM31" i="4"/>
  <c r="HQ47" i="4"/>
  <c r="HU21" i="4"/>
  <c r="HU22" i="4"/>
  <c r="HU15" i="4"/>
  <c r="HM48" i="4"/>
  <c r="HQ48" i="4" s="1"/>
  <c r="HI64" i="4"/>
  <c r="GR47" i="4"/>
  <c r="GN64" i="4"/>
  <c r="GV48" i="4"/>
  <c r="GN31" i="4"/>
  <c r="GV20" i="4"/>
  <c r="GR31" i="4"/>
  <c r="GJ31" i="4"/>
  <c r="GV22" i="4"/>
  <c r="GV21" i="4"/>
  <c r="FW21" i="4"/>
  <c r="FO22" i="4"/>
  <c r="FS22" i="4" s="1"/>
  <c r="FK31" i="4"/>
  <c r="ET21" i="4"/>
  <c r="EP31" i="4"/>
  <c r="EX22" i="4"/>
  <c r="EL31" i="4"/>
  <c r="DQ15" i="4"/>
  <c r="DU15" i="4" s="1"/>
  <c r="DU31" i="4" s="1"/>
  <c r="DM31" i="4"/>
  <c r="DU47" i="4"/>
  <c r="DY14" i="4"/>
  <c r="DQ48" i="4"/>
  <c r="DU48" i="4" s="1"/>
  <c r="DM64" i="4"/>
  <c r="DY13" i="4"/>
  <c r="DN61" i="4"/>
  <c r="DY21" i="4"/>
  <c r="DY22" i="4"/>
  <c r="CN31" i="4"/>
  <c r="CZ22" i="4"/>
  <c r="CR31" i="4"/>
  <c r="CO60" i="4"/>
  <c r="CZ21" i="4"/>
  <c r="CZ47" i="4"/>
  <c r="CO22" i="4"/>
  <c r="CR48" i="4"/>
  <c r="CR64" i="4" s="1"/>
  <c r="CN64" i="4"/>
  <c r="BP22" i="4"/>
  <c r="BP62" i="4"/>
  <c r="BS48" i="4"/>
  <c r="BO64" i="4"/>
  <c r="CA15" i="4"/>
  <c r="BW31" i="4"/>
  <c r="BP55" i="4"/>
  <c r="CA47" i="4"/>
  <c r="BP28" i="4"/>
  <c r="AQ27" i="4"/>
  <c r="BB47" i="4"/>
  <c r="AQ55" i="4"/>
  <c r="BB14" i="4"/>
  <c r="AX31" i="4"/>
  <c r="AQ60" i="4"/>
  <c r="AX64" i="4"/>
  <c r="AQ21" i="4"/>
  <c r="AQ15" i="4"/>
  <c r="AP64" i="4"/>
  <c r="BB48" i="4"/>
  <c r="F27" i="10"/>
  <c r="E36" i="10"/>
  <c r="H33" i="10"/>
  <c r="E35" i="10"/>
  <c r="D42" i="10"/>
  <c r="M37" i="3"/>
  <c r="F38" i="3"/>
  <c r="F39" i="3" s="1"/>
  <c r="Z14" i="5"/>
  <c r="U14" i="5"/>
  <c r="U22" i="5" s="1"/>
  <c r="R53" i="4"/>
  <c r="Q21" i="4"/>
  <c r="U20" i="4"/>
  <c r="Y20" i="4" s="1"/>
  <c r="AC20" i="4" s="1"/>
  <c r="Q15" i="4"/>
  <c r="U15" i="4" s="1"/>
  <c r="Y15" i="4" s="1"/>
  <c r="AC15" i="4" s="1"/>
  <c r="Q47" i="4"/>
  <c r="U46" i="4"/>
  <c r="Y46" i="4" s="1"/>
  <c r="AC46" i="4" s="1"/>
  <c r="Y14" i="4"/>
  <c r="AD17" i="4"/>
  <c r="AE17" i="4" s="1"/>
  <c r="C38" i="5"/>
  <c r="M38" i="5" s="1"/>
  <c r="G13" i="5"/>
  <c r="S17" i="4"/>
  <c r="E21" i="5"/>
  <c r="J8" i="5" s="1"/>
  <c r="J21" i="5" s="1"/>
  <c r="K22" i="5"/>
  <c r="AF90" i="6"/>
  <c r="V17" i="4"/>
  <c r="W17" i="4" s="1"/>
  <c r="R13" i="4"/>
  <c r="R19" i="4"/>
  <c r="R26" i="4" s="1"/>
  <c r="R48" i="4"/>
  <c r="R54" i="4"/>
  <c r="C19" i="7"/>
  <c r="D16" i="7" s="1"/>
  <c r="H42" i="4"/>
  <c r="E22" i="5"/>
  <c r="J9" i="5" s="1"/>
  <c r="J22" i="5" s="1"/>
  <c r="O9" i="5" s="1"/>
  <c r="O22" i="5" s="1"/>
  <c r="T9" i="5" s="1"/>
  <c r="T22" i="5" s="1"/>
  <c r="Y9" i="5" s="1"/>
  <c r="Y22" i="5" s="1"/>
  <c r="AD9" i="5" s="1"/>
  <c r="AD18" i="5"/>
  <c r="H39" i="5" s="1"/>
  <c r="M39" i="5" s="1"/>
  <c r="J27" i="4"/>
  <c r="L27" i="4" s="1"/>
  <c r="N27" i="4" s="1"/>
  <c r="P27" i="4" s="1"/>
  <c r="V27" i="4" s="1"/>
  <c r="G14" i="5"/>
  <c r="Y61" i="4"/>
  <c r="K62" i="4"/>
  <c r="K54" i="4"/>
  <c r="Z19" i="4"/>
  <c r="L10" i="4"/>
  <c r="L13" i="4"/>
  <c r="N13" i="4" s="1"/>
  <c r="P13" i="4" s="1"/>
  <c r="L12" i="4"/>
  <c r="N12" i="4" s="1"/>
  <c r="P12" i="4" s="1"/>
  <c r="L11" i="4"/>
  <c r="N11" i="4" s="1"/>
  <c r="P11" i="4" s="1"/>
  <c r="K29" i="4"/>
  <c r="D29" i="5"/>
  <c r="D6" i="10" s="1"/>
  <c r="M8" i="5"/>
  <c r="M21" i="5" s="1"/>
  <c r="R8" i="5" s="1"/>
  <c r="R21" i="5" s="1"/>
  <c r="W8" i="5" s="1"/>
  <c r="W21" i="5" s="1"/>
  <c r="AB8" i="5" s="1"/>
  <c r="AB21" i="5" s="1"/>
  <c r="AG8" i="5" s="1"/>
  <c r="AG21" i="5" s="1"/>
  <c r="AL8" i="5" s="1"/>
  <c r="AL21" i="5" s="1"/>
  <c r="AQ8" i="5" s="1"/>
  <c r="AQ21" i="5" s="1"/>
  <c r="AV8" i="5" s="1"/>
  <c r="AV21" i="5" s="1"/>
  <c r="P21" i="5"/>
  <c r="P14" i="5"/>
  <c r="L38" i="6" l="1"/>
  <c r="M30" i="6"/>
  <c r="EM51" i="4"/>
  <c r="EM45" i="4"/>
  <c r="GK43" i="4"/>
  <c r="FL44" i="4"/>
  <c r="FL50" i="4"/>
  <c r="FL57" i="4" s="1"/>
  <c r="FL58" i="4" s="1"/>
  <c r="FL59" i="4" s="1"/>
  <c r="FL60" i="4" s="1"/>
  <c r="FL61" i="4" s="1"/>
  <c r="CO47" i="4"/>
  <c r="CO53" i="4"/>
  <c r="DN52" i="4"/>
  <c r="DN46" i="4"/>
  <c r="HJ10" i="4"/>
  <c r="II10" i="4"/>
  <c r="GK17" i="4"/>
  <c r="GK24" i="4" s="1"/>
  <c r="GK11" i="4"/>
  <c r="DN20" i="4"/>
  <c r="DN27" i="4" s="1"/>
  <c r="DN14" i="4"/>
  <c r="FL18" i="4"/>
  <c r="FL25" i="4" s="1"/>
  <c r="FL12" i="4"/>
  <c r="EM13" i="4"/>
  <c r="EM19" i="4"/>
  <c r="EM26" i="4" s="1"/>
  <c r="Y30" i="6"/>
  <c r="R23" i="12"/>
  <c r="S22" i="12"/>
  <c r="AA16" i="6"/>
  <c r="AA17" i="6" s="1"/>
  <c r="AA30" i="6" s="1"/>
  <c r="AA38" i="6" s="1"/>
  <c r="AA39" i="6" s="1"/>
  <c r="AA42" i="6" s="1"/>
  <c r="AA43" i="6" s="1"/>
  <c r="AA46" i="6" s="1"/>
  <c r="AA51" i="6" s="1"/>
  <c r="AA54" i="6" s="1"/>
  <c r="AB11" i="6"/>
  <c r="X55" i="6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7" i="6" s="1"/>
  <c r="X78" i="6" s="1"/>
  <c r="X85" i="6" s="1"/>
  <c r="X87" i="6" s="1"/>
  <c r="X90" i="6" s="1"/>
  <c r="Y90" i="6" s="1"/>
  <c r="Y54" i="6"/>
  <c r="U22" i="12"/>
  <c r="V20" i="12"/>
  <c r="L30" i="12"/>
  <c r="M23" i="12"/>
  <c r="O30" i="12"/>
  <c r="P23" i="12"/>
  <c r="AA10" i="3"/>
  <c r="AE13" i="5"/>
  <c r="AE14" i="5" s="1"/>
  <c r="X9" i="12"/>
  <c r="X17" i="12" s="1"/>
  <c r="X20" i="12" s="1"/>
  <c r="AD8" i="6"/>
  <c r="AD11" i="6" s="1"/>
  <c r="J39" i="12"/>
  <c r="I41" i="12"/>
  <c r="I44" i="12" s="1"/>
  <c r="O64" i="6"/>
  <c r="P63" i="6"/>
  <c r="G42" i="12"/>
  <c r="G49" i="12"/>
  <c r="G3" i="12" s="1"/>
  <c r="Z39" i="12"/>
  <c r="AC44" i="12"/>
  <c r="AC30" i="12"/>
  <c r="W37" i="12"/>
  <c r="D31" i="12"/>
  <c r="W14" i="12"/>
  <c r="G57" i="6"/>
  <c r="D39" i="3"/>
  <c r="S18" i="4"/>
  <c r="J26" i="4"/>
  <c r="L26" i="4" s="1"/>
  <c r="N26" i="4" s="1"/>
  <c r="P26" i="4" s="1"/>
  <c r="V26" i="4" s="1"/>
  <c r="W26" i="4" s="1"/>
  <c r="J29" i="4"/>
  <c r="L29" i="4" s="1"/>
  <c r="N29" i="4" s="1"/>
  <c r="P29" i="4" s="1"/>
  <c r="V29" i="4" s="1"/>
  <c r="H31" i="4"/>
  <c r="J24" i="4"/>
  <c r="L24" i="4" s="1"/>
  <c r="N24" i="4" s="1"/>
  <c r="P24" i="4" s="1"/>
  <c r="J23" i="4"/>
  <c r="N23" i="4" s="1"/>
  <c r="D8" i="9" s="1"/>
  <c r="F8" i="9" s="1"/>
  <c r="H8" i="9" s="1"/>
  <c r="I8" i="9" s="1"/>
  <c r="I9" i="9" s="1"/>
  <c r="J25" i="4"/>
  <c r="L25" i="4" s="1"/>
  <c r="N25" i="4" s="1"/>
  <c r="P25" i="4" s="1"/>
  <c r="S25" i="4" s="1"/>
  <c r="V19" i="4"/>
  <c r="W19" i="4" s="1"/>
  <c r="V18" i="4"/>
  <c r="W18" i="4" s="1"/>
  <c r="AD18" i="4"/>
  <c r="AE18" i="4" s="1"/>
  <c r="AD20" i="4"/>
  <c r="Z21" i="5"/>
  <c r="I50" i="3"/>
  <c r="I51" i="3" s="1"/>
  <c r="I66" i="3"/>
  <c r="I73" i="3" s="1"/>
  <c r="L27" i="3"/>
  <c r="L24" i="3"/>
  <c r="L26" i="3" s="1"/>
  <c r="L46" i="3"/>
  <c r="L47" i="3"/>
  <c r="L48" i="3" s="1"/>
  <c r="L49" i="3" s="1"/>
  <c r="R27" i="3"/>
  <c r="R24" i="3"/>
  <c r="R26" i="3" s="1"/>
  <c r="U21" i="3"/>
  <c r="U23" i="3" s="1"/>
  <c r="U41" i="3"/>
  <c r="U40" i="3"/>
  <c r="U43" i="3"/>
  <c r="U44" i="3" s="1"/>
  <c r="U45" i="3" s="1"/>
  <c r="U42" i="3"/>
  <c r="X11" i="3"/>
  <c r="X34" i="3"/>
  <c r="X37" i="3" s="1"/>
  <c r="X38" i="3" s="1"/>
  <c r="X39" i="3" s="1"/>
  <c r="X20" i="3"/>
  <c r="R47" i="3"/>
  <c r="R48" i="3" s="1"/>
  <c r="R49" i="3" s="1"/>
  <c r="R46" i="3"/>
  <c r="Q51" i="6"/>
  <c r="S51" i="6" s="1"/>
  <c r="K34" i="3"/>
  <c r="M34" i="3" s="1"/>
  <c r="O27" i="3"/>
  <c r="O24" i="3"/>
  <c r="O26" i="3" s="1"/>
  <c r="O46" i="3"/>
  <c r="O47" i="3"/>
  <c r="O48" i="3" s="1"/>
  <c r="O49" i="3" s="1"/>
  <c r="J23" i="3"/>
  <c r="AA13" i="5"/>
  <c r="D19" i="7"/>
  <c r="E16" i="7" s="1"/>
  <c r="AG42" i="4"/>
  <c r="F41" i="3"/>
  <c r="F40" i="3"/>
  <c r="V14" i="5"/>
  <c r="F29" i="5" s="1"/>
  <c r="F6" i="10" s="1"/>
  <c r="AI9" i="4"/>
  <c r="AM9" i="4" s="1"/>
  <c r="AI13" i="4"/>
  <c r="AK13" i="4" s="1"/>
  <c r="AM13" i="4" s="1"/>
  <c r="AO13" i="4" s="1"/>
  <c r="AG16" i="4"/>
  <c r="AI12" i="4"/>
  <c r="AK12" i="4" s="1"/>
  <c r="AM12" i="4" s="1"/>
  <c r="AO12" i="4" s="1"/>
  <c r="AI15" i="4"/>
  <c r="AK15" i="4" s="1"/>
  <c r="AM15" i="4" s="1"/>
  <c r="AO15" i="4" s="1"/>
  <c r="AR15" i="4" s="1"/>
  <c r="AI11" i="4"/>
  <c r="AK11" i="4" s="1"/>
  <c r="AM11" i="4" s="1"/>
  <c r="AO11" i="4" s="1"/>
  <c r="AI14" i="4"/>
  <c r="AK14" i="4" s="1"/>
  <c r="AM14" i="4" s="1"/>
  <c r="AO14" i="4" s="1"/>
  <c r="AI10" i="4"/>
  <c r="E10" i="7"/>
  <c r="F7" i="7" s="1"/>
  <c r="BF9" i="4"/>
  <c r="H40" i="9"/>
  <c r="I40" i="9" s="1"/>
  <c r="D46" i="9"/>
  <c r="FO31" i="4"/>
  <c r="EX62" i="4"/>
  <c r="ET64" i="4"/>
  <c r="DQ31" i="4"/>
  <c r="IT22" i="4"/>
  <c r="IL31" i="4"/>
  <c r="HU48" i="4"/>
  <c r="HM64" i="4"/>
  <c r="HU47" i="4"/>
  <c r="HQ64" i="4"/>
  <c r="HU14" i="4"/>
  <c r="HQ31" i="4"/>
  <c r="GV47" i="4"/>
  <c r="GR64" i="4"/>
  <c r="FW22" i="4"/>
  <c r="FS31" i="4"/>
  <c r="EM61" i="4"/>
  <c r="EX21" i="4"/>
  <c r="ET31" i="4"/>
  <c r="DY48" i="4"/>
  <c r="DQ64" i="4"/>
  <c r="DN62" i="4"/>
  <c r="DY47" i="4"/>
  <c r="DU64" i="4"/>
  <c r="DY15" i="4"/>
  <c r="CO61" i="4"/>
  <c r="CO29" i="4"/>
  <c r="CV48" i="4"/>
  <c r="BP29" i="4"/>
  <c r="BW48" i="4"/>
  <c r="BS64" i="4"/>
  <c r="AQ22" i="4"/>
  <c r="AQ61" i="4"/>
  <c r="AQ28" i="4"/>
  <c r="E38" i="10"/>
  <c r="E41" i="10"/>
  <c r="I33" i="10"/>
  <c r="F30" i="10"/>
  <c r="F43" i="3"/>
  <c r="F44" i="3" s="1"/>
  <c r="F45" i="3" s="1"/>
  <c r="F46" i="3" s="1"/>
  <c r="F42" i="3"/>
  <c r="P37" i="3"/>
  <c r="G21" i="5"/>
  <c r="L8" i="5" s="1"/>
  <c r="L21" i="5" s="1"/>
  <c r="Q8" i="5" s="1"/>
  <c r="Q21" i="5" s="1"/>
  <c r="C29" i="5"/>
  <c r="C6" i="10" s="1"/>
  <c r="Z20" i="4"/>
  <c r="U47" i="4"/>
  <c r="Y47" i="4" s="1"/>
  <c r="AC47" i="4" s="1"/>
  <c r="Q48" i="4"/>
  <c r="U48" i="4" s="1"/>
  <c r="Y48" i="4" s="1"/>
  <c r="AC48" i="4" s="1"/>
  <c r="C40" i="5"/>
  <c r="D37" i="5" s="1"/>
  <c r="Q22" i="4"/>
  <c r="U21" i="4"/>
  <c r="Y21" i="4" s="1"/>
  <c r="AC14" i="4"/>
  <c r="Z27" i="4"/>
  <c r="AA19" i="4"/>
  <c r="AE19" i="4"/>
  <c r="AC90" i="6"/>
  <c r="G22" i="5"/>
  <c r="L9" i="5" s="1"/>
  <c r="L22" i="5" s="1"/>
  <c r="Q9" i="5" s="1"/>
  <c r="S19" i="4"/>
  <c r="AD22" i="5"/>
  <c r="AI9" i="5" s="1"/>
  <c r="AI22" i="5" s="1"/>
  <c r="AN9" i="5" s="1"/>
  <c r="AN22" i="5" s="1"/>
  <c r="AS9" i="5" s="1"/>
  <c r="AS22" i="5" s="1"/>
  <c r="AX9" i="5" s="1"/>
  <c r="AX22" i="5" s="1"/>
  <c r="R55" i="4"/>
  <c r="AD27" i="4"/>
  <c r="J42" i="4"/>
  <c r="J45" i="4"/>
  <c r="L45" i="4" s="1"/>
  <c r="N45" i="4" s="1"/>
  <c r="P45" i="4" s="1"/>
  <c r="J43" i="4"/>
  <c r="J48" i="4"/>
  <c r="L48" i="4" s="1"/>
  <c r="N48" i="4" s="1"/>
  <c r="P48" i="4" s="1"/>
  <c r="J44" i="4"/>
  <c r="L44" i="4" s="1"/>
  <c r="N44" i="4" s="1"/>
  <c r="P44" i="4" s="1"/>
  <c r="J47" i="4"/>
  <c r="L47" i="4" s="1"/>
  <c r="N47" i="4" s="1"/>
  <c r="P47" i="4" s="1"/>
  <c r="J46" i="4"/>
  <c r="L46" i="4" s="1"/>
  <c r="N46" i="4" s="1"/>
  <c r="P46" i="4" s="1"/>
  <c r="H49" i="4"/>
  <c r="R14" i="4"/>
  <c r="R20" i="4"/>
  <c r="AD24" i="4"/>
  <c r="AE24" i="4" s="1"/>
  <c r="S24" i="4"/>
  <c r="V24" i="4"/>
  <c r="W24" i="4" s="1"/>
  <c r="Z24" i="4"/>
  <c r="AA24" i="4" s="1"/>
  <c r="AC61" i="4"/>
  <c r="K55" i="4"/>
  <c r="N10" i="4"/>
  <c r="P10" i="4" s="1"/>
  <c r="V28" i="4"/>
  <c r="AD28" i="4"/>
  <c r="Z28" i="4"/>
  <c r="L14" i="4"/>
  <c r="N14" i="4" s="1"/>
  <c r="P14" i="4" s="1"/>
  <c r="S12" i="4"/>
  <c r="Z12" i="4"/>
  <c r="AA12" i="4" s="1"/>
  <c r="V12" i="4"/>
  <c r="W12" i="4" s="1"/>
  <c r="AD12" i="4"/>
  <c r="AE12" i="4" s="1"/>
  <c r="S11" i="4"/>
  <c r="V11" i="4"/>
  <c r="W11" i="4" s="1"/>
  <c r="AD11" i="4"/>
  <c r="AE11" i="4" s="1"/>
  <c r="Z11" i="4"/>
  <c r="AA11" i="4" s="1"/>
  <c r="L15" i="4"/>
  <c r="N15" i="4" s="1"/>
  <c r="P15" i="4" s="1"/>
  <c r="S13" i="4"/>
  <c r="AD13" i="4"/>
  <c r="AE13" i="4" s="1"/>
  <c r="V13" i="4"/>
  <c r="W13" i="4" s="1"/>
  <c r="Z13" i="4"/>
  <c r="AA13" i="4" s="1"/>
  <c r="O8" i="5"/>
  <c r="O21" i="5" s="1"/>
  <c r="D40" i="5"/>
  <c r="E37" i="5" s="1"/>
  <c r="G42" i="6"/>
  <c r="AC30" i="6"/>
  <c r="AA14" i="5"/>
  <c r="Z22" i="5"/>
  <c r="P22" i="5"/>
  <c r="Q14" i="5"/>
  <c r="E29" i="5" s="1"/>
  <c r="E6" i="10" s="1"/>
  <c r="L39" i="6" l="1"/>
  <c r="M38" i="6"/>
  <c r="GK50" i="4"/>
  <c r="GK57" i="4" s="1"/>
  <c r="GK58" i="4" s="1"/>
  <c r="GK59" i="4" s="1"/>
  <c r="GK60" i="4" s="1"/>
  <c r="GK61" i="4" s="1"/>
  <c r="GK62" i="4" s="1"/>
  <c r="GK44" i="4"/>
  <c r="HJ43" i="4"/>
  <c r="II43" i="4"/>
  <c r="CO48" i="4"/>
  <c r="CO55" i="4" s="1"/>
  <c r="CO54" i="4"/>
  <c r="DN47" i="4"/>
  <c r="DN53" i="4"/>
  <c r="EM52" i="4"/>
  <c r="EM46" i="4"/>
  <c r="FL51" i="4"/>
  <c r="FL45" i="4"/>
  <c r="GK18" i="4"/>
  <c r="GK25" i="4" s="1"/>
  <c r="GK12" i="4"/>
  <c r="DN21" i="4"/>
  <c r="DN28" i="4" s="1"/>
  <c r="DN15" i="4"/>
  <c r="DN22" i="4" s="1"/>
  <c r="DN29" i="4" s="1"/>
  <c r="II17" i="4"/>
  <c r="II24" i="4" s="1"/>
  <c r="II11" i="4"/>
  <c r="FL19" i="4"/>
  <c r="FL26" i="4" s="1"/>
  <c r="FL13" i="4"/>
  <c r="EM14" i="4"/>
  <c r="EM20" i="4"/>
  <c r="EM27" i="4" s="1"/>
  <c r="HJ17" i="4"/>
  <c r="HJ24" i="4" s="1"/>
  <c r="HJ11" i="4"/>
  <c r="AB30" i="6"/>
  <c r="U23" i="12"/>
  <c r="V22" i="12"/>
  <c r="AJ13" i="5"/>
  <c r="AA9" i="12"/>
  <c r="AA17" i="12" s="1"/>
  <c r="AA20" i="12" s="1"/>
  <c r="AG8" i="6"/>
  <c r="AG11" i="6" s="1"/>
  <c r="AD10" i="3"/>
  <c r="O31" i="12"/>
  <c r="O32" i="12" s="1"/>
  <c r="P30" i="12"/>
  <c r="AD16" i="6"/>
  <c r="AD17" i="6" s="1"/>
  <c r="AD30" i="6" s="1"/>
  <c r="AD38" i="6" s="1"/>
  <c r="AD39" i="6" s="1"/>
  <c r="AD42" i="6" s="1"/>
  <c r="AD43" i="6" s="1"/>
  <c r="AD46" i="6" s="1"/>
  <c r="AD51" i="6" s="1"/>
  <c r="AD54" i="6" s="1"/>
  <c r="AE11" i="6"/>
  <c r="AA55" i="6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7" i="6" s="1"/>
  <c r="AA78" i="6" s="1"/>
  <c r="AA85" i="6" s="1"/>
  <c r="AA87" i="6" s="1"/>
  <c r="AA90" i="6" s="1"/>
  <c r="AB90" i="6" s="1"/>
  <c r="AB54" i="6"/>
  <c r="X22" i="12"/>
  <c r="Y20" i="12"/>
  <c r="L31" i="12"/>
  <c r="L32" i="12" s="1"/>
  <c r="L33" i="12" s="1"/>
  <c r="M30" i="12"/>
  <c r="R30" i="12"/>
  <c r="S23" i="12"/>
  <c r="O65" i="6"/>
  <c r="P64" i="6"/>
  <c r="I45" i="12"/>
  <c r="J44" i="12"/>
  <c r="E20" i="12"/>
  <c r="D32" i="12"/>
  <c r="Z14" i="12"/>
  <c r="AF30" i="12"/>
  <c r="AF44" i="12"/>
  <c r="AC39" i="12"/>
  <c r="G58" i="6"/>
  <c r="D40" i="3"/>
  <c r="Z26" i="4"/>
  <c r="AA26" i="4" s="1"/>
  <c r="S26" i="4"/>
  <c r="AD26" i="4"/>
  <c r="AE26" i="4" s="1"/>
  <c r="AD25" i="4"/>
  <c r="AE25" i="4" s="1"/>
  <c r="Z25" i="4"/>
  <c r="AA25" i="4" s="1"/>
  <c r="V25" i="4"/>
  <c r="W25" i="4" s="1"/>
  <c r="G29" i="5"/>
  <c r="G6" i="10" s="1"/>
  <c r="J31" i="4"/>
  <c r="K30" i="5"/>
  <c r="AL90" i="6" s="1"/>
  <c r="AE21" i="5"/>
  <c r="AJ21" i="5"/>
  <c r="AF13" i="5"/>
  <c r="L66" i="3"/>
  <c r="L73" i="3" s="1"/>
  <c r="L50" i="3"/>
  <c r="L51" i="3" s="1"/>
  <c r="I60" i="3"/>
  <c r="I70" i="3" s="1"/>
  <c r="J70" i="3" s="1"/>
  <c r="J71" i="3" s="1"/>
  <c r="I52" i="3"/>
  <c r="I53" i="3" s="1"/>
  <c r="AA11" i="3"/>
  <c r="AA34" i="3"/>
  <c r="AA37" i="3" s="1"/>
  <c r="AA38" i="3" s="1"/>
  <c r="AA39" i="3" s="1"/>
  <c r="AA20" i="3"/>
  <c r="U46" i="3"/>
  <c r="U47" i="3"/>
  <c r="U48" i="3" s="1"/>
  <c r="U49" i="3" s="1"/>
  <c r="R50" i="3"/>
  <c r="R51" i="3" s="1"/>
  <c r="R66" i="3"/>
  <c r="R73" i="3" s="1"/>
  <c r="T51" i="6"/>
  <c r="V51" i="6" s="1"/>
  <c r="N34" i="3"/>
  <c r="X43" i="3"/>
  <c r="X44" i="3" s="1"/>
  <c r="X45" i="3" s="1"/>
  <c r="X42" i="3"/>
  <c r="X40" i="3"/>
  <c r="X41" i="3"/>
  <c r="U24" i="3"/>
  <c r="U26" i="3" s="1"/>
  <c r="U27" i="3"/>
  <c r="X21" i="3"/>
  <c r="X23" i="3" s="1"/>
  <c r="O66" i="3"/>
  <c r="O73" i="3" s="1"/>
  <c r="O50" i="3"/>
  <c r="O51" i="3" s="1"/>
  <c r="F47" i="3"/>
  <c r="F48" i="3" s="1"/>
  <c r="F49" i="3" s="1"/>
  <c r="F66" i="3" s="1"/>
  <c r="F73" i="3" s="1"/>
  <c r="Z29" i="4"/>
  <c r="AU14" i="4"/>
  <c r="AV14" i="4" s="1"/>
  <c r="AY14" i="4"/>
  <c r="AZ14" i="4" s="1"/>
  <c r="AR14" i="4"/>
  <c r="BC14" i="4"/>
  <c r="BD14" i="4" s="1"/>
  <c r="AK10" i="4"/>
  <c r="AI45" i="4"/>
  <c r="AK45" i="4" s="1"/>
  <c r="AM45" i="4" s="1"/>
  <c r="AO45" i="4" s="1"/>
  <c r="AG49" i="4"/>
  <c r="AI42" i="4"/>
  <c r="AM42" i="4" s="1"/>
  <c r="AI43" i="4"/>
  <c r="AI46" i="4"/>
  <c r="AK46" i="4" s="1"/>
  <c r="AM46" i="4" s="1"/>
  <c r="AO46" i="4" s="1"/>
  <c r="AI44" i="4"/>
  <c r="AK44" i="4" s="1"/>
  <c r="AM44" i="4" s="1"/>
  <c r="AO44" i="4" s="1"/>
  <c r="AI48" i="4"/>
  <c r="AK48" i="4" s="1"/>
  <c r="AM48" i="4" s="1"/>
  <c r="AO48" i="4" s="1"/>
  <c r="AI47" i="4"/>
  <c r="AK47" i="4" s="1"/>
  <c r="AM47" i="4" s="1"/>
  <c r="AO47" i="4" s="1"/>
  <c r="AU11" i="4"/>
  <c r="AV11" i="4" s="1"/>
  <c r="BC11" i="4"/>
  <c r="BD11" i="4" s="1"/>
  <c r="AR11" i="4"/>
  <c r="AY11" i="4"/>
  <c r="AZ11" i="4" s="1"/>
  <c r="E19" i="7"/>
  <c r="F16" i="7" s="1"/>
  <c r="BF42" i="4"/>
  <c r="C8" i="10"/>
  <c r="BH12" i="4"/>
  <c r="BJ12" i="4" s="1"/>
  <c r="BL12" i="4" s="1"/>
  <c r="BN12" i="4" s="1"/>
  <c r="BF16" i="4"/>
  <c r="BH15" i="4"/>
  <c r="BJ15" i="4" s="1"/>
  <c r="BL15" i="4" s="1"/>
  <c r="BN15" i="4" s="1"/>
  <c r="BH11" i="4"/>
  <c r="BJ11" i="4" s="1"/>
  <c r="BL11" i="4" s="1"/>
  <c r="BN11" i="4" s="1"/>
  <c r="BH10" i="4"/>
  <c r="BH14" i="4"/>
  <c r="BJ14" i="4" s="1"/>
  <c r="BL14" i="4" s="1"/>
  <c r="BN14" i="4" s="1"/>
  <c r="BH13" i="4"/>
  <c r="BJ13" i="4" s="1"/>
  <c r="BL13" i="4" s="1"/>
  <c r="BN13" i="4" s="1"/>
  <c r="BH9" i="4"/>
  <c r="BL9" i="4" s="1"/>
  <c r="AU15" i="4"/>
  <c r="AV15" i="4" s="1"/>
  <c r="AY15" i="4"/>
  <c r="AZ15" i="4" s="1"/>
  <c r="BC15" i="4"/>
  <c r="BD15" i="4" s="1"/>
  <c r="F10" i="7"/>
  <c r="G7" i="7" s="1"/>
  <c r="CE9" i="4"/>
  <c r="BC12" i="4"/>
  <c r="BD12" i="4" s="1"/>
  <c r="AU12" i="4"/>
  <c r="AV12" i="4" s="1"/>
  <c r="AY12" i="4"/>
  <c r="AZ12" i="4" s="1"/>
  <c r="AR12" i="4"/>
  <c r="AI20" i="4"/>
  <c r="AK20" i="4" s="1"/>
  <c r="AM20" i="4" s="1"/>
  <c r="AO20" i="4" s="1"/>
  <c r="AG23" i="4"/>
  <c r="AI21" i="4"/>
  <c r="AK21" i="4" s="1"/>
  <c r="AM21" i="4" s="1"/>
  <c r="AO21" i="4" s="1"/>
  <c r="AI17" i="4"/>
  <c r="AK17" i="4" s="1"/>
  <c r="AM17" i="4" s="1"/>
  <c r="AO17" i="4" s="1"/>
  <c r="AI19" i="4"/>
  <c r="AK19" i="4" s="1"/>
  <c r="AM19" i="4" s="1"/>
  <c r="AO19" i="4" s="1"/>
  <c r="AI16" i="4"/>
  <c r="AM16" i="4" s="1"/>
  <c r="AI22" i="4"/>
  <c r="AK22" i="4" s="1"/>
  <c r="AM22" i="4" s="1"/>
  <c r="AO22" i="4" s="1"/>
  <c r="AR22" i="4" s="1"/>
  <c r="AI18" i="4"/>
  <c r="AK18" i="4" s="1"/>
  <c r="AM18" i="4" s="1"/>
  <c r="AO18" i="4" s="1"/>
  <c r="AU13" i="4"/>
  <c r="AV13" i="4" s="1"/>
  <c r="AY13" i="4"/>
  <c r="AZ13" i="4" s="1"/>
  <c r="BC13" i="4"/>
  <c r="BD13" i="4" s="1"/>
  <c r="AR13" i="4"/>
  <c r="N38" i="6"/>
  <c r="H46" i="9"/>
  <c r="I46" i="9" s="1"/>
  <c r="N42" i="4"/>
  <c r="D12" i="9"/>
  <c r="FL62" i="4"/>
  <c r="EM62" i="4"/>
  <c r="CZ48" i="4"/>
  <c r="CV64" i="4"/>
  <c r="CO62" i="4"/>
  <c r="CA48" i="4"/>
  <c r="BW64" i="4"/>
  <c r="AQ62" i="4"/>
  <c r="AQ29" i="4"/>
  <c r="G27" i="10"/>
  <c r="F36" i="10"/>
  <c r="J33" i="10"/>
  <c r="F35" i="10"/>
  <c r="E42" i="10"/>
  <c r="S37" i="3"/>
  <c r="Y64" i="4"/>
  <c r="S48" i="4"/>
  <c r="U64" i="4"/>
  <c r="Q64" i="4"/>
  <c r="AC21" i="4"/>
  <c r="AD21" i="4" s="1"/>
  <c r="Z21" i="4"/>
  <c r="U22" i="4"/>
  <c r="Q31" i="4"/>
  <c r="D31" i="5"/>
  <c r="C31" i="5"/>
  <c r="S44" i="4"/>
  <c r="V44" i="4"/>
  <c r="W44" i="4" s="1"/>
  <c r="AD44" i="4"/>
  <c r="AE44" i="4" s="1"/>
  <c r="Z44" i="4"/>
  <c r="AA44" i="4" s="1"/>
  <c r="Z47" i="4"/>
  <c r="AA47" i="4" s="1"/>
  <c r="V47" i="4"/>
  <c r="W47" i="4" s="1"/>
  <c r="AD47" i="4"/>
  <c r="AE47" i="4" s="1"/>
  <c r="S47" i="4"/>
  <c r="AD29" i="4"/>
  <c r="AD48" i="4"/>
  <c r="AE48" i="4" s="1"/>
  <c r="Z48" i="4"/>
  <c r="AA48" i="4" s="1"/>
  <c r="V48" i="4"/>
  <c r="W48" i="4" s="1"/>
  <c r="V46" i="4"/>
  <c r="W46" i="4" s="1"/>
  <c r="AD46" i="4"/>
  <c r="AE46" i="4" s="1"/>
  <c r="Z46" i="4"/>
  <c r="AA46" i="4" s="1"/>
  <c r="S46" i="4"/>
  <c r="L43" i="4"/>
  <c r="N43" i="4" s="1"/>
  <c r="P43" i="4" s="1"/>
  <c r="H56" i="4"/>
  <c r="J50" i="4"/>
  <c r="L50" i="4" s="1"/>
  <c r="N50" i="4" s="1"/>
  <c r="P50" i="4" s="1"/>
  <c r="J55" i="4"/>
  <c r="L55" i="4" s="1"/>
  <c r="N55" i="4" s="1"/>
  <c r="P55" i="4" s="1"/>
  <c r="J54" i="4"/>
  <c r="L54" i="4" s="1"/>
  <c r="N54" i="4" s="1"/>
  <c r="P54" i="4" s="1"/>
  <c r="S54" i="4" s="1"/>
  <c r="J53" i="4"/>
  <c r="L53" i="4" s="1"/>
  <c r="N53" i="4" s="1"/>
  <c r="P53" i="4" s="1"/>
  <c r="J52" i="4"/>
  <c r="L52" i="4" s="1"/>
  <c r="N52" i="4" s="1"/>
  <c r="P52" i="4" s="1"/>
  <c r="J51" i="4"/>
  <c r="L51" i="4" s="1"/>
  <c r="N51" i="4" s="1"/>
  <c r="P51" i="4" s="1"/>
  <c r="J49" i="4"/>
  <c r="R27" i="4"/>
  <c r="S20" i="4"/>
  <c r="AA20" i="4"/>
  <c r="AE20" i="4"/>
  <c r="W20" i="4"/>
  <c r="AD45" i="4"/>
  <c r="AE45" i="4" s="1"/>
  <c r="S45" i="4"/>
  <c r="Z45" i="4"/>
  <c r="AA45" i="4" s="1"/>
  <c r="V45" i="4"/>
  <c r="W45" i="4" s="1"/>
  <c r="R15" i="4"/>
  <c r="R22" i="4" s="1"/>
  <c r="R21" i="4"/>
  <c r="N31" i="4"/>
  <c r="S10" i="4"/>
  <c r="L31" i="4"/>
  <c r="AD15" i="4"/>
  <c r="Z15" i="4"/>
  <c r="V15" i="4"/>
  <c r="S14" i="4"/>
  <c r="Z14" i="4"/>
  <c r="AA14" i="4" s="1"/>
  <c r="V14" i="4"/>
  <c r="W14" i="4" s="1"/>
  <c r="AD14" i="4"/>
  <c r="AE14" i="4" s="1"/>
  <c r="V8" i="5"/>
  <c r="V21" i="5" s="1"/>
  <c r="T8" i="5"/>
  <c r="T21" i="5" s="1"/>
  <c r="E40" i="5"/>
  <c r="F37" i="5" s="1"/>
  <c r="G43" i="6"/>
  <c r="AF30" i="6"/>
  <c r="Q22" i="5"/>
  <c r="V9" i="5" s="1"/>
  <c r="V22" i="5" s="1"/>
  <c r="AA9" i="5" s="1"/>
  <c r="AA22" i="5" s="1"/>
  <c r="AF9" i="5" s="1"/>
  <c r="J30" i="5"/>
  <c r="AI90" i="6" s="1"/>
  <c r="AE22" i="5"/>
  <c r="AF14" i="5"/>
  <c r="L30" i="5"/>
  <c r="AO90" i="6" s="1"/>
  <c r="E66" i="3" l="1"/>
  <c r="L42" i="6"/>
  <c r="M39" i="6"/>
  <c r="FL46" i="4"/>
  <c r="FL52" i="4"/>
  <c r="II50" i="4"/>
  <c r="II57" i="4" s="1"/>
  <c r="II58" i="4" s="1"/>
  <c r="II59" i="4" s="1"/>
  <c r="II60" i="4" s="1"/>
  <c r="II61" i="4" s="1"/>
  <c r="II62" i="4" s="1"/>
  <c r="II44" i="4"/>
  <c r="DN48" i="4"/>
  <c r="DN55" i="4" s="1"/>
  <c r="DN54" i="4"/>
  <c r="HJ50" i="4"/>
  <c r="HJ57" i="4" s="1"/>
  <c r="HJ58" i="4" s="1"/>
  <c r="HJ59" i="4" s="1"/>
  <c r="HJ60" i="4" s="1"/>
  <c r="HJ61" i="4" s="1"/>
  <c r="HJ62" i="4" s="1"/>
  <c r="HJ44" i="4"/>
  <c r="EM53" i="4"/>
  <c r="EM47" i="4"/>
  <c r="GK51" i="4"/>
  <c r="GK45" i="4"/>
  <c r="HJ18" i="4"/>
  <c r="HJ25" i="4" s="1"/>
  <c r="HJ12" i="4"/>
  <c r="II12" i="4"/>
  <c r="II18" i="4"/>
  <c r="II25" i="4" s="1"/>
  <c r="GK19" i="4"/>
  <c r="GK26" i="4" s="1"/>
  <c r="GK13" i="4"/>
  <c r="FL20" i="4"/>
  <c r="FL27" i="4" s="1"/>
  <c r="FL14" i="4"/>
  <c r="EM15" i="4"/>
  <c r="EM22" i="4" s="1"/>
  <c r="EM29" i="4" s="1"/>
  <c r="EM21" i="4"/>
  <c r="EM28" i="4" s="1"/>
  <c r="I54" i="3"/>
  <c r="I55" i="3" s="1"/>
  <c r="I56" i="3" s="1"/>
  <c r="I62" i="3"/>
  <c r="J62" i="3" s="1"/>
  <c r="M32" i="12"/>
  <c r="R31" i="12"/>
  <c r="R32" i="12" s="1"/>
  <c r="S30" i="12"/>
  <c r="AG16" i="6"/>
  <c r="AG17" i="6" s="1"/>
  <c r="AG30" i="6" s="1"/>
  <c r="AG38" i="6" s="1"/>
  <c r="AG39" i="6" s="1"/>
  <c r="AG42" i="6" s="1"/>
  <c r="AG43" i="6" s="1"/>
  <c r="AG46" i="6" s="1"/>
  <c r="AG51" i="6" s="1"/>
  <c r="AG54" i="6" s="1"/>
  <c r="AH11" i="6"/>
  <c r="E28" i="5"/>
  <c r="K38" i="12"/>
  <c r="K40" i="12" s="1"/>
  <c r="AE30" i="6"/>
  <c r="AA22" i="12"/>
  <c r="AB20" i="12"/>
  <c r="AJ8" i="6"/>
  <c r="AJ11" i="6" s="1"/>
  <c r="AG10" i="3"/>
  <c r="AD9" i="12"/>
  <c r="AD17" i="12" s="1"/>
  <c r="AD20" i="12" s="1"/>
  <c r="AO13" i="5"/>
  <c r="AO21" i="5" s="1"/>
  <c r="D28" i="5"/>
  <c r="H38" i="12"/>
  <c r="AD55" i="6"/>
  <c r="AD56" i="6" s="1"/>
  <c r="AD57" i="6" s="1"/>
  <c r="AD58" i="6" s="1"/>
  <c r="AD59" i="6" s="1"/>
  <c r="AD60" i="6" s="1"/>
  <c r="AD61" i="6" s="1"/>
  <c r="AD62" i="6" s="1"/>
  <c r="AD63" i="6" s="1"/>
  <c r="AD64" i="6" s="1"/>
  <c r="AD65" i="6" s="1"/>
  <c r="AD66" i="6" s="1"/>
  <c r="AD67" i="6" s="1"/>
  <c r="AD68" i="6" s="1"/>
  <c r="AD69" i="6" s="1"/>
  <c r="AD70" i="6" s="1"/>
  <c r="AD71" i="6" s="1"/>
  <c r="AD72" i="6" s="1"/>
  <c r="AD73" i="6" s="1"/>
  <c r="AD77" i="6" s="1"/>
  <c r="AD78" i="6" s="1"/>
  <c r="AD85" i="6" s="1"/>
  <c r="AD87" i="6" s="1"/>
  <c r="AD90" i="6" s="1"/>
  <c r="AE90" i="6" s="1"/>
  <c r="AE54" i="6"/>
  <c r="X23" i="12"/>
  <c r="Y22" i="12"/>
  <c r="P32" i="12"/>
  <c r="O33" i="12"/>
  <c r="U30" i="12"/>
  <c r="V23" i="12"/>
  <c r="K20" i="3"/>
  <c r="M20" i="3" s="1"/>
  <c r="P38" i="6"/>
  <c r="O66" i="6"/>
  <c r="O67" i="6" s="1"/>
  <c r="O68" i="6" s="1"/>
  <c r="O69" i="6" s="1"/>
  <c r="O70" i="6" s="1"/>
  <c r="P65" i="6"/>
  <c r="J45" i="12"/>
  <c r="I46" i="12"/>
  <c r="M33" i="12"/>
  <c r="L34" i="12"/>
  <c r="AI44" i="12"/>
  <c r="D33" i="12"/>
  <c r="D34" i="12" s="1"/>
  <c r="AF39" i="12"/>
  <c r="AC14" i="12"/>
  <c r="AI30" i="12"/>
  <c r="E30" i="12" s="1"/>
  <c r="AC37" i="12"/>
  <c r="G59" i="6"/>
  <c r="D41" i="3"/>
  <c r="AJ14" i="5"/>
  <c r="AK14" i="5" s="1"/>
  <c r="AK13" i="5"/>
  <c r="H29" i="5"/>
  <c r="H6" i="10" s="1"/>
  <c r="I58" i="3"/>
  <c r="L52" i="3"/>
  <c r="L53" i="3" s="1"/>
  <c r="L60" i="3"/>
  <c r="L70" i="3" s="1"/>
  <c r="H90" i="6"/>
  <c r="R52" i="3"/>
  <c r="R53" i="3" s="1"/>
  <c r="R60" i="3"/>
  <c r="R70" i="3" s="1"/>
  <c r="X46" i="3"/>
  <c r="X47" i="3"/>
  <c r="X48" i="3" s="1"/>
  <c r="X49" i="3" s="1"/>
  <c r="X24" i="3"/>
  <c r="X26" i="3" s="1"/>
  <c r="X27" i="3"/>
  <c r="U50" i="3"/>
  <c r="U51" i="3" s="1"/>
  <c r="U66" i="3"/>
  <c r="U73" i="3" s="1"/>
  <c r="W51" i="6"/>
  <c r="Y51" i="6" s="1"/>
  <c r="Q34" i="3"/>
  <c r="AA41" i="3"/>
  <c r="AA40" i="3"/>
  <c r="AA42" i="3"/>
  <c r="AA43" i="3"/>
  <c r="AA44" i="3" s="1"/>
  <c r="AA45" i="3" s="1"/>
  <c r="AD34" i="3"/>
  <c r="AD37" i="3" s="1"/>
  <c r="AD38" i="3" s="1"/>
  <c r="AD39" i="3" s="1"/>
  <c r="AD20" i="3"/>
  <c r="AD11" i="3"/>
  <c r="AA21" i="3"/>
  <c r="AA23" i="3" s="1"/>
  <c r="O52" i="3"/>
  <c r="O53" i="3" s="1"/>
  <c r="O60" i="3"/>
  <c r="O70" i="3" s="1"/>
  <c r="G66" i="3"/>
  <c r="F50" i="3"/>
  <c r="F51" i="3" s="1"/>
  <c r="J52" i="3"/>
  <c r="AR18" i="4"/>
  <c r="AU18" i="4"/>
  <c r="AV18" i="4" s="1"/>
  <c r="BC18" i="4"/>
  <c r="BD18" i="4" s="1"/>
  <c r="AY18" i="4"/>
  <c r="AZ18" i="4" s="1"/>
  <c r="AU22" i="4"/>
  <c r="AV22" i="4" s="1"/>
  <c r="BC22" i="4"/>
  <c r="BD22" i="4" s="1"/>
  <c r="AY22" i="4"/>
  <c r="AZ22" i="4" s="1"/>
  <c r="CB13" i="4"/>
  <c r="CC13" i="4" s="1"/>
  <c r="BT13" i="4"/>
  <c r="BU13" i="4" s="1"/>
  <c r="BX13" i="4"/>
  <c r="BY13" i="4" s="1"/>
  <c r="BQ13" i="4"/>
  <c r="AI55" i="4"/>
  <c r="AK55" i="4" s="1"/>
  <c r="AM55" i="4" s="1"/>
  <c r="AO55" i="4" s="1"/>
  <c r="AI51" i="4"/>
  <c r="AK51" i="4" s="1"/>
  <c r="AM51" i="4" s="1"/>
  <c r="AO51" i="4" s="1"/>
  <c r="AG56" i="4"/>
  <c r="AI49" i="4"/>
  <c r="AM49" i="4" s="1"/>
  <c r="AI50" i="4"/>
  <c r="AK50" i="4" s="1"/>
  <c r="AM50" i="4" s="1"/>
  <c r="AO50" i="4" s="1"/>
  <c r="AI52" i="4"/>
  <c r="AK52" i="4" s="1"/>
  <c r="AM52" i="4" s="1"/>
  <c r="AO52" i="4" s="1"/>
  <c r="AI53" i="4"/>
  <c r="AK53" i="4" s="1"/>
  <c r="AM53" i="4" s="1"/>
  <c r="AO53" i="4" s="1"/>
  <c r="AI54" i="4"/>
  <c r="AK54" i="4" s="1"/>
  <c r="AM54" i="4" s="1"/>
  <c r="AO54" i="4" s="1"/>
  <c r="CG12" i="4"/>
  <c r="CI12" i="4" s="1"/>
  <c r="CK12" i="4" s="1"/>
  <c r="CM12" i="4" s="1"/>
  <c r="CG10" i="4"/>
  <c r="CG9" i="4"/>
  <c r="CK9" i="4" s="1"/>
  <c r="CG15" i="4"/>
  <c r="CI15" i="4" s="1"/>
  <c r="CK15" i="4" s="1"/>
  <c r="CM15" i="4" s="1"/>
  <c r="CG11" i="4"/>
  <c r="CI11" i="4" s="1"/>
  <c r="CK11" i="4" s="1"/>
  <c r="CM11" i="4" s="1"/>
  <c r="CG14" i="4"/>
  <c r="CI14" i="4" s="1"/>
  <c r="CK14" i="4" s="1"/>
  <c r="CM14" i="4" s="1"/>
  <c r="CE16" i="4"/>
  <c r="CG13" i="4"/>
  <c r="CI13" i="4" s="1"/>
  <c r="CK13" i="4" s="1"/>
  <c r="CM13" i="4" s="1"/>
  <c r="BT14" i="4"/>
  <c r="BU14" i="4" s="1"/>
  <c r="CB14" i="4"/>
  <c r="CC14" i="4" s="1"/>
  <c r="BX14" i="4"/>
  <c r="BY14" i="4" s="1"/>
  <c r="BQ14" i="4"/>
  <c r="AR45" i="4"/>
  <c r="AU45" i="4"/>
  <c r="AV45" i="4" s="1"/>
  <c r="AY45" i="4"/>
  <c r="AZ45" i="4" s="1"/>
  <c r="BC45" i="4"/>
  <c r="BD45" i="4" s="1"/>
  <c r="BC19" i="4"/>
  <c r="BD19" i="4" s="1"/>
  <c r="AY19" i="4"/>
  <c r="AZ19" i="4" s="1"/>
  <c r="AU19" i="4"/>
  <c r="AV19" i="4" s="1"/>
  <c r="AR19" i="4"/>
  <c r="G10" i="7"/>
  <c r="H7" i="7" s="1"/>
  <c r="DD9" i="4"/>
  <c r="BJ10" i="4"/>
  <c r="AU47" i="4"/>
  <c r="AV47" i="4" s="1"/>
  <c r="AR47" i="4"/>
  <c r="AY47" i="4"/>
  <c r="AZ47" i="4" s="1"/>
  <c r="BC47" i="4"/>
  <c r="BD47" i="4" s="1"/>
  <c r="BC17" i="4"/>
  <c r="BD17" i="4" s="1"/>
  <c r="AY17" i="4"/>
  <c r="AZ17" i="4" s="1"/>
  <c r="AU17" i="4"/>
  <c r="AV17" i="4" s="1"/>
  <c r="AR17" i="4"/>
  <c r="BQ11" i="4"/>
  <c r="CB11" i="4"/>
  <c r="CC11" i="4" s="1"/>
  <c r="BX11" i="4"/>
  <c r="BY11" i="4" s="1"/>
  <c r="BT11" i="4"/>
  <c r="BU11" i="4" s="1"/>
  <c r="N46" i="6"/>
  <c r="D5" i="10"/>
  <c r="D8" i="10" s="1"/>
  <c r="C14" i="10"/>
  <c r="K26" i="3" s="1"/>
  <c r="AU48" i="4"/>
  <c r="AV48" i="4" s="1"/>
  <c r="AY48" i="4"/>
  <c r="AZ48" i="4" s="1"/>
  <c r="AR48" i="4"/>
  <c r="BC48" i="4"/>
  <c r="BD48" i="4" s="1"/>
  <c r="AM10" i="4"/>
  <c r="AU21" i="4"/>
  <c r="AV21" i="4" s="1"/>
  <c r="BC21" i="4"/>
  <c r="BD21" i="4" s="1"/>
  <c r="AY21" i="4"/>
  <c r="AZ21" i="4" s="1"/>
  <c r="AR21" i="4"/>
  <c r="BT15" i="4"/>
  <c r="BU15" i="4" s="1"/>
  <c r="BQ15" i="4"/>
  <c r="BX15" i="4"/>
  <c r="BY15" i="4" s="1"/>
  <c r="CB15" i="4"/>
  <c r="CC15" i="4" s="1"/>
  <c r="BH48" i="4"/>
  <c r="BJ48" i="4" s="1"/>
  <c r="BL48" i="4" s="1"/>
  <c r="BN48" i="4" s="1"/>
  <c r="BH42" i="4"/>
  <c r="BL42" i="4" s="1"/>
  <c r="BH46" i="4"/>
  <c r="BJ46" i="4" s="1"/>
  <c r="BL46" i="4" s="1"/>
  <c r="BN46" i="4" s="1"/>
  <c r="BH44" i="4"/>
  <c r="BJ44" i="4" s="1"/>
  <c r="BL44" i="4" s="1"/>
  <c r="BN44" i="4" s="1"/>
  <c r="BH43" i="4"/>
  <c r="BF49" i="4"/>
  <c r="BH47" i="4"/>
  <c r="BJ47" i="4" s="1"/>
  <c r="BL47" i="4" s="1"/>
  <c r="BN47" i="4" s="1"/>
  <c r="BH45" i="4"/>
  <c r="BJ45" i="4" s="1"/>
  <c r="BL45" i="4" s="1"/>
  <c r="BN45" i="4" s="1"/>
  <c r="AY44" i="4"/>
  <c r="AZ44" i="4" s="1"/>
  <c r="AU44" i="4"/>
  <c r="AV44" i="4" s="1"/>
  <c r="BC44" i="4"/>
  <c r="BD44" i="4" s="1"/>
  <c r="AR44" i="4"/>
  <c r="AI29" i="4"/>
  <c r="AK29" i="4" s="1"/>
  <c r="AM29" i="4" s="1"/>
  <c r="AO29" i="4" s="1"/>
  <c r="AR29" i="4" s="1"/>
  <c r="AI27" i="4"/>
  <c r="AK27" i="4" s="1"/>
  <c r="AM27" i="4" s="1"/>
  <c r="AO27" i="4" s="1"/>
  <c r="AI25" i="4"/>
  <c r="AK25" i="4" s="1"/>
  <c r="AM25" i="4" s="1"/>
  <c r="AO25" i="4" s="1"/>
  <c r="AG31" i="4"/>
  <c r="AI28" i="4"/>
  <c r="AK28" i="4" s="1"/>
  <c r="AM28" i="4" s="1"/>
  <c r="AO28" i="4" s="1"/>
  <c r="AI26" i="4"/>
  <c r="AK26" i="4" s="1"/>
  <c r="AM26" i="4" s="1"/>
  <c r="AO26" i="4" s="1"/>
  <c r="AI24" i="4"/>
  <c r="AK24" i="4" s="1"/>
  <c r="AM24" i="4" s="1"/>
  <c r="AO24" i="4" s="1"/>
  <c r="AI23" i="4"/>
  <c r="AM23" i="4" s="1"/>
  <c r="BH20" i="4"/>
  <c r="BJ20" i="4" s="1"/>
  <c r="BL20" i="4" s="1"/>
  <c r="BN20" i="4" s="1"/>
  <c r="BH16" i="4"/>
  <c r="BL16" i="4" s="1"/>
  <c r="BH18" i="4"/>
  <c r="BJ18" i="4" s="1"/>
  <c r="BL18" i="4" s="1"/>
  <c r="BN18" i="4" s="1"/>
  <c r="BH21" i="4"/>
  <c r="BJ21" i="4" s="1"/>
  <c r="BL21" i="4" s="1"/>
  <c r="BN21" i="4" s="1"/>
  <c r="BH22" i="4"/>
  <c r="BJ22" i="4" s="1"/>
  <c r="BL22" i="4" s="1"/>
  <c r="BN22" i="4" s="1"/>
  <c r="BF23" i="4"/>
  <c r="BH19" i="4"/>
  <c r="BJ19" i="4" s="1"/>
  <c r="BL19" i="4" s="1"/>
  <c r="BN19" i="4" s="1"/>
  <c r="BH17" i="4"/>
  <c r="BJ17" i="4" s="1"/>
  <c r="BL17" i="4" s="1"/>
  <c r="BN17" i="4" s="1"/>
  <c r="F19" i="7"/>
  <c r="G16" i="7" s="1"/>
  <c r="CE42" i="4"/>
  <c r="AR46" i="4"/>
  <c r="AU46" i="4"/>
  <c r="AV46" i="4" s="1"/>
  <c r="AY46" i="4"/>
  <c r="AZ46" i="4" s="1"/>
  <c r="BC46" i="4"/>
  <c r="BD46" i="4" s="1"/>
  <c r="BC20" i="4"/>
  <c r="BD20" i="4" s="1"/>
  <c r="AY20" i="4"/>
  <c r="AZ20" i="4" s="1"/>
  <c r="AU20" i="4"/>
  <c r="AV20" i="4" s="1"/>
  <c r="AR20" i="4"/>
  <c r="CB12" i="4"/>
  <c r="CC12" i="4" s="1"/>
  <c r="BX12" i="4"/>
  <c r="BY12" i="4" s="1"/>
  <c r="BQ12" i="4"/>
  <c r="BT12" i="4"/>
  <c r="BU12" i="4" s="1"/>
  <c r="AK43" i="4"/>
  <c r="F12" i="9"/>
  <c r="H12" i="9" s="1"/>
  <c r="I12" i="9" s="1"/>
  <c r="D41" i="9"/>
  <c r="N49" i="4"/>
  <c r="D13" i="9"/>
  <c r="F13" i="9" s="1"/>
  <c r="H13" i="9" s="1"/>
  <c r="I13" i="9" s="1"/>
  <c r="Q38" i="6"/>
  <c r="S38" i="6" s="1"/>
  <c r="F38" i="10"/>
  <c r="F41" i="10"/>
  <c r="K33" i="10"/>
  <c r="G30" i="10"/>
  <c r="M43" i="3"/>
  <c r="V37" i="3"/>
  <c r="W15" i="4"/>
  <c r="AE15" i="4"/>
  <c r="Y22" i="4"/>
  <c r="U31" i="4"/>
  <c r="AA15" i="4"/>
  <c r="V54" i="4"/>
  <c r="W54" i="4" s="1"/>
  <c r="Z55" i="4"/>
  <c r="AA55" i="4" s="1"/>
  <c r="AD55" i="4"/>
  <c r="AE55" i="4" s="1"/>
  <c r="V55" i="4"/>
  <c r="W55" i="4" s="1"/>
  <c r="S55" i="4"/>
  <c r="Z54" i="4"/>
  <c r="AA54" i="4" s="1"/>
  <c r="J61" i="4"/>
  <c r="L61" i="4" s="1"/>
  <c r="N61" i="4" s="1"/>
  <c r="P61" i="4" s="1"/>
  <c r="J60" i="4"/>
  <c r="L60" i="4" s="1"/>
  <c r="N60" i="4" s="1"/>
  <c r="P60" i="4" s="1"/>
  <c r="J59" i="4"/>
  <c r="L59" i="4" s="1"/>
  <c r="N59" i="4" s="1"/>
  <c r="P59" i="4" s="1"/>
  <c r="J58" i="4"/>
  <c r="L58" i="4" s="1"/>
  <c r="N58" i="4" s="1"/>
  <c r="P58" i="4" s="1"/>
  <c r="J57" i="4"/>
  <c r="L57" i="4" s="1"/>
  <c r="J62" i="4"/>
  <c r="L62" i="4" s="1"/>
  <c r="N62" i="4" s="1"/>
  <c r="P62" i="4" s="1"/>
  <c r="J56" i="4"/>
  <c r="N56" i="4" s="1"/>
  <c r="H64" i="4"/>
  <c r="R28" i="4"/>
  <c r="S21" i="4"/>
  <c r="AA21" i="4"/>
  <c r="W21" i="4"/>
  <c r="AE21" i="4"/>
  <c r="S51" i="4"/>
  <c r="V51" i="4"/>
  <c r="W51" i="4" s="1"/>
  <c r="Z51" i="4"/>
  <c r="AA51" i="4" s="1"/>
  <c r="AD51" i="4"/>
  <c r="AE51" i="4" s="1"/>
  <c r="V43" i="4"/>
  <c r="W43" i="4" s="1"/>
  <c r="AD43" i="4"/>
  <c r="AE43" i="4" s="1"/>
  <c r="Z43" i="4"/>
  <c r="AA43" i="4" s="1"/>
  <c r="S43" i="4"/>
  <c r="R29" i="4"/>
  <c r="AE29" i="4" s="1"/>
  <c r="S22" i="4"/>
  <c r="W22" i="4"/>
  <c r="Z52" i="4"/>
  <c r="AA52" i="4" s="1"/>
  <c r="V52" i="4"/>
  <c r="W52" i="4" s="1"/>
  <c r="S52" i="4"/>
  <c r="AD52" i="4"/>
  <c r="AE52" i="4" s="1"/>
  <c r="S50" i="4"/>
  <c r="AD50" i="4"/>
  <c r="AE50" i="4" s="1"/>
  <c r="V50" i="4"/>
  <c r="W50" i="4" s="1"/>
  <c r="Z50" i="4"/>
  <c r="AA50" i="4" s="1"/>
  <c r="S15" i="4"/>
  <c r="AD54" i="4"/>
  <c r="AE54" i="4" s="1"/>
  <c r="S27" i="4"/>
  <c r="W27" i="4"/>
  <c r="AA27" i="4"/>
  <c r="S53" i="4"/>
  <c r="AD53" i="4"/>
  <c r="AE53" i="4" s="1"/>
  <c r="Z53" i="4"/>
  <c r="AA53" i="4" s="1"/>
  <c r="V53" i="4"/>
  <c r="W53" i="4" s="1"/>
  <c r="AE27" i="4"/>
  <c r="AD10" i="4"/>
  <c r="AE10" i="4" s="1"/>
  <c r="V10" i="4"/>
  <c r="V31" i="4" s="1"/>
  <c r="Z10" i="4"/>
  <c r="M30" i="5"/>
  <c r="Y8" i="5"/>
  <c r="Y21" i="5" s="1"/>
  <c r="F40" i="5"/>
  <c r="E31" i="5"/>
  <c r="AA8" i="5"/>
  <c r="AA21" i="5" s="1"/>
  <c r="F31" i="5"/>
  <c r="Q38" i="12" s="1"/>
  <c r="AI30" i="6"/>
  <c r="AF22" i="5"/>
  <c r="AK9" i="5" s="1"/>
  <c r="J26" i="3"/>
  <c r="M42" i="6" l="1"/>
  <c r="L43" i="6"/>
  <c r="GK46" i="4"/>
  <c r="GK52" i="4"/>
  <c r="HJ51" i="4"/>
  <c r="HJ45" i="4"/>
  <c r="II45" i="4"/>
  <c r="II51" i="4"/>
  <c r="EM54" i="4"/>
  <c r="EM48" i="4"/>
  <c r="EM55" i="4" s="1"/>
  <c r="FL47" i="4"/>
  <c r="FL53" i="4"/>
  <c r="FL15" i="4"/>
  <c r="FL22" i="4" s="1"/>
  <c r="FL29" i="4" s="1"/>
  <c r="FL21" i="4"/>
  <c r="FL28" i="4" s="1"/>
  <c r="GK20" i="4"/>
  <c r="GK27" i="4" s="1"/>
  <c r="GK14" i="4"/>
  <c r="HJ13" i="4"/>
  <c r="HJ19" i="4"/>
  <c r="HJ26" i="4" s="1"/>
  <c r="II13" i="4"/>
  <c r="II19" i="4"/>
  <c r="II26" i="4" s="1"/>
  <c r="AH30" i="6"/>
  <c r="AP13" i="5"/>
  <c r="AO14" i="5"/>
  <c r="AG9" i="12"/>
  <c r="AG17" i="12" s="1"/>
  <c r="AM8" i="6"/>
  <c r="AM11" i="6" s="1"/>
  <c r="AJ10" i="3"/>
  <c r="AT13" i="5"/>
  <c r="AT14" i="5" s="1"/>
  <c r="AG55" i="6"/>
  <c r="AG56" i="6" s="1"/>
  <c r="AG57" i="6" s="1"/>
  <c r="AG58" i="6" s="1"/>
  <c r="AG59" i="6" s="1"/>
  <c r="AG60" i="6" s="1"/>
  <c r="AG61" i="6" s="1"/>
  <c r="AG62" i="6" s="1"/>
  <c r="AG63" i="6" s="1"/>
  <c r="AG64" i="6" s="1"/>
  <c r="AG65" i="6" s="1"/>
  <c r="AG66" i="6" s="1"/>
  <c r="AG67" i="6" s="1"/>
  <c r="AG68" i="6" s="1"/>
  <c r="AG69" i="6" s="1"/>
  <c r="AG70" i="6" s="1"/>
  <c r="AG71" i="6" s="1"/>
  <c r="AG72" i="6" s="1"/>
  <c r="AG73" i="6" s="1"/>
  <c r="AG77" i="6" s="1"/>
  <c r="AG78" i="6" s="1"/>
  <c r="AG85" i="6" s="1"/>
  <c r="AG87" i="6" s="1"/>
  <c r="AG90" i="6" s="1"/>
  <c r="AH90" i="6" s="1"/>
  <c r="AH54" i="6"/>
  <c r="U31" i="12"/>
  <c r="U32" i="12" s="1"/>
  <c r="V30" i="12"/>
  <c r="H40" i="12"/>
  <c r="J38" i="12"/>
  <c r="Q40" i="12"/>
  <c r="AJ16" i="6"/>
  <c r="AJ17" i="6" s="1"/>
  <c r="AJ30" i="6" s="1"/>
  <c r="AJ38" i="6" s="1"/>
  <c r="AJ39" i="6" s="1"/>
  <c r="AJ42" i="6" s="1"/>
  <c r="AJ43" i="6" s="1"/>
  <c r="AJ46" i="6" s="1"/>
  <c r="AJ51" i="6" s="1"/>
  <c r="AJ54" i="6" s="1"/>
  <c r="AK11" i="6"/>
  <c r="AA23" i="12"/>
  <c r="AB22" i="12"/>
  <c r="R33" i="12"/>
  <c r="S32" i="12"/>
  <c r="F28" i="5"/>
  <c r="N38" i="12"/>
  <c r="N40" i="12" s="1"/>
  <c r="O34" i="12"/>
  <c r="O37" i="12" s="1"/>
  <c r="O38" i="12" s="1"/>
  <c r="P33" i="12"/>
  <c r="Y23" i="12"/>
  <c r="X30" i="12"/>
  <c r="AD22" i="12"/>
  <c r="AE20" i="12"/>
  <c r="O54" i="3"/>
  <c r="O58" i="3" s="1"/>
  <c r="O62" i="3"/>
  <c r="O71" i="6"/>
  <c r="P70" i="6"/>
  <c r="R54" i="3"/>
  <c r="R58" i="3" s="1"/>
  <c r="R62" i="3"/>
  <c r="L54" i="3"/>
  <c r="L55" i="3" s="1"/>
  <c r="L56" i="3" s="1"/>
  <c r="L62" i="3"/>
  <c r="L37" i="12"/>
  <c r="AF14" i="12"/>
  <c r="D38" i="12"/>
  <c r="D37" i="12"/>
  <c r="AI39" i="12"/>
  <c r="E39" i="12" s="1"/>
  <c r="E23" i="12"/>
  <c r="E44" i="12"/>
  <c r="K27" i="3"/>
  <c r="M27" i="3" s="1"/>
  <c r="P46" i="6"/>
  <c r="G60" i="6"/>
  <c r="D42" i="3"/>
  <c r="AJ22" i="5"/>
  <c r="I29" i="5"/>
  <c r="I6" i="10" s="1"/>
  <c r="AA27" i="3"/>
  <c r="AA24" i="3"/>
  <c r="AA26" i="3" s="1"/>
  <c r="X50" i="3"/>
  <c r="X51" i="3" s="1"/>
  <c r="X66" i="3"/>
  <c r="X73" i="3" s="1"/>
  <c r="AD21" i="3"/>
  <c r="AD23" i="3" s="1"/>
  <c r="T38" i="6"/>
  <c r="V38" i="6" s="1"/>
  <c r="N20" i="3"/>
  <c r="P20" i="3" s="1"/>
  <c r="AG20" i="3"/>
  <c r="AG34" i="3"/>
  <c r="AG37" i="3" s="1"/>
  <c r="AG38" i="3" s="1"/>
  <c r="AG39" i="3" s="1"/>
  <c r="AG11" i="3"/>
  <c r="T34" i="3"/>
  <c r="Z51" i="6"/>
  <c r="AB51" i="6" s="1"/>
  <c r="AA46" i="3"/>
  <c r="AA47" i="3"/>
  <c r="AA48" i="3" s="1"/>
  <c r="AA49" i="3" s="1"/>
  <c r="AD41" i="3"/>
  <c r="AD40" i="3"/>
  <c r="AD43" i="3"/>
  <c r="AD44" i="3" s="1"/>
  <c r="AD45" i="3" s="1"/>
  <c r="AD42" i="3"/>
  <c r="U60" i="3"/>
  <c r="U70" i="3" s="1"/>
  <c r="U52" i="3"/>
  <c r="U53" i="3" s="1"/>
  <c r="J53" i="3"/>
  <c r="F52" i="3"/>
  <c r="F53" i="3" s="1"/>
  <c r="F60" i="3"/>
  <c r="F70" i="3" s="1"/>
  <c r="CB19" i="4"/>
  <c r="CC19" i="4" s="1"/>
  <c r="BX19" i="4"/>
  <c r="BY19" i="4" s="1"/>
  <c r="BQ19" i="4"/>
  <c r="BT19" i="4"/>
  <c r="BU19" i="4" s="1"/>
  <c r="BX44" i="4"/>
  <c r="BY44" i="4" s="1"/>
  <c r="BT44" i="4"/>
  <c r="BU44" i="4" s="1"/>
  <c r="CB44" i="4"/>
  <c r="CC44" i="4" s="1"/>
  <c r="BQ44" i="4"/>
  <c r="AI31" i="4"/>
  <c r="CS11" i="4"/>
  <c r="CT11" i="4" s="1"/>
  <c r="CP11" i="4"/>
  <c r="DA11" i="4"/>
  <c r="DB11" i="4" s="1"/>
  <c r="CW11" i="4"/>
  <c r="CX11" i="4" s="1"/>
  <c r="BH26" i="4"/>
  <c r="BJ26" i="4" s="1"/>
  <c r="BL26" i="4" s="1"/>
  <c r="BN26" i="4" s="1"/>
  <c r="BH23" i="4"/>
  <c r="BL23" i="4" s="1"/>
  <c r="BH29" i="4"/>
  <c r="BJ29" i="4" s="1"/>
  <c r="BL29" i="4" s="1"/>
  <c r="BN29" i="4" s="1"/>
  <c r="BH27" i="4"/>
  <c r="BJ27" i="4" s="1"/>
  <c r="BL27" i="4" s="1"/>
  <c r="BN27" i="4" s="1"/>
  <c r="BH25" i="4"/>
  <c r="BJ25" i="4" s="1"/>
  <c r="BL25" i="4" s="1"/>
  <c r="BN25" i="4" s="1"/>
  <c r="BF31" i="4"/>
  <c r="BH24" i="4"/>
  <c r="BH28" i="4"/>
  <c r="BJ28" i="4" s="1"/>
  <c r="BL28" i="4" s="1"/>
  <c r="BN28" i="4" s="1"/>
  <c r="BC26" i="4"/>
  <c r="BD26" i="4" s="1"/>
  <c r="AY26" i="4"/>
  <c r="AZ26" i="4" s="1"/>
  <c r="AU26" i="4"/>
  <c r="AV26" i="4" s="1"/>
  <c r="AR26" i="4"/>
  <c r="BT46" i="4"/>
  <c r="BU46" i="4" s="1"/>
  <c r="BQ46" i="4"/>
  <c r="BX46" i="4"/>
  <c r="BY46" i="4" s="1"/>
  <c r="CB46" i="4"/>
  <c r="CC46" i="4" s="1"/>
  <c r="CS15" i="4"/>
  <c r="CT15" i="4" s="1"/>
  <c r="CW15" i="4"/>
  <c r="CX15" i="4" s="1"/>
  <c r="DA15" i="4"/>
  <c r="DB15" i="4" s="1"/>
  <c r="CP15" i="4"/>
  <c r="BC24" i="4"/>
  <c r="BD24" i="4" s="1"/>
  <c r="AY24" i="4"/>
  <c r="AZ24" i="4" s="1"/>
  <c r="AU24" i="4"/>
  <c r="AV24" i="4" s="1"/>
  <c r="AR24" i="4"/>
  <c r="H10" i="7"/>
  <c r="I7" i="7" s="1"/>
  <c r="EC9" i="4"/>
  <c r="AR50" i="4"/>
  <c r="AY50" i="4"/>
  <c r="AZ50" i="4" s="1"/>
  <c r="BC50" i="4"/>
  <c r="BD50" i="4" s="1"/>
  <c r="AU50" i="4"/>
  <c r="AV50" i="4" s="1"/>
  <c r="BX22" i="4"/>
  <c r="BY22" i="4" s="1"/>
  <c r="BT22" i="4"/>
  <c r="BU22" i="4" s="1"/>
  <c r="CB22" i="4"/>
  <c r="CC22" i="4" s="1"/>
  <c r="BQ22" i="4"/>
  <c r="BC28" i="4"/>
  <c r="BD28" i="4" s="1"/>
  <c r="AY28" i="4"/>
  <c r="AZ28" i="4" s="1"/>
  <c r="AU28" i="4"/>
  <c r="AV28" i="4" s="1"/>
  <c r="AR28" i="4"/>
  <c r="AI61" i="4"/>
  <c r="AK61" i="4" s="1"/>
  <c r="AM61" i="4" s="1"/>
  <c r="AO61" i="4" s="1"/>
  <c r="AI59" i="4"/>
  <c r="AK59" i="4" s="1"/>
  <c r="AM59" i="4" s="1"/>
  <c r="AO59" i="4" s="1"/>
  <c r="AG64" i="4"/>
  <c r="AI56" i="4"/>
  <c r="AM56" i="4" s="1"/>
  <c r="AI62" i="4"/>
  <c r="AK62" i="4" s="1"/>
  <c r="AM62" i="4" s="1"/>
  <c r="AO62" i="4" s="1"/>
  <c r="AI58" i="4"/>
  <c r="AK58" i="4" s="1"/>
  <c r="AM58" i="4" s="1"/>
  <c r="AO58" i="4" s="1"/>
  <c r="AI60" i="4"/>
  <c r="AK60" i="4" s="1"/>
  <c r="AM60" i="4" s="1"/>
  <c r="AO60" i="4" s="1"/>
  <c r="AI57" i="4"/>
  <c r="AK57" i="4" s="1"/>
  <c r="AM57" i="4" s="1"/>
  <c r="AO57" i="4" s="1"/>
  <c r="BT21" i="4"/>
  <c r="BU21" i="4" s="1"/>
  <c r="BX21" i="4"/>
  <c r="BY21" i="4" s="1"/>
  <c r="CB21" i="4"/>
  <c r="CC21" i="4" s="1"/>
  <c r="BQ21" i="4"/>
  <c r="BT48" i="4"/>
  <c r="BU48" i="4" s="1"/>
  <c r="BQ48" i="4"/>
  <c r="BX48" i="4"/>
  <c r="BY48" i="4" s="1"/>
  <c r="I18" i="9"/>
  <c r="C16" i="10"/>
  <c r="CI10" i="4"/>
  <c r="AR51" i="4"/>
  <c r="AU51" i="4"/>
  <c r="AV51" i="4" s="1"/>
  <c r="AY51" i="4"/>
  <c r="AZ51" i="4" s="1"/>
  <c r="BC51" i="4"/>
  <c r="BD51" i="4" s="1"/>
  <c r="BT18" i="4"/>
  <c r="BU18" i="4" s="1"/>
  <c r="CB18" i="4"/>
  <c r="CC18" i="4" s="1"/>
  <c r="BX18" i="4"/>
  <c r="BY18" i="4" s="1"/>
  <c r="BQ18" i="4"/>
  <c r="AR25" i="4"/>
  <c r="BC25" i="4"/>
  <c r="BD25" i="4" s="1"/>
  <c r="AU25" i="4"/>
  <c r="AV25" i="4" s="1"/>
  <c r="AY25" i="4"/>
  <c r="AZ25" i="4" s="1"/>
  <c r="BT45" i="4"/>
  <c r="BU45" i="4" s="1"/>
  <c r="BQ45" i="4"/>
  <c r="BX45" i="4"/>
  <c r="BY45" i="4" s="1"/>
  <c r="CB45" i="4"/>
  <c r="CC45" i="4" s="1"/>
  <c r="AK31" i="4"/>
  <c r="Q46" i="6"/>
  <c r="E5" i="10"/>
  <c r="E8" i="10" s="1"/>
  <c r="D14" i="10"/>
  <c r="N26" i="3" s="1"/>
  <c r="P26" i="3" s="1"/>
  <c r="DA12" i="4"/>
  <c r="DB12" i="4" s="1"/>
  <c r="CS12" i="4"/>
  <c r="CT12" i="4" s="1"/>
  <c r="CW12" i="4"/>
  <c r="CX12" i="4" s="1"/>
  <c r="CP12" i="4"/>
  <c r="AU55" i="4"/>
  <c r="AV55" i="4" s="1"/>
  <c r="AY55" i="4"/>
  <c r="AZ55" i="4" s="1"/>
  <c r="BC55" i="4"/>
  <c r="BD55" i="4" s="1"/>
  <c r="AR55" i="4"/>
  <c r="CG44" i="4"/>
  <c r="CI44" i="4" s="1"/>
  <c r="CK44" i="4" s="1"/>
  <c r="CM44" i="4" s="1"/>
  <c r="CG47" i="4"/>
  <c r="CI47" i="4" s="1"/>
  <c r="CK47" i="4" s="1"/>
  <c r="CM47" i="4" s="1"/>
  <c r="CG42" i="4"/>
  <c r="CK42" i="4" s="1"/>
  <c r="CG46" i="4"/>
  <c r="CI46" i="4" s="1"/>
  <c r="CK46" i="4" s="1"/>
  <c r="CM46" i="4" s="1"/>
  <c r="CE49" i="4"/>
  <c r="CG45" i="4"/>
  <c r="CI45" i="4" s="1"/>
  <c r="CK45" i="4" s="1"/>
  <c r="CM45" i="4" s="1"/>
  <c r="CG48" i="4"/>
  <c r="CI48" i="4" s="1"/>
  <c r="CK48" i="4" s="1"/>
  <c r="CM48" i="4" s="1"/>
  <c r="CG43" i="4"/>
  <c r="BT47" i="4"/>
  <c r="BU47" i="4" s="1"/>
  <c r="BQ47" i="4"/>
  <c r="BX47" i="4"/>
  <c r="BY47" i="4" s="1"/>
  <c r="CB47" i="4"/>
  <c r="CC47" i="4" s="1"/>
  <c r="AO10" i="4"/>
  <c r="AM31" i="4"/>
  <c r="CS13" i="4"/>
  <c r="CT13" i="4" s="1"/>
  <c r="CP13" i="4"/>
  <c r="CW13" i="4"/>
  <c r="CX13" i="4" s="1"/>
  <c r="DA13" i="4"/>
  <c r="DB13" i="4" s="1"/>
  <c r="G19" i="7"/>
  <c r="H16" i="7" s="1"/>
  <c r="DD42" i="4"/>
  <c r="BX20" i="4"/>
  <c r="BY20" i="4" s="1"/>
  <c r="CB20" i="4"/>
  <c r="CC20" i="4" s="1"/>
  <c r="BT20" i="4"/>
  <c r="BU20" i="4" s="1"/>
  <c r="BQ20" i="4"/>
  <c r="AU29" i="4"/>
  <c r="AV29" i="4" s="1"/>
  <c r="BC29" i="4"/>
  <c r="BD29" i="4" s="1"/>
  <c r="AY29" i="4"/>
  <c r="AZ29" i="4" s="1"/>
  <c r="BH55" i="4"/>
  <c r="BJ55" i="4" s="1"/>
  <c r="BL55" i="4" s="1"/>
  <c r="BN55" i="4" s="1"/>
  <c r="BH51" i="4"/>
  <c r="BJ51" i="4" s="1"/>
  <c r="BL51" i="4" s="1"/>
  <c r="BN51" i="4" s="1"/>
  <c r="BH50" i="4"/>
  <c r="BJ50" i="4" s="1"/>
  <c r="BL50" i="4" s="1"/>
  <c r="BN50" i="4" s="1"/>
  <c r="BH54" i="4"/>
  <c r="BJ54" i="4" s="1"/>
  <c r="BL54" i="4" s="1"/>
  <c r="BN54" i="4" s="1"/>
  <c r="BF56" i="4"/>
  <c r="BH52" i="4"/>
  <c r="BJ52" i="4" s="1"/>
  <c r="BL52" i="4" s="1"/>
  <c r="BN52" i="4" s="1"/>
  <c r="BH53" i="4"/>
  <c r="BJ53" i="4" s="1"/>
  <c r="BL53" i="4" s="1"/>
  <c r="BN53" i="4" s="1"/>
  <c r="BH49" i="4"/>
  <c r="BL49" i="4" s="1"/>
  <c r="BL10" i="4"/>
  <c r="CG20" i="4"/>
  <c r="CI20" i="4" s="1"/>
  <c r="CK20" i="4" s="1"/>
  <c r="CM20" i="4" s="1"/>
  <c r="CE23" i="4"/>
  <c r="CG21" i="4"/>
  <c r="CI21" i="4" s="1"/>
  <c r="CK21" i="4" s="1"/>
  <c r="CM21" i="4" s="1"/>
  <c r="CG18" i="4"/>
  <c r="CI18" i="4" s="1"/>
  <c r="CK18" i="4" s="1"/>
  <c r="CM18" i="4" s="1"/>
  <c r="CG22" i="4"/>
  <c r="CI22" i="4" s="1"/>
  <c r="CK22" i="4" s="1"/>
  <c r="CM22" i="4" s="1"/>
  <c r="CG16" i="4"/>
  <c r="CK16" i="4" s="1"/>
  <c r="CG19" i="4"/>
  <c r="CI19" i="4" s="1"/>
  <c r="CK19" i="4" s="1"/>
  <c r="CM19" i="4" s="1"/>
  <c r="CG17" i="4"/>
  <c r="CI17" i="4" s="1"/>
  <c r="CK17" i="4" s="1"/>
  <c r="CM17" i="4" s="1"/>
  <c r="AY53" i="4"/>
  <c r="AZ53" i="4" s="1"/>
  <c r="BC53" i="4"/>
  <c r="BD53" i="4" s="1"/>
  <c r="AU53" i="4"/>
  <c r="AV53" i="4" s="1"/>
  <c r="AR53" i="4"/>
  <c r="BC27" i="4"/>
  <c r="BD27" i="4" s="1"/>
  <c r="AY27" i="4"/>
  <c r="AZ27" i="4" s="1"/>
  <c r="AU27" i="4"/>
  <c r="AV27" i="4" s="1"/>
  <c r="AR27" i="4"/>
  <c r="AU54" i="4"/>
  <c r="AV54" i="4" s="1"/>
  <c r="BC54" i="4"/>
  <c r="BD54" i="4" s="1"/>
  <c r="AY54" i="4"/>
  <c r="AZ54" i="4" s="1"/>
  <c r="AR54" i="4"/>
  <c r="AM43" i="4"/>
  <c r="CB17" i="4"/>
  <c r="CC17" i="4" s="1"/>
  <c r="BX17" i="4"/>
  <c r="BY17" i="4" s="1"/>
  <c r="BQ17" i="4"/>
  <c r="BT17" i="4"/>
  <c r="BU17" i="4" s="1"/>
  <c r="CB48" i="4"/>
  <c r="CC48" i="4" s="1"/>
  <c r="BJ43" i="4"/>
  <c r="DF11" i="4"/>
  <c r="DH11" i="4" s="1"/>
  <c r="DJ11" i="4" s="1"/>
  <c r="DL11" i="4" s="1"/>
  <c r="DF13" i="4"/>
  <c r="DH13" i="4" s="1"/>
  <c r="DJ13" i="4" s="1"/>
  <c r="DL13" i="4" s="1"/>
  <c r="DD16" i="4"/>
  <c r="DF15" i="4"/>
  <c r="DH15" i="4" s="1"/>
  <c r="DJ15" i="4" s="1"/>
  <c r="DL15" i="4" s="1"/>
  <c r="DF10" i="4"/>
  <c r="DF12" i="4"/>
  <c r="DH12" i="4" s="1"/>
  <c r="DJ12" i="4" s="1"/>
  <c r="DL12" i="4" s="1"/>
  <c r="DF14" i="4"/>
  <c r="DH14" i="4" s="1"/>
  <c r="DJ14" i="4" s="1"/>
  <c r="DL14" i="4" s="1"/>
  <c r="DF9" i="4"/>
  <c r="DJ9" i="4" s="1"/>
  <c r="CS14" i="4"/>
  <c r="CT14" i="4" s="1"/>
  <c r="CW14" i="4"/>
  <c r="CX14" i="4" s="1"/>
  <c r="CP14" i="4"/>
  <c r="DA14" i="4"/>
  <c r="DB14" i="4" s="1"/>
  <c r="AR52" i="4"/>
  <c r="BC52" i="4"/>
  <c r="BD52" i="4" s="1"/>
  <c r="AY52" i="4"/>
  <c r="AZ52" i="4" s="1"/>
  <c r="AU52" i="4"/>
  <c r="AV52" i="4" s="1"/>
  <c r="D47" i="9"/>
  <c r="H41" i="9"/>
  <c r="I41" i="9" s="1"/>
  <c r="I42" i="9" s="1"/>
  <c r="I15" i="9"/>
  <c r="H27" i="10"/>
  <c r="G36" i="10"/>
  <c r="L33" i="10"/>
  <c r="G35" i="10"/>
  <c r="F42" i="10"/>
  <c r="Y37" i="3"/>
  <c r="M44" i="3"/>
  <c r="AC22" i="4"/>
  <c r="AD22" i="4" s="1"/>
  <c r="AE22" i="4" s="1"/>
  <c r="Z22" i="4"/>
  <c r="AA22" i="4" s="1"/>
  <c r="Y31" i="4"/>
  <c r="S28" i="4"/>
  <c r="W28" i="4"/>
  <c r="AA28" i="4"/>
  <c r="AE28" i="4"/>
  <c r="J64" i="4"/>
  <c r="N57" i="4"/>
  <c r="L64" i="4"/>
  <c r="V58" i="4"/>
  <c r="W58" i="4" s="1"/>
  <c r="S58" i="4"/>
  <c r="Z58" i="4"/>
  <c r="AA58" i="4" s="1"/>
  <c r="AD58" i="4"/>
  <c r="AE58" i="4" s="1"/>
  <c r="S29" i="4"/>
  <c r="W29" i="4"/>
  <c r="AA29" i="4"/>
  <c r="S59" i="4"/>
  <c r="Z59" i="4"/>
  <c r="AA59" i="4" s="1"/>
  <c r="V59" i="4"/>
  <c r="W59" i="4" s="1"/>
  <c r="AD59" i="4"/>
  <c r="AE59" i="4" s="1"/>
  <c r="V62" i="4"/>
  <c r="W62" i="4" s="1"/>
  <c r="AD62" i="4"/>
  <c r="AE62" i="4" s="1"/>
  <c r="S62" i="4"/>
  <c r="Z62" i="4"/>
  <c r="AA62" i="4" s="1"/>
  <c r="Z61" i="4"/>
  <c r="AA61" i="4" s="1"/>
  <c r="S61" i="4"/>
  <c r="V61" i="4"/>
  <c r="W61" i="4" s="1"/>
  <c r="AD61" i="4"/>
  <c r="AE61" i="4" s="1"/>
  <c r="S60" i="4"/>
  <c r="Z60" i="4"/>
  <c r="AA60" i="4" s="1"/>
  <c r="AD60" i="4"/>
  <c r="AE60" i="4" s="1"/>
  <c r="V60" i="4"/>
  <c r="W60" i="4" s="1"/>
  <c r="AA10" i="4"/>
  <c r="W10" i="4"/>
  <c r="AD8" i="5"/>
  <c r="AD21" i="5" s="1"/>
  <c r="G40" i="5"/>
  <c r="H37" i="5" s="1"/>
  <c r="AF8" i="5"/>
  <c r="AF21" i="5" s="1"/>
  <c r="G31" i="5"/>
  <c r="AL30" i="6"/>
  <c r="AK22" i="5"/>
  <c r="AP9" i="5" s="1"/>
  <c r="AO22" i="5"/>
  <c r="AP14" i="5"/>
  <c r="J29" i="5" s="1"/>
  <c r="J6" i="10" s="1"/>
  <c r="P34" i="3"/>
  <c r="L58" i="3" l="1"/>
  <c r="P37" i="12"/>
  <c r="L46" i="6"/>
  <c r="M43" i="6"/>
  <c r="HJ52" i="4"/>
  <c r="HJ46" i="4"/>
  <c r="FL54" i="4"/>
  <c r="FL48" i="4"/>
  <c r="FL55" i="4" s="1"/>
  <c r="II46" i="4"/>
  <c r="II52" i="4"/>
  <c r="GK53" i="4"/>
  <c r="GK47" i="4"/>
  <c r="GK21" i="4"/>
  <c r="GK28" i="4" s="1"/>
  <c r="GK15" i="4"/>
  <c r="GK22" i="4" s="1"/>
  <c r="GK29" i="4" s="1"/>
  <c r="II20" i="4"/>
  <c r="II27" i="4" s="1"/>
  <c r="II14" i="4"/>
  <c r="HJ20" i="4"/>
  <c r="HJ27" i="4" s="1"/>
  <c r="HJ14" i="4"/>
  <c r="F54" i="3"/>
  <c r="F55" i="3" s="1"/>
  <c r="F56" i="3" s="1"/>
  <c r="F62" i="3"/>
  <c r="AT21" i="5"/>
  <c r="AU13" i="5"/>
  <c r="O55" i="3"/>
  <c r="O56" i="3" s="1"/>
  <c r="AK30" i="6"/>
  <c r="AE22" i="12"/>
  <c r="AD23" i="12"/>
  <c r="X31" i="12"/>
  <c r="X32" i="12" s="1"/>
  <c r="Y30" i="12"/>
  <c r="R34" i="12"/>
  <c r="R37" i="12" s="1"/>
  <c r="S33" i="12"/>
  <c r="H28" i="5"/>
  <c r="T38" i="12"/>
  <c r="AM16" i="6"/>
  <c r="AM17" i="6" s="1"/>
  <c r="AM30" i="6" s="1"/>
  <c r="AM38" i="6" s="1"/>
  <c r="AM39" i="6" s="1"/>
  <c r="AM42" i="6" s="1"/>
  <c r="AM43" i="6" s="1"/>
  <c r="AM46" i="6" s="1"/>
  <c r="AM51" i="6" s="1"/>
  <c r="AM54" i="6" s="1"/>
  <c r="AN11" i="6"/>
  <c r="AB23" i="12"/>
  <c r="AA30" i="12"/>
  <c r="AG20" i="12"/>
  <c r="U33" i="12"/>
  <c r="V32" i="12"/>
  <c r="AP8" i="6"/>
  <c r="AP11" i="6" s="1"/>
  <c r="AM10" i="3"/>
  <c r="AY13" i="5"/>
  <c r="AZ13" i="5" s="1"/>
  <c r="AJ9" i="12"/>
  <c r="AJ17" i="12" s="1"/>
  <c r="AJ20" i="12" s="1"/>
  <c r="AJ55" i="6"/>
  <c r="AJ56" i="6" s="1"/>
  <c r="AJ57" i="6" s="1"/>
  <c r="AJ58" i="6" s="1"/>
  <c r="AJ59" i="6" s="1"/>
  <c r="AJ60" i="6" s="1"/>
  <c r="AJ61" i="6" s="1"/>
  <c r="AJ62" i="6" s="1"/>
  <c r="AJ63" i="6" s="1"/>
  <c r="AJ64" i="6" s="1"/>
  <c r="AJ65" i="6" s="1"/>
  <c r="AJ66" i="6" s="1"/>
  <c r="AJ67" i="6" s="1"/>
  <c r="AJ68" i="6" s="1"/>
  <c r="AJ69" i="6" s="1"/>
  <c r="AJ70" i="6" s="1"/>
  <c r="AJ71" i="6" s="1"/>
  <c r="AJ72" i="6" s="1"/>
  <c r="AJ73" i="6" s="1"/>
  <c r="AJ77" i="6" s="1"/>
  <c r="AJ78" i="6" s="1"/>
  <c r="AJ85" i="6" s="1"/>
  <c r="AJ87" i="6" s="1"/>
  <c r="AJ90" i="6" s="1"/>
  <c r="AK90" i="6" s="1"/>
  <c r="AK54" i="6"/>
  <c r="O72" i="6"/>
  <c r="O73" i="6" s="1"/>
  <c r="O77" i="6" s="1"/>
  <c r="O78" i="6" s="1"/>
  <c r="P71" i="6"/>
  <c r="R55" i="3"/>
  <c r="R56" i="3" s="1"/>
  <c r="U54" i="3"/>
  <c r="U58" i="3" s="1"/>
  <c r="U62" i="3"/>
  <c r="P38" i="12"/>
  <c r="O39" i="12"/>
  <c r="L38" i="12"/>
  <c r="M37" i="12"/>
  <c r="AI14" i="12"/>
  <c r="D39" i="12"/>
  <c r="D44" i="12"/>
  <c r="N27" i="3"/>
  <c r="P27" i="3" s="1"/>
  <c r="S46" i="6"/>
  <c r="D43" i="3"/>
  <c r="G61" i="6"/>
  <c r="Q60" i="6"/>
  <c r="S60" i="6" s="1"/>
  <c r="AI64" i="4"/>
  <c r="AK64" i="4"/>
  <c r="M22" i="6"/>
  <c r="Q20" i="3"/>
  <c r="S20" i="3" s="1"/>
  <c r="W38" i="6"/>
  <c r="Y38" i="6" s="1"/>
  <c r="X52" i="3"/>
  <c r="X53" i="3" s="1"/>
  <c r="X60" i="3"/>
  <c r="X70" i="3" s="1"/>
  <c r="AG21" i="3"/>
  <c r="AG23" i="3" s="1"/>
  <c r="AD47" i="3"/>
  <c r="AD48" i="3" s="1"/>
  <c r="AD49" i="3" s="1"/>
  <c r="AD46" i="3"/>
  <c r="AG43" i="3"/>
  <c r="AG44" i="3" s="1"/>
  <c r="AG45" i="3" s="1"/>
  <c r="AG42" i="3"/>
  <c r="AG41" i="3"/>
  <c r="AG40" i="3"/>
  <c r="AA66" i="3"/>
  <c r="AA50" i="3"/>
  <c r="AA51" i="3" s="1"/>
  <c r="AJ20" i="3"/>
  <c r="AJ11" i="3"/>
  <c r="AJ34" i="3"/>
  <c r="AJ37" i="3" s="1"/>
  <c r="AJ38" i="3" s="1"/>
  <c r="AJ39" i="3" s="1"/>
  <c r="AD24" i="3"/>
  <c r="AD26" i="3" s="1"/>
  <c r="AD27" i="3"/>
  <c r="W34" i="3"/>
  <c r="AC51" i="6"/>
  <c r="AE51" i="6" s="1"/>
  <c r="J58" i="3"/>
  <c r="J54" i="3"/>
  <c r="CS20" i="4"/>
  <c r="CT20" i="4" s="1"/>
  <c r="CP20" i="4"/>
  <c r="DA20" i="4"/>
  <c r="DB20" i="4" s="1"/>
  <c r="CW20" i="4"/>
  <c r="CX20" i="4" s="1"/>
  <c r="CS47" i="4"/>
  <c r="CT47" i="4" s="1"/>
  <c r="CP47" i="4"/>
  <c r="CW47" i="4"/>
  <c r="CX47" i="4" s="1"/>
  <c r="DA47" i="4"/>
  <c r="DB47" i="4" s="1"/>
  <c r="EE14" i="4"/>
  <c r="EG14" i="4" s="1"/>
  <c r="EI14" i="4" s="1"/>
  <c r="EK14" i="4" s="1"/>
  <c r="EE12" i="4"/>
  <c r="EG12" i="4" s="1"/>
  <c r="EI12" i="4" s="1"/>
  <c r="EK12" i="4" s="1"/>
  <c r="EE11" i="4"/>
  <c r="EG11" i="4" s="1"/>
  <c r="EI11" i="4" s="1"/>
  <c r="EK11" i="4" s="1"/>
  <c r="EE10" i="4"/>
  <c r="EC16" i="4"/>
  <c r="EE13" i="4"/>
  <c r="EG13" i="4" s="1"/>
  <c r="EI13" i="4" s="1"/>
  <c r="EK13" i="4" s="1"/>
  <c r="EE15" i="4"/>
  <c r="EG15" i="4" s="1"/>
  <c r="EI15" i="4" s="1"/>
  <c r="EK15" i="4" s="1"/>
  <c r="EE9" i="4"/>
  <c r="EI9" i="4" s="1"/>
  <c r="DR11" i="4"/>
  <c r="DS11" i="4" s="1"/>
  <c r="DZ11" i="4"/>
  <c r="EA11" i="4" s="1"/>
  <c r="DV11" i="4"/>
  <c r="DW11" i="4" s="1"/>
  <c r="DO11" i="4"/>
  <c r="CS17" i="4"/>
  <c r="CT17" i="4" s="1"/>
  <c r="DA17" i="4"/>
  <c r="DB17" i="4" s="1"/>
  <c r="CP17" i="4"/>
  <c r="CW17" i="4"/>
  <c r="CX17" i="4" s="1"/>
  <c r="CB51" i="4"/>
  <c r="CC51" i="4" s="1"/>
  <c r="BX51" i="4"/>
  <c r="BY51" i="4" s="1"/>
  <c r="BQ51" i="4"/>
  <c r="BT51" i="4"/>
  <c r="BU51" i="4" s="1"/>
  <c r="CW44" i="4"/>
  <c r="CX44" i="4" s="1"/>
  <c r="CS44" i="4"/>
  <c r="CT44" i="4" s="1"/>
  <c r="DA44" i="4"/>
  <c r="DB44" i="4" s="1"/>
  <c r="CP44" i="4"/>
  <c r="CK10" i="4"/>
  <c r="I10" i="7"/>
  <c r="J7" i="7" s="1"/>
  <c r="FB9" i="4"/>
  <c r="CB26" i="4"/>
  <c r="CC26" i="4" s="1"/>
  <c r="BQ26" i="4"/>
  <c r="BX26" i="4"/>
  <c r="BY26" i="4" s="1"/>
  <c r="BT26" i="4"/>
  <c r="BU26" i="4" s="1"/>
  <c r="AO43" i="4"/>
  <c r="AM64" i="4"/>
  <c r="DA19" i="4"/>
  <c r="DB19" i="4" s="1"/>
  <c r="CP19" i="4"/>
  <c r="CW19" i="4"/>
  <c r="CX19" i="4" s="1"/>
  <c r="CS19" i="4"/>
  <c r="CT19" i="4" s="1"/>
  <c r="BN10" i="4"/>
  <c r="BT55" i="4"/>
  <c r="BU55" i="4" s="1"/>
  <c r="CB55" i="4"/>
  <c r="CC55" i="4" s="1"/>
  <c r="BX55" i="4"/>
  <c r="BY55" i="4" s="1"/>
  <c r="BQ55" i="4"/>
  <c r="DD49" i="4"/>
  <c r="DF45" i="4"/>
  <c r="DH45" i="4" s="1"/>
  <c r="DJ45" i="4" s="1"/>
  <c r="DL45" i="4" s="1"/>
  <c r="DF48" i="4"/>
  <c r="DH48" i="4" s="1"/>
  <c r="DJ48" i="4" s="1"/>
  <c r="DL48" i="4" s="1"/>
  <c r="DF43" i="4"/>
  <c r="DF44" i="4"/>
  <c r="DH44" i="4" s="1"/>
  <c r="DJ44" i="4" s="1"/>
  <c r="DL44" i="4" s="1"/>
  <c r="DF42" i="4"/>
  <c r="DJ42" i="4" s="1"/>
  <c r="DF46" i="4"/>
  <c r="DH46" i="4" s="1"/>
  <c r="DJ46" i="4" s="1"/>
  <c r="DL46" i="4" s="1"/>
  <c r="DF47" i="4"/>
  <c r="DH47" i="4" s="1"/>
  <c r="DJ47" i="4" s="1"/>
  <c r="DL47" i="4" s="1"/>
  <c r="CI43" i="4"/>
  <c r="D13" i="10"/>
  <c r="C20" i="10"/>
  <c r="H17" i="12" s="1"/>
  <c r="BC59" i="4"/>
  <c r="BD59" i="4" s="1"/>
  <c r="AY59" i="4"/>
  <c r="AZ59" i="4" s="1"/>
  <c r="AU59" i="4"/>
  <c r="AV59" i="4" s="1"/>
  <c r="AR59" i="4"/>
  <c r="BT28" i="4"/>
  <c r="BU28" i="4" s="1"/>
  <c r="CB28" i="4"/>
  <c r="CC28" i="4" s="1"/>
  <c r="BX28" i="4"/>
  <c r="BY28" i="4" s="1"/>
  <c r="BQ28" i="4"/>
  <c r="DR14" i="4"/>
  <c r="DS14" i="4" s="1"/>
  <c r="DV14" i="4"/>
  <c r="DW14" i="4" s="1"/>
  <c r="DO14" i="4"/>
  <c r="DZ14" i="4"/>
  <c r="EA14" i="4" s="1"/>
  <c r="BL43" i="4"/>
  <c r="H19" i="7"/>
  <c r="I16" i="7" s="1"/>
  <c r="EC42" i="4"/>
  <c r="CS48" i="4"/>
  <c r="CT48" i="4" s="1"/>
  <c r="CP48" i="4"/>
  <c r="CW48" i="4"/>
  <c r="CX48" i="4" s="1"/>
  <c r="DA48" i="4"/>
  <c r="DB48" i="4" s="1"/>
  <c r="AU61" i="4"/>
  <c r="AV61" i="4" s="1"/>
  <c r="BC61" i="4"/>
  <c r="BD61" i="4" s="1"/>
  <c r="AY61" i="4"/>
  <c r="AZ61" i="4" s="1"/>
  <c r="AR61" i="4"/>
  <c r="BJ24" i="4"/>
  <c r="BH31" i="4"/>
  <c r="DZ12" i="4"/>
  <c r="EA12" i="4" s="1"/>
  <c r="DR12" i="4"/>
  <c r="DS12" i="4" s="1"/>
  <c r="DV12" i="4"/>
  <c r="DW12" i="4" s="1"/>
  <c r="DO12" i="4"/>
  <c r="CS22" i="4"/>
  <c r="CT22" i="4" s="1"/>
  <c r="CW22" i="4"/>
  <c r="CX22" i="4" s="1"/>
  <c r="DA22" i="4"/>
  <c r="DB22" i="4" s="1"/>
  <c r="CP22" i="4"/>
  <c r="BX53" i="4"/>
  <c r="BY53" i="4" s="1"/>
  <c r="BT53" i="4"/>
  <c r="BU53" i="4" s="1"/>
  <c r="CB53" i="4"/>
  <c r="CC53" i="4" s="1"/>
  <c r="BQ53" i="4"/>
  <c r="AY10" i="4"/>
  <c r="AU10" i="4"/>
  <c r="AR10" i="4"/>
  <c r="BC10" i="4"/>
  <c r="CS45" i="4"/>
  <c r="CT45" i="4" s="1"/>
  <c r="CP45" i="4"/>
  <c r="CW45" i="4"/>
  <c r="CX45" i="4" s="1"/>
  <c r="DA45" i="4"/>
  <c r="DB45" i="4" s="1"/>
  <c r="F5" i="10"/>
  <c r="T46" i="6"/>
  <c r="E14" i="10"/>
  <c r="AR57" i="4"/>
  <c r="BC57" i="4"/>
  <c r="BD57" i="4" s="1"/>
  <c r="AU57" i="4"/>
  <c r="AV57" i="4" s="1"/>
  <c r="AY57" i="4"/>
  <c r="AZ57" i="4" s="1"/>
  <c r="DR13" i="4"/>
  <c r="DS13" i="4" s="1"/>
  <c r="DO13" i="4"/>
  <c r="DV13" i="4"/>
  <c r="DW13" i="4" s="1"/>
  <c r="DZ13" i="4"/>
  <c r="EA13" i="4" s="1"/>
  <c r="BT50" i="4"/>
  <c r="BU50" i="4" s="1"/>
  <c r="BX50" i="4"/>
  <c r="BY50" i="4" s="1"/>
  <c r="CB50" i="4"/>
  <c r="CC50" i="4" s="1"/>
  <c r="BQ50" i="4"/>
  <c r="DH10" i="4"/>
  <c r="CS18" i="4"/>
  <c r="CT18" i="4" s="1"/>
  <c r="CP18" i="4"/>
  <c r="CW18" i="4"/>
  <c r="CX18" i="4" s="1"/>
  <c r="DA18" i="4"/>
  <c r="DB18" i="4" s="1"/>
  <c r="BX52" i="4"/>
  <c r="BY52" i="4" s="1"/>
  <c r="CB52" i="4"/>
  <c r="CC52" i="4" s="1"/>
  <c r="BQ52" i="4"/>
  <c r="BT52" i="4"/>
  <c r="BU52" i="4" s="1"/>
  <c r="CG53" i="4"/>
  <c r="CI53" i="4" s="1"/>
  <c r="CK53" i="4" s="1"/>
  <c r="CM53" i="4" s="1"/>
  <c r="CG52" i="4"/>
  <c r="CI52" i="4" s="1"/>
  <c r="CK52" i="4" s="1"/>
  <c r="CM52" i="4" s="1"/>
  <c r="CG54" i="4"/>
  <c r="CI54" i="4" s="1"/>
  <c r="CK54" i="4" s="1"/>
  <c r="CM54" i="4" s="1"/>
  <c r="CG49" i="4"/>
  <c r="CK49" i="4" s="1"/>
  <c r="CG55" i="4"/>
  <c r="CI55" i="4" s="1"/>
  <c r="CK55" i="4" s="1"/>
  <c r="CM55" i="4" s="1"/>
  <c r="CG51" i="4"/>
  <c r="CI51" i="4" s="1"/>
  <c r="CK51" i="4" s="1"/>
  <c r="CM51" i="4" s="1"/>
  <c r="CE56" i="4"/>
  <c r="CG50" i="4"/>
  <c r="CI50" i="4" s="1"/>
  <c r="CK50" i="4" s="1"/>
  <c r="CM50" i="4" s="1"/>
  <c r="AY60" i="4"/>
  <c r="AZ60" i="4" s="1"/>
  <c r="AU60" i="4"/>
  <c r="AV60" i="4" s="1"/>
  <c r="BC60" i="4"/>
  <c r="BD60" i="4" s="1"/>
  <c r="Q13" i="6" s="1"/>
  <c r="AR60" i="4"/>
  <c r="BX25" i="4"/>
  <c r="BY25" i="4" s="1"/>
  <c r="BT25" i="4"/>
  <c r="BU25" i="4" s="1"/>
  <c r="BQ25" i="4"/>
  <c r="CB25" i="4"/>
  <c r="CC25" i="4" s="1"/>
  <c r="DR15" i="4"/>
  <c r="DS15" i="4" s="1"/>
  <c r="DO15" i="4"/>
  <c r="DV15" i="4"/>
  <c r="DW15" i="4" s="1"/>
  <c r="DZ15" i="4"/>
  <c r="EA15" i="4" s="1"/>
  <c r="CS21" i="4"/>
  <c r="CT21" i="4" s="1"/>
  <c r="CP21" i="4"/>
  <c r="CW21" i="4"/>
  <c r="CX21" i="4" s="1"/>
  <c r="DA21" i="4"/>
  <c r="DB21" i="4" s="1"/>
  <c r="BH59" i="4"/>
  <c r="BJ59" i="4" s="1"/>
  <c r="BL59" i="4" s="1"/>
  <c r="BN59" i="4" s="1"/>
  <c r="BH61" i="4"/>
  <c r="BJ61" i="4" s="1"/>
  <c r="BL61" i="4" s="1"/>
  <c r="BN61" i="4" s="1"/>
  <c r="BH56" i="4"/>
  <c r="BL56" i="4" s="1"/>
  <c r="BH60" i="4"/>
  <c r="BJ60" i="4" s="1"/>
  <c r="BL60" i="4" s="1"/>
  <c r="BN60" i="4" s="1"/>
  <c r="BH57" i="4"/>
  <c r="BJ57" i="4" s="1"/>
  <c r="BL57" i="4" s="1"/>
  <c r="BN57" i="4" s="1"/>
  <c r="BH62" i="4"/>
  <c r="BJ62" i="4" s="1"/>
  <c r="BL62" i="4" s="1"/>
  <c r="BN62" i="4" s="1"/>
  <c r="BH58" i="4"/>
  <c r="BJ58" i="4" s="1"/>
  <c r="BL58" i="4" s="1"/>
  <c r="BN58" i="4" s="1"/>
  <c r="BF64" i="4"/>
  <c r="CS46" i="4"/>
  <c r="CT46" i="4" s="1"/>
  <c r="CP46" i="4"/>
  <c r="DA46" i="4"/>
  <c r="DB46" i="4" s="1"/>
  <c r="CW46" i="4"/>
  <c r="CX46" i="4" s="1"/>
  <c r="AU58" i="4"/>
  <c r="AV58" i="4" s="1"/>
  <c r="AR58" i="4"/>
  <c r="AY58" i="4"/>
  <c r="AZ58" i="4" s="1"/>
  <c r="BC58" i="4"/>
  <c r="BD58" i="4" s="1"/>
  <c r="CB27" i="4"/>
  <c r="CC27" i="4" s="1"/>
  <c r="BX27" i="4"/>
  <c r="BY27" i="4" s="1"/>
  <c r="BT27" i="4"/>
  <c r="BU27" i="4" s="1"/>
  <c r="BQ27" i="4"/>
  <c r="DF22" i="4"/>
  <c r="DH22" i="4" s="1"/>
  <c r="DJ22" i="4" s="1"/>
  <c r="DL22" i="4" s="1"/>
  <c r="DF18" i="4"/>
  <c r="DH18" i="4" s="1"/>
  <c r="DJ18" i="4" s="1"/>
  <c r="DL18" i="4" s="1"/>
  <c r="DD23" i="4"/>
  <c r="DF19" i="4"/>
  <c r="DH19" i="4" s="1"/>
  <c r="DJ19" i="4" s="1"/>
  <c r="DL19" i="4" s="1"/>
  <c r="DF17" i="4"/>
  <c r="DH17" i="4" s="1"/>
  <c r="DJ17" i="4" s="1"/>
  <c r="DL17" i="4" s="1"/>
  <c r="DF21" i="4"/>
  <c r="DH21" i="4" s="1"/>
  <c r="DJ21" i="4" s="1"/>
  <c r="DL21" i="4" s="1"/>
  <c r="DF16" i="4"/>
  <c r="DJ16" i="4" s="1"/>
  <c r="DF20" i="4"/>
  <c r="DH20" i="4" s="1"/>
  <c r="DJ20" i="4" s="1"/>
  <c r="DL20" i="4" s="1"/>
  <c r="CG23" i="4"/>
  <c r="CK23" i="4" s="1"/>
  <c r="CG29" i="4"/>
  <c r="CI29" i="4" s="1"/>
  <c r="CK29" i="4" s="1"/>
  <c r="CM29" i="4" s="1"/>
  <c r="CG27" i="4"/>
  <c r="CI27" i="4" s="1"/>
  <c r="CK27" i="4" s="1"/>
  <c r="CM27" i="4" s="1"/>
  <c r="CG25" i="4"/>
  <c r="CI25" i="4" s="1"/>
  <c r="CK25" i="4" s="1"/>
  <c r="CM25" i="4" s="1"/>
  <c r="CE31" i="4"/>
  <c r="CG26" i="4"/>
  <c r="CI26" i="4" s="1"/>
  <c r="CK26" i="4" s="1"/>
  <c r="CM26" i="4" s="1"/>
  <c r="CG28" i="4"/>
  <c r="CI28" i="4" s="1"/>
  <c r="CK28" i="4" s="1"/>
  <c r="CM28" i="4" s="1"/>
  <c r="CG24" i="4"/>
  <c r="BX54" i="4"/>
  <c r="BY54" i="4" s="1"/>
  <c r="CB54" i="4"/>
  <c r="CC54" i="4" s="1"/>
  <c r="BT54" i="4"/>
  <c r="BU54" i="4" s="1"/>
  <c r="BQ54" i="4"/>
  <c r="AU62" i="4"/>
  <c r="AV62" i="4" s="1"/>
  <c r="BC62" i="4"/>
  <c r="BD62" i="4" s="1"/>
  <c r="AY62" i="4"/>
  <c r="AZ62" i="4" s="1"/>
  <c r="AR62" i="4"/>
  <c r="CB29" i="4"/>
  <c r="CC29" i="4" s="1"/>
  <c r="BT29" i="4"/>
  <c r="BU29" i="4" s="1"/>
  <c r="BX29" i="4"/>
  <c r="BY29" i="4" s="1"/>
  <c r="BQ29" i="4"/>
  <c r="H47" i="9"/>
  <c r="I47" i="9" s="1"/>
  <c r="I48" i="9" s="1"/>
  <c r="AD31" i="4"/>
  <c r="N39" i="6"/>
  <c r="I17" i="9"/>
  <c r="I20" i="9" s="1"/>
  <c r="N42" i="6"/>
  <c r="P42" i="6" s="1"/>
  <c r="G38" i="10"/>
  <c r="G41" i="10"/>
  <c r="H30" i="10"/>
  <c r="M46" i="3"/>
  <c r="Z31" i="4"/>
  <c r="AE31" i="4"/>
  <c r="W31" i="4"/>
  <c r="W32" i="4" s="1"/>
  <c r="AA31" i="4"/>
  <c r="AA32" i="4" s="1"/>
  <c r="P57" i="4"/>
  <c r="N64" i="4"/>
  <c r="AK8" i="5"/>
  <c r="AK21" i="5" s="1"/>
  <c r="H31" i="5"/>
  <c r="AI8" i="5"/>
  <c r="AI21" i="5" s="1"/>
  <c r="H40" i="5"/>
  <c r="I37" i="5" s="1"/>
  <c r="AO30" i="6"/>
  <c r="AP22" i="5"/>
  <c r="AU9" i="5" s="1"/>
  <c r="AT22" i="5"/>
  <c r="AU14" i="5"/>
  <c r="K29" i="5" s="1"/>
  <c r="K6" i="10" s="1"/>
  <c r="M26" i="3"/>
  <c r="S13" i="6" l="1"/>
  <c r="F58" i="3"/>
  <c r="G58" i="3" s="1"/>
  <c r="L51" i="6"/>
  <c r="M46" i="6"/>
  <c r="AA73" i="3"/>
  <c r="AB66" i="3"/>
  <c r="HJ47" i="4"/>
  <c r="HJ53" i="4"/>
  <c r="GK54" i="4"/>
  <c r="GK48" i="4"/>
  <c r="GK55" i="4" s="1"/>
  <c r="II53" i="4"/>
  <c r="II47" i="4"/>
  <c r="II21" i="4"/>
  <c r="II28" i="4" s="1"/>
  <c r="II15" i="4"/>
  <c r="II22" i="4" s="1"/>
  <c r="II29" i="4" s="1"/>
  <c r="HJ21" i="4"/>
  <c r="HJ28" i="4" s="1"/>
  <c r="HJ15" i="4"/>
  <c r="HJ22" i="4" s="1"/>
  <c r="HJ29" i="4" s="1"/>
  <c r="AY21" i="5"/>
  <c r="AY14" i="5"/>
  <c r="AN30" i="6"/>
  <c r="AJ22" i="12"/>
  <c r="AK20" i="12"/>
  <c r="AA31" i="12"/>
  <c r="AA32" i="12" s="1"/>
  <c r="AB30" i="12"/>
  <c r="R38" i="12"/>
  <c r="S37" i="12"/>
  <c r="AD30" i="12"/>
  <c r="AE23" i="12"/>
  <c r="AP16" i="6"/>
  <c r="AP17" i="6" s="1"/>
  <c r="AQ11" i="6"/>
  <c r="J11" i="6" s="1"/>
  <c r="AM55" i="6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AM72" i="6" s="1"/>
  <c r="AM73" i="6" s="1"/>
  <c r="AM77" i="6" s="1"/>
  <c r="AM78" i="6" s="1"/>
  <c r="AM85" i="6" s="1"/>
  <c r="AM87" i="6" s="1"/>
  <c r="AM90" i="6" s="1"/>
  <c r="AN90" i="6" s="1"/>
  <c r="AN54" i="6"/>
  <c r="J17" i="12"/>
  <c r="H25" i="12"/>
  <c r="T40" i="12"/>
  <c r="X33" i="12"/>
  <c r="Y32" i="12"/>
  <c r="I28" i="5"/>
  <c r="W38" i="12"/>
  <c r="U34" i="12"/>
  <c r="U37" i="12" s="1"/>
  <c r="V33" i="12"/>
  <c r="AG22" i="12"/>
  <c r="AH20" i="12"/>
  <c r="U55" i="3"/>
  <c r="U56" i="3" s="1"/>
  <c r="X54" i="3"/>
  <c r="X58" i="3" s="1"/>
  <c r="X62" i="3"/>
  <c r="K21" i="3"/>
  <c r="M21" i="3" s="1"/>
  <c r="P39" i="6"/>
  <c r="O85" i="6"/>
  <c r="P78" i="6"/>
  <c r="O41" i="12"/>
  <c r="O44" i="12" s="1"/>
  <c r="P39" i="12"/>
  <c r="P40" i="12" s="1"/>
  <c r="L39" i="12"/>
  <c r="M38" i="12"/>
  <c r="E14" i="12"/>
  <c r="E37" i="12"/>
  <c r="D45" i="12"/>
  <c r="J40" i="12"/>
  <c r="Q27" i="3"/>
  <c r="V46" i="6"/>
  <c r="T60" i="6"/>
  <c r="V60" i="6" s="1"/>
  <c r="N43" i="3"/>
  <c r="D44" i="3"/>
  <c r="G62" i="6"/>
  <c r="Q61" i="6"/>
  <c r="S61" i="6" s="1"/>
  <c r="BH64" i="4"/>
  <c r="AM20" i="3"/>
  <c r="AM11" i="3"/>
  <c r="AM12" i="3" s="1"/>
  <c r="AN12" i="3" s="1"/>
  <c r="AM34" i="3"/>
  <c r="AM37" i="3" s="1"/>
  <c r="AM38" i="3" s="1"/>
  <c r="AM39" i="3" s="1"/>
  <c r="AG24" i="3"/>
  <c r="AG26" i="3" s="1"/>
  <c r="AG27" i="3"/>
  <c r="AG46" i="3"/>
  <c r="AG47" i="3"/>
  <c r="AG48" i="3" s="1"/>
  <c r="AG49" i="3" s="1"/>
  <c r="AJ21" i="3"/>
  <c r="AJ23" i="3" s="1"/>
  <c r="AA60" i="3"/>
  <c r="AA70" i="3" s="1"/>
  <c r="AA52" i="3"/>
  <c r="AA53" i="3" s="1"/>
  <c r="Z34" i="3"/>
  <c r="AF51" i="6"/>
  <c r="AH51" i="6" s="1"/>
  <c r="Z38" i="6"/>
  <c r="AB38" i="6" s="1"/>
  <c r="T20" i="3"/>
  <c r="V20" i="3" s="1"/>
  <c r="Q42" i="6"/>
  <c r="S42" i="6" s="1"/>
  <c r="K23" i="3"/>
  <c r="M23" i="3" s="1"/>
  <c r="AJ43" i="3"/>
  <c r="AJ44" i="3" s="1"/>
  <c r="AJ45" i="3" s="1"/>
  <c r="AJ42" i="3"/>
  <c r="AJ41" i="3"/>
  <c r="AJ40" i="3"/>
  <c r="AD66" i="3"/>
  <c r="AD73" i="3" s="1"/>
  <c r="AD50" i="3"/>
  <c r="AD51" i="3" s="1"/>
  <c r="J56" i="3"/>
  <c r="J55" i="3"/>
  <c r="BJ64" i="4"/>
  <c r="DR21" i="4"/>
  <c r="DS21" i="4" s="1"/>
  <c r="DV21" i="4"/>
  <c r="DW21" i="4" s="1"/>
  <c r="DZ21" i="4"/>
  <c r="EA21" i="4" s="1"/>
  <c r="DO21" i="4"/>
  <c r="DR45" i="4"/>
  <c r="DS45" i="4" s="1"/>
  <c r="DO45" i="4"/>
  <c r="DV45" i="4"/>
  <c r="DW45" i="4" s="1"/>
  <c r="DZ45" i="4"/>
  <c r="EA45" i="4" s="1"/>
  <c r="CP25" i="4"/>
  <c r="CS25" i="4"/>
  <c r="CT25" i="4" s="1"/>
  <c r="DA25" i="4"/>
  <c r="DB25" i="4" s="1"/>
  <c r="CW25" i="4"/>
  <c r="CX25" i="4" s="1"/>
  <c r="DZ19" i="4"/>
  <c r="EA19" i="4" s="1"/>
  <c r="DV19" i="4"/>
  <c r="DW19" i="4" s="1"/>
  <c r="DR19" i="4"/>
  <c r="DS19" i="4" s="1"/>
  <c r="DO19" i="4"/>
  <c r="DA52" i="4"/>
  <c r="DB52" i="4" s="1"/>
  <c r="CP52" i="4"/>
  <c r="CW52" i="4"/>
  <c r="CX52" i="4" s="1"/>
  <c r="CS52" i="4"/>
  <c r="CT52" i="4" s="1"/>
  <c r="BN43" i="4"/>
  <c r="BL64" i="4"/>
  <c r="CK43" i="4"/>
  <c r="DF55" i="4"/>
  <c r="DH55" i="4" s="1"/>
  <c r="DJ55" i="4" s="1"/>
  <c r="DL55" i="4" s="1"/>
  <c r="DF51" i="4"/>
  <c r="DH51" i="4" s="1"/>
  <c r="DJ51" i="4" s="1"/>
  <c r="DL51" i="4" s="1"/>
  <c r="DF52" i="4"/>
  <c r="DH52" i="4" s="1"/>
  <c r="DJ52" i="4" s="1"/>
  <c r="DL52" i="4" s="1"/>
  <c r="DF54" i="4"/>
  <c r="DH54" i="4" s="1"/>
  <c r="DJ54" i="4" s="1"/>
  <c r="DL54" i="4" s="1"/>
  <c r="DD56" i="4"/>
  <c r="DF53" i="4"/>
  <c r="DH53" i="4" s="1"/>
  <c r="DJ53" i="4" s="1"/>
  <c r="DL53" i="4" s="1"/>
  <c r="DF50" i="4"/>
  <c r="DH50" i="4" s="1"/>
  <c r="DJ50" i="4" s="1"/>
  <c r="DL50" i="4" s="1"/>
  <c r="DF49" i="4"/>
  <c r="DJ49" i="4" s="1"/>
  <c r="EQ15" i="4"/>
  <c r="ER15" i="4" s="1"/>
  <c r="EU15" i="4"/>
  <c r="EV15" i="4" s="1"/>
  <c r="EY15" i="4"/>
  <c r="EZ15" i="4" s="1"/>
  <c r="EN15" i="4"/>
  <c r="EE47" i="4"/>
  <c r="EG47" i="4" s="1"/>
  <c r="EI47" i="4" s="1"/>
  <c r="EK47" i="4" s="1"/>
  <c r="EC49" i="4"/>
  <c r="EE48" i="4"/>
  <c r="EG48" i="4" s="1"/>
  <c r="EI48" i="4" s="1"/>
  <c r="EK48" i="4" s="1"/>
  <c r="EE45" i="4"/>
  <c r="EG45" i="4" s="1"/>
  <c r="EI45" i="4" s="1"/>
  <c r="EK45" i="4" s="1"/>
  <c r="EE46" i="4"/>
  <c r="EG46" i="4" s="1"/>
  <c r="EI46" i="4" s="1"/>
  <c r="EK46" i="4" s="1"/>
  <c r="EE44" i="4"/>
  <c r="EG44" i="4" s="1"/>
  <c r="EI44" i="4" s="1"/>
  <c r="EK44" i="4" s="1"/>
  <c r="EE43" i="4"/>
  <c r="EE42" i="4"/>
  <c r="EI42" i="4" s="1"/>
  <c r="CS26" i="4"/>
  <c r="CT26" i="4" s="1"/>
  <c r="CP26" i="4"/>
  <c r="DA26" i="4"/>
  <c r="DB26" i="4" s="1"/>
  <c r="CW26" i="4"/>
  <c r="CX26" i="4" s="1"/>
  <c r="DZ17" i="4"/>
  <c r="EA17" i="4" s="1"/>
  <c r="DV17" i="4"/>
  <c r="DW17" i="4" s="1"/>
  <c r="DO17" i="4"/>
  <c r="DR17" i="4"/>
  <c r="DS17" i="4" s="1"/>
  <c r="BQ59" i="4"/>
  <c r="CB59" i="4"/>
  <c r="CC59" i="4" s="1"/>
  <c r="BT59" i="4"/>
  <c r="BU59" i="4" s="1"/>
  <c r="BX59" i="4"/>
  <c r="BY59" i="4" s="1"/>
  <c r="DA54" i="4"/>
  <c r="DB54" i="4" s="1"/>
  <c r="CW54" i="4"/>
  <c r="CX54" i="4" s="1"/>
  <c r="CS54" i="4"/>
  <c r="CT54" i="4" s="1"/>
  <c r="CP54" i="4"/>
  <c r="CW27" i="4"/>
  <c r="CX27" i="4" s="1"/>
  <c r="CS27" i="4"/>
  <c r="CT27" i="4" s="1"/>
  <c r="DA27" i="4"/>
  <c r="DB27" i="4" s="1"/>
  <c r="CP27" i="4"/>
  <c r="DF23" i="4"/>
  <c r="DJ23" i="4" s="1"/>
  <c r="DF29" i="4"/>
  <c r="DH29" i="4" s="1"/>
  <c r="DJ29" i="4" s="1"/>
  <c r="DL29" i="4" s="1"/>
  <c r="DF27" i="4"/>
  <c r="DH27" i="4" s="1"/>
  <c r="DJ27" i="4" s="1"/>
  <c r="DL27" i="4" s="1"/>
  <c r="DF25" i="4"/>
  <c r="DH25" i="4" s="1"/>
  <c r="DJ25" i="4" s="1"/>
  <c r="DL25" i="4" s="1"/>
  <c r="DF24" i="4"/>
  <c r="DD31" i="4"/>
  <c r="DF28" i="4"/>
  <c r="DH28" i="4" s="1"/>
  <c r="DJ28" i="4" s="1"/>
  <c r="DL28" i="4" s="1"/>
  <c r="DF26" i="4"/>
  <c r="DH26" i="4" s="1"/>
  <c r="DJ26" i="4" s="1"/>
  <c r="DL26" i="4" s="1"/>
  <c r="BX58" i="4"/>
  <c r="BY58" i="4" s="1"/>
  <c r="BQ58" i="4"/>
  <c r="CB58" i="4"/>
  <c r="CC58" i="4" s="1"/>
  <c r="BT58" i="4"/>
  <c r="BU58" i="4" s="1"/>
  <c r="CS53" i="4"/>
  <c r="CT53" i="4" s="1"/>
  <c r="CW53" i="4"/>
  <c r="CX53" i="4" s="1"/>
  <c r="DA53" i="4"/>
  <c r="DB53" i="4" s="1"/>
  <c r="CP53" i="4"/>
  <c r="Q26" i="3"/>
  <c r="BD10" i="4"/>
  <c r="BD31" i="4" s="1"/>
  <c r="BC31" i="4"/>
  <c r="DR47" i="4"/>
  <c r="DS47" i="4" s="1"/>
  <c r="DO47" i="4"/>
  <c r="DV47" i="4"/>
  <c r="DW47" i="4" s="1"/>
  <c r="DZ47" i="4"/>
  <c r="EA47" i="4" s="1"/>
  <c r="EQ13" i="4"/>
  <c r="ER13" i="4" s="1"/>
  <c r="EN13" i="4"/>
  <c r="EU13" i="4"/>
  <c r="EV13" i="4" s="1"/>
  <c r="EY13" i="4"/>
  <c r="EZ13" i="4" s="1"/>
  <c r="DZ18" i="4"/>
  <c r="EA18" i="4" s="1"/>
  <c r="DR18" i="4"/>
  <c r="DS18" i="4" s="1"/>
  <c r="DV18" i="4"/>
  <c r="DW18" i="4" s="1"/>
  <c r="DO18" i="4"/>
  <c r="CW28" i="4"/>
  <c r="CX28" i="4" s="1"/>
  <c r="CS28" i="4"/>
  <c r="CT28" i="4" s="1"/>
  <c r="DA28" i="4"/>
  <c r="DB28" i="4" s="1"/>
  <c r="CP28" i="4"/>
  <c r="CW29" i="4"/>
  <c r="CX29" i="4" s="1"/>
  <c r="CS29" i="4"/>
  <c r="CT29" i="4" s="1"/>
  <c r="DA29" i="4"/>
  <c r="DB29" i="4" s="1"/>
  <c r="CP29" i="4"/>
  <c r="BT62" i="4"/>
  <c r="BU62" i="4" s="1"/>
  <c r="CB62" i="4"/>
  <c r="CC62" i="4" s="1"/>
  <c r="BX62" i="4"/>
  <c r="BY62" i="4" s="1"/>
  <c r="BQ62" i="4"/>
  <c r="DA50" i="4"/>
  <c r="DB50" i="4" s="1"/>
  <c r="CW50" i="4"/>
  <c r="CX50" i="4" s="1"/>
  <c r="CS50" i="4"/>
  <c r="CT50" i="4" s="1"/>
  <c r="CP50" i="4"/>
  <c r="DR46" i="4"/>
  <c r="DS46" i="4" s="1"/>
  <c r="DO46" i="4"/>
  <c r="DV46" i="4"/>
  <c r="DW46" i="4" s="1"/>
  <c r="DZ46" i="4"/>
  <c r="EA46" i="4" s="1"/>
  <c r="EE18" i="4"/>
  <c r="EG18" i="4" s="1"/>
  <c r="EI18" i="4" s="1"/>
  <c r="EK18" i="4" s="1"/>
  <c r="EE19" i="4"/>
  <c r="EG19" i="4" s="1"/>
  <c r="EI19" i="4" s="1"/>
  <c r="EK19" i="4" s="1"/>
  <c r="EE17" i="4"/>
  <c r="EG17" i="4" s="1"/>
  <c r="EI17" i="4" s="1"/>
  <c r="EK17" i="4" s="1"/>
  <c r="EE22" i="4"/>
  <c r="EG22" i="4" s="1"/>
  <c r="EI22" i="4" s="1"/>
  <c r="EK22" i="4" s="1"/>
  <c r="EE16" i="4"/>
  <c r="EI16" i="4" s="1"/>
  <c r="EE20" i="4"/>
  <c r="EG20" i="4" s="1"/>
  <c r="EI20" i="4" s="1"/>
  <c r="EK20" i="4" s="1"/>
  <c r="EC23" i="4"/>
  <c r="EE21" i="4"/>
  <c r="EG21" i="4" s="1"/>
  <c r="EI21" i="4" s="1"/>
  <c r="EK21" i="4" s="1"/>
  <c r="DR22" i="4"/>
  <c r="DS22" i="4" s="1"/>
  <c r="DV22" i="4"/>
  <c r="DW22" i="4" s="1"/>
  <c r="DZ22" i="4"/>
  <c r="EA22" i="4" s="1"/>
  <c r="DO22" i="4"/>
  <c r="BT57" i="4"/>
  <c r="BU57" i="4" s="1"/>
  <c r="CB57" i="4"/>
  <c r="CC57" i="4" s="1"/>
  <c r="BQ57" i="4"/>
  <c r="BX57" i="4"/>
  <c r="BY57" i="4" s="1"/>
  <c r="CG59" i="4"/>
  <c r="CI59" i="4" s="1"/>
  <c r="CK59" i="4" s="1"/>
  <c r="CM59" i="4" s="1"/>
  <c r="CE64" i="4"/>
  <c r="CG60" i="4"/>
  <c r="CI60" i="4" s="1"/>
  <c r="CK60" i="4" s="1"/>
  <c r="CM60" i="4" s="1"/>
  <c r="CG57" i="4"/>
  <c r="CI57" i="4" s="1"/>
  <c r="CK57" i="4" s="1"/>
  <c r="CM57" i="4" s="1"/>
  <c r="CG61" i="4"/>
  <c r="CI61" i="4" s="1"/>
  <c r="CK61" i="4" s="1"/>
  <c r="CM61" i="4" s="1"/>
  <c r="CG56" i="4"/>
  <c r="CK56" i="4" s="1"/>
  <c r="CG62" i="4"/>
  <c r="CI62" i="4" s="1"/>
  <c r="CK62" i="4" s="1"/>
  <c r="CM62" i="4" s="1"/>
  <c r="CG58" i="4"/>
  <c r="CI58" i="4" s="1"/>
  <c r="CK58" i="4" s="1"/>
  <c r="CM58" i="4" s="1"/>
  <c r="DJ10" i="4"/>
  <c r="AV10" i="4"/>
  <c r="AV31" i="4" s="1"/>
  <c r="AV32" i="4" s="1"/>
  <c r="AU31" i="4"/>
  <c r="BL24" i="4"/>
  <c r="BJ31" i="4"/>
  <c r="FD9" i="4"/>
  <c r="FH9" i="4" s="1"/>
  <c r="FD11" i="4"/>
  <c r="FF11" i="4" s="1"/>
  <c r="FH11" i="4" s="1"/>
  <c r="FJ11" i="4" s="1"/>
  <c r="FD14" i="4"/>
  <c r="FF14" i="4" s="1"/>
  <c r="FH14" i="4" s="1"/>
  <c r="FJ14" i="4" s="1"/>
  <c r="FD12" i="4"/>
  <c r="FF12" i="4" s="1"/>
  <c r="FH12" i="4" s="1"/>
  <c r="FJ12" i="4" s="1"/>
  <c r="FB16" i="4"/>
  <c r="FD10" i="4"/>
  <c r="FD13" i="4"/>
  <c r="FF13" i="4" s="1"/>
  <c r="FH13" i="4" s="1"/>
  <c r="FJ13" i="4" s="1"/>
  <c r="FD15" i="4"/>
  <c r="FF15" i="4" s="1"/>
  <c r="FH15" i="4" s="1"/>
  <c r="FJ15" i="4" s="1"/>
  <c r="EG10" i="4"/>
  <c r="CI24" i="4"/>
  <c r="CG31" i="4"/>
  <c r="DR20" i="4"/>
  <c r="DS20" i="4" s="1"/>
  <c r="DZ20" i="4"/>
  <c r="EA20" i="4" s="1"/>
  <c r="DV20" i="4"/>
  <c r="DW20" i="4" s="1"/>
  <c r="DO20" i="4"/>
  <c r="BX60" i="4"/>
  <c r="BY60" i="4" s="1"/>
  <c r="CB60" i="4"/>
  <c r="CC60" i="4" s="1"/>
  <c r="T13" i="6" s="1"/>
  <c r="V13" i="6" s="1"/>
  <c r="BT60" i="4"/>
  <c r="BU60" i="4" s="1"/>
  <c r="BQ60" i="4"/>
  <c r="CP51" i="4"/>
  <c r="CS51" i="4"/>
  <c r="CT51" i="4" s="1"/>
  <c r="DA51" i="4"/>
  <c r="DB51" i="4" s="1"/>
  <c r="CW51" i="4"/>
  <c r="CX51" i="4" s="1"/>
  <c r="F8" i="10"/>
  <c r="AZ10" i="4"/>
  <c r="AZ31" i="4" s="1"/>
  <c r="AZ32" i="4" s="1"/>
  <c r="AY31" i="4"/>
  <c r="DR44" i="4"/>
  <c r="DS44" i="4" s="1"/>
  <c r="DO44" i="4"/>
  <c r="DV44" i="4"/>
  <c r="DW44" i="4" s="1"/>
  <c r="DZ44" i="4"/>
  <c r="EA44" i="4" s="1"/>
  <c r="AY43" i="4"/>
  <c r="AU43" i="4"/>
  <c r="BC43" i="4"/>
  <c r="AR43" i="4"/>
  <c r="AR64" i="4" s="1"/>
  <c r="J10" i="7"/>
  <c r="K7" i="7" s="1"/>
  <c r="GA9" i="4"/>
  <c r="EQ11" i="4"/>
  <c r="ER11" i="4" s="1"/>
  <c r="EU11" i="4"/>
  <c r="EV11" i="4" s="1"/>
  <c r="EN11" i="4"/>
  <c r="EY11" i="4"/>
  <c r="EZ11" i="4" s="1"/>
  <c r="DH43" i="4"/>
  <c r="EQ12" i="4"/>
  <c r="ER12" i="4" s="1"/>
  <c r="EY12" i="4"/>
  <c r="EZ12" i="4" s="1"/>
  <c r="EU12" i="4"/>
  <c r="EV12" i="4" s="1"/>
  <c r="EN12" i="4"/>
  <c r="CS55" i="4"/>
  <c r="CT55" i="4" s="1"/>
  <c r="DA55" i="4"/>
  <c r="DB55" i="4" s="1"/>
  <c r="CW55" i="4"/>
  <c r="CX55" i="4" s="1"/>
  <c r="CP55" i="4"/>
  <c r="BX61" i="4"/>
  <c r="BY61" i="4" s="1"/>
  <c r="BT61" i="4"/>
  <c r="BU61" i="4" s="1"/>
  <c r="CB61" i="4"/>
  <c r="CC61" i="4" s="1"/>
  <c r="BQ61" i="4"/>
  <c r="I19" i="7"/>
  <c r="J16" i="7" s="1"/>
  <c r="FB42" i="4"/>
  <c r="D19" i="10"/>
  <c r="D16" i="10"/>
  <c r="DR48" i="4"/>
  <c r="DS48" i="4" s="1"/>
  <c r="DV48" i="4"/>
  <c r="DW48" i="4" s="1"/>
  <c r="DO48" i="4"/>
  <c r="DZ48" i="4"/>
  <c r="EA48" i="4" s="1"/>
  <c r="BX10" i="4"/>
  <c r="CB10" i="4"/>
  <c r="BT10" i="4"/>
  <c r="BQ10" i="4"/>
  <c r="CM10" i="4"/>
  <c r="EQ14" i="4"/>
  <c r="ER14" i="4" s="1"/>
  <c r="EN14" i="4"/>
  <c r="EU14" i="4"/>
  <c r="EV14" i="4" s="1"/>
  <c r="EY14" i="4"/>
  <c r="EZ14" i="4" s="1"/>
  <c r="Q39" i="6"/>
  <c r="N56" i="6"/>
  <c r="N57" i="6"/>
  <c r="N73" i="6"/>
  <c r="N58" i="6"/>
  <c r="N67" i="6"/>
  <c r="P67" i="6" s="1"/>
  <c r="N66" i="6"/>
  <c r="P66" i="6" s="1"/>
  <c r="N59" i="6"/>
  <c r="N43" i="6"/>
  <c r="AE32" i="4"/>
  <c r="AE33" i="4" s="1"/>
  <c r="N16" i="6"/>
  <c r="P16" i="6" s="1"/>
  <c r="I27" i="10"/>
  <c r="H36" i="10"/>
  <c r="H35" i="10"/>
  <c r="G42" i="10"/>
  <c r="AE37" i="3"/>
  <c r="AB37" i="3"/>
  <c r="K10" i="3"/>
  <c r="AA33" i="4"/>
  <c r="Z57" i="4"/>
  <c r="V57" i="4"/>
  <c r="AD57" i="4"/>
  <c r="S57" i="4"/>
  <c r="S64" i="4" s="1"/>
  <c r="AN8" i="5"/>
  <c r="AN21" i="5" s="1"/>
  <c r="I40" i="5"/>
  <c r="J37" i="5" s="1"/>
  <c r="AP8" i="5"/>
  <c r="AP21" i="5" s="1"/>
  <c r="I31" i="5"/>
  <c r="H30" i="6"/>
  <c r="AU22" i="5"/>
  <c r="AZ9" i="5" s="1"/>
  <c r="AZ14" i="5"/>
  <c r="L29" i="5" s="1"/>
  <c r="AY22" i="5"/>
  <c r="M66" i="3"/>
  <c r="L54" i="6" l="1"/>
  <c r="M51" i="6"/>
  <c r="II48" i="4"/>
  <c r="II55" i="4" s="1"/>
  <c r="II54" i="4"/>
  <c r="HJ54" i="4"/>
  <c r="HJ48" i="4"/>
  <c r="HJ55" i="4" s="1"/>
  <c r="X55" i="3"/>
  <c r="X56" i="3" s="1"/>
  <c r="F20" i="12"/>
  <c r="R39" i="12"/>
  <c r="S38" i="12"/>
  <c r="AG23" i="12"/>
  <c r="AH22" i="12"/>
  <c r="Y33" i="12"/>
  <c r="X34" i="12"/>
  <c r="X37" i="12" s="1"/>
  <c r="AP30" i="6"/>
  <c r="AP20" i="6"/>
  <c r="AQ20" i="6" s="1"/>
  <c r="U38" i="12"/>
  <c r="V37" i="12"/>
  <c r="AE30" i="12"/>
  <c r="AD31" i="12"/>
  <c r="AD32" i="12" s="1"/>
  <c r="AJ23" i="12"/>
  <c r="AK22" i="12"/>
  <c r="W40" i="12"/>
  <c r="J25" i="12"/>
  <c r="AA33" i="12"/>
  <c r="AB32" i="12"/>
  <c r="J28" i="5"/>
  <c r="Z38" i="12"/>
  <c r="O87" i="6"/>
  <c r="O90" i="6" s="1"/>
  <c r="P90" i="6" s="1"/>
  <c r="P85" i="6"/>
  <c r="K56" i="3"/>
  <c r="P73" i="6"/>
  <c r="K41" i="3"/>
  <c r="M41" i="3" s="1"/>
  <c r="P58" i="6"/>
  <c r="K40" i="3"/>
  <c r="M40" i="3" s="1"/>
  <c r="P57" i="6"/>
  <c r="AA54" i="3"/>
  <c r="AA58" i="3" s="1"/>
  <c r="AA62" i="3"/>
  <c r="K39" i="3"/>
  <c r="P56" i="6"/>
  <c r="K24" i="3"/>
  <c r="P43" i="6"/>
  <c r="K42" i="3"/>
  <c r="M42" i="3" s="1"/>
  <c r="P59" i="6"/>
  <c r="O45" i="12"/>
  <c r="P44" i="12"/>
  <c r="L41" i="12"/>
  <c r="L44" i="12" s="1"/>
  <c r="M39" i="12"/>
  <c r="M40" i="12" s="1"/>
  <c r="F14" i="12"/>
  <c r="D46" i="12"/>
  <c r="N21" i="3"/>
  <c r="P21" i="3" s="1"/>
  <c r="S39" i="6"/>
  <c r="N44" i="3"/>
  <c r="T61" i="6"/>
  <c r="V61" i="6" s="1"/>
  <c r="G63" i="6"/>
  <c r="D45" i="3"/>
  <c r="W60" i="6"/>
  <c r="Y60" i="6" s="1"/>
  <c r="Q43" i="3"/>
  <c r="AC34" i="3"/>
  <c r="AI51" i="6"/>
  <c r="AK51" i="6" s="1"/>
  <c r="AM21" i="3"/>
  <c r="AM23" i="3" s="1"/>
  <c r="AG66" i="3"/>
  <c r="AG73" i="3" s="1"/>
  <c r="AG50" i="3"/>
  <c r="AG51" i="3" s="1"/>
  <c r="K49" i="3"/>
  <c r="AJ47" i="3"/>
  <c r="AJ48" i="3" s="1"/>
  <c r="AJ49" i="3" s="1"/>
  <c r="AJ46" i="3"/>
  <c r="N23" i="3"/>
  <c r="P23" i="3" s="1"/>
  <c r="T42" i="6"/>
  <c r="V42" i="6" s="1"/>
  <c r="K50" i="3"/>
  <c r="AJ27" i="3"/>
  <c r="AJ24" i="3"/>
  <c r="AJ26" i="3" s="1"/>
  <c r="AD60" i="3"/>
  <c r="AD70" i="3" s="1"/>
  <c r="AD52" i="3"/>
  <c r="AD53" i="3" s="1"/>
  <c r="W20" i="3"/>
  <c r="Y20" i="3" s="1"/>
  <c r="AC38" i="6"/>
  <c r="AE38" i="6" s="1"/>
  <c r="AM41" i="3"/>
  <c r="AM43" i="3"/>
  <c r="AM44" i="3" s="1"/>
  <c r="AM45" i="3" s="1"/>
  <c r="AM42" i="3"/>
  <c r="AM40" i="3"/>
  <c r="P58" i="3"/>
  <c r="CG64" i="4"/>
  <c r="AZ33" i="4"/>
  <c r="J19" i="7"/>
  <c r="K16" i="7" s="1"/>
  <c r="GA42" i="4"/>
  <c r="EQ47" i="4"/>
  <c r="ER47" i="4" s="1"/>
  <c r="EU47" i="4"/>
  <c r="EV47" i="4" s="1"/>
  <c r="EY47" i="4"/>
  <c r="EZ47" i="4" s="1"/>
  <c r="EN47" i="4"/>
  <c r="AV43" i="4"/>
  <c r="AV64" i="4" s="1"/>
  <c r="AV65" i="4" s="1"/>
  <c r="AU64" i="4"/>
  <c r="FP14" i="4"/>
  <c r="FQ14" i="4" s="1"/>
  <c r="FT14" i="4"/>
  <c r="FU14" i="4" s="1"/>
  <c r="FM14" i="4"/>
  <c r="FX14" i="4"/>
  <c r="FY14" i="4" s="1"/>
  <c r="EN17" i="4"/>
  <c r="EQ17" i="4"/>
  <c r="ER17" i="4" s="1"/>
  <c r="EY17" i="4"/>
  <c r="EZ17" i="4" s="1"/>
  <c r="EU17" i="4"/>
  <c r="EV17" i="4" s="1"/>
  <c r="S26" i="3"/>
  <c r="DR29" i="4"/>
  <c r="DS29" i="4" s="1"/>
  <c r="DZ29" i="4"/>
  <c r="EA29" i="4" s="1"/>
  <c r="DV29" i="4"/>
  <c r="DW29" i="4" s="1"/>
  <c r="DO29" i="4"/>
  <c r="DZ54" i="4"/>
  <c r="EA54" i="4" s="1"/>
  <c r="DR54" i="4"/>
  <c r="DS54" i="4" s="1"/>
  <c r="DV54" i="4"/>
  <c r="DW54" i="4" s="1"/>
  <c r="DO54" i="4"/>
  <c r="CK24" i="4"/>
  <c r="CI31" i="4"/>
  <c r="CW60" i="4"/>
  <c r="CX60" i="4" s="1"/>
  <c r="DA60" i="4"/>
  <c r="DB60" i="4" s="1"/>
  <c r="W13" i="6" s="1"/>
  <c r="Y13" i="6" s="1"/>
  <c r="CS60" i="4"/>
  <c r="CT60" i="4" s="1"/>
  <c r="CP60" i="4"/>
  <c r="BD32" i="4"/>
  <c r="BD33" i="4" s="1"/>
  <c r="Q16" i="6"/>
  <c r="S16" i="6" s="1"/>
  <c r="BT43" i="4"/>
  <c r="BQ43" i="4"/>
  <c r="BQ64" i="4" s="1"/>
  <c r="CB43" i="4"/>
  <c r="BX43" i="4"/>
  <c r="M29" i="5"/>
  <c r="L6" i="10"/>
  <c r="M6" i="10" s="1"/>
  <c r="AZ43" i="4"/>
  <c r="AZ64" i="4" s="1"/>
  <c r="AZ65" i="4" s="1"/>
  <c r="AY64" i="4"/>
  <c r="W46" i="6"/>
  <c r="G5" i="10"/>
  <c r="F14" i="10"/>
  <c r="T26" i="3" s="1"/>
  <c r="V26" i="3" s="1"/>
  <c r="FM11" i="4"/>
  <c r="FT11" i="4"/>
  <c r="FU11" i="4" s="1"/>
  <c r="FX11" i="4"/>
  <c r="FY11" i="4" s="1"/>
  <c r="FP11" i="4"/>
  <c r="FQ11" i="4" s="1"/>
  <c r="DL10" i="4"/>
  <c r="DA59" i="4"/>
  <c r="DB59" i="4" s="1"/>
  <c r="CW59" i="4"/>
  <c r="CX59" i="4" s="1"/>
  <c r="CS59" i="4"/>
  <c r="CT59" i="4" s="1"/>
  <c r="CP59" i="4"/>
  <c r="EU19" i="4"/>
  <c r="EV19" i="4" s="1"/>
  <c r="EN19" i="4"/>
  <c r="EQ19" i="4"/>
  <c r="ER19" i="4" s="1"/>
  <c r="EY19" i="4"/>
  <c r="EZ19" i="4" s="1"/>
  <c r="EG43" i="4"/>
  <c r="DZ52" i="4"/>
  <c r="EA52" i="4" s="1"/>
  <c r="DV52" i="4"/>
  <c r="DW52" i="4" s="1"/>
  <c r="DR52" i="4"/>
  <c r="DS52" i="4" s="1"/>
  <c r="DO52" i="4"/>
  <c r="BY10" i="4"/>
  <c r="BC64" i="4"/>
  <c r="BD43" i="4"/>
  <c r="BD64" i="4" s="1"/>
  <c r="FT12" i="4"/>
  <c r="FU12" i="4" s="1"/>
  <c r="FP12" i="4"/>
  <c r="FQ12" i="4" s="1"/>
  <c r="FX12" i="4"/>
  <c r="FY12" i="4" s="1"/>
  <c r="FM12" i="4"/>
  <c r="EQ22" i="4"/>
  <c r="ER22" i="4" s="1"/>
  <c r="EU22" i="4"/>
  <c r="EV22" i="4" s="1"/>
  <c r="EY22" i="4"/>
  <c r="EZ22" i="4" s="1"/>
  <c r="EN22" i="4"/>
  <c r="DZ27" i="4"/>
  <c r="EA27" i="4" s="1"/>
  <c r="DR27" i="4"/>
  <c r="DS27" i="4" s="1"/>
  <c r="DV27" i="4"/>
  <c r="DW27" i="4" s="1"/>
  <c r="DO27" i="4"/>
  <c r="DF61" i="4"/>
  <c r="DH61" i="4" s="1"/>
  <c r="DJ61" i="4" s="1"/>
  <c r="DL61" i="4" s="1"/>
  <c r="DF60" i="4"/>
  <c r="DH60" i="4" s="1"/>
  <c r="DJ60" i="4" s="1"/>
  <c r="DL60" i="4" s="1"/>
  <c r="DF57" i="4"/>
  <c r="DF56" i="4"/>
  <c r="DJ56" i="4" s="1"/>
  <c r="DF58" i="4"/>
  <c r="DH58" i="4" s="1"/>
  <c r="DJ58" i="4" s="1"/>
  <c r="DL58" i="4" s="1"/>
  <c r="DF59" i="4"/>
  <c r="DH59" i="4" s="1"/>
  <c r="DJ59" i="4" s="1"/>
  <c r="DL59" i="4" s="1"/>
  <c r="DF62" i="4"/>
  <c r="DH62" i="4" s="1"/>
  <c r="DJ62" i="4" s="1"/>
  <c r="DL62" i="4" s="1"/>
  <c r="DD64" i="4"/>
  <c r="EI10" i="4"/>
  <c r="CS58" i="4"/>
  <c r="CT58" i="4" s="1"/>
  <c r="DA58" i="4"/>
  <c r="DB58" i="4" s="1"/>
  <c r="CW58" i="4"/>
  <c r="CX58" i="4" s="1"/>
  <c r="CP58" i="4"/>
  <c r="EU18" i="4"/>
  <c r="EV18" i="4" s="1"/>
  <c r="EY18" i="4"/>
  <c r="EZ18" i="4" s="1"/>
  <c r="EN18" i="4"/>
  <c r="EQ18" i="4"/>
  <c r="ER18" i="4" s="1"/>
  <c r="DR26" i="4"/>
  <c r="DS26" i="4" s="1"/>
  <c r="DV26" i="4"/>
  <c r="DW26" i="4" s="1"/>
  <c r="DZ26" i="4"/>
  <c r="EA26" i="4" s="1"/>
  <c r="DO26" i="4"/>
  <c r="EN44" i="4"/>
  <c r="EU44" i="4"/>
  <c r="EV44" i="4" s="1"/>
  <c r="EQ44" i="4"/>
  <c r="ER44" i="4" s="1"/>
  <c r="EY44" i="4"/>
  <c r="EZ44" i="4" s="1"/>
  <c r="DO51" i="4"/>
  <c r="DZ51" i="4"/>
  <c r="EA51" i="4" s="1"/>
  <c r="DV51" i="4"/>
  <c r="DW51" i="4" s="1"/>
  <c r="DR51" i="4"/>
  <c r="DS51" i="4" s="1"/>
  <c r="CS10" i="4"/>
  <c r="CW10" i="4"/>
  <c r="DA10" i="4"/>
  <c r="CP10" i="4"/>
  <c r="FP15" i="4"/>
  <c r="FQ15" i="4" s="1"/>
  <c r="FT15" i="4"/>
  <c r="FU15" i="4" s="1"/>
  <c r="FX15" i="4"/>
  <c r="FY15" i="4" s="1"/>
  <c r="FM15" i="4"/>
  <c r="CS62" i="4"/>
  <c r="CT62" i="4" s="1"/>
  <c r="DA62" i="4"/>
  <c r="DB62" i="4" s="1"/>
  <c r="CW62" i="4"/>
  <c r="CX62" i="4" s="1"/>
  <c r="CP62" i="4"/>
  <c r="EQ21" i="4"/>
  <c r="ER21" i="4" s="1"/>
  <c r="EN21" i="4"/>
  <c r="EU21" i="4"/>
  <c r="EV21" i="4" s="1"/>
  <c r="EY21" i="4"/>
  <c r="EZ21" i="4" s="1"/>
  <c r="DR28" i="4"/>
  <c r="DS28" i="4" s="1"/>
  <c r="DZ28" i="4"/>
  <c r="EA28" i="4" s="1"/>
  <c r="DV28" i="4"/>
  <c r="DW28" i="4" s="1"/>
  <c r="DO28" i="4"/>
  <c r="EQ46" i="4"/>
  <c r="ER46" i="4" s="1"/>
  <c r="EY46" i="4"/>
  <c r="EZ46" i="4" s="1"/>
  <c r="EU46" i="4"/>
  <c r="EV46" i="4" s="1"/>
  <c r="EN46" i="4"/>
  <c r="DZ55" i="4"/>
  <c r="EA55" i="4" s="1"/>
  <c r="DV55" i="4"/>
  <c r="DW55" i="4" s="1"/>
  <c r="DR55" i="4"/>
  <c r="DS55" i="4" s="1"/>
  <c r="DO55" i="4"/>
  <c r="E13" i="10"/>
  <c r="D20" i="10"/>
  <c r="K17" i="12" s="1"/>
  <c r="GC13" i="4"/>
  <c r="GE13" i="4" s="1"/>
  <c r="GG13" i="4" s="1"/>
  <c r="GI13" i="4" s="1"/>
  <c r="GC12" i="4"/>
  <c r="GE12" i="4" s="1"/>
  <c r="GG12" i="4" s="1"/>
  <c r="GI12" i="4" s="1"/>
  <c r="GC9" i="4"/>
  <c r="GG9" i="4" s="1"/>
  <c r="GC11" i="4"/>
  <c r="GE11" i="4" s="1"/>
  <c r="GG11" i="4" s="1"/>
  <c r="GI11" i="4" s="1"/>
  <c r="GC10" i="4"/>
  <c r="GA16" i="4"/>
  <c r="GC14" i="4"/>
  <c r="GE14" i="4" s="1"/>
  <c r="GG14" i="4" s="1"/>
  <c r="GI14" i="4" s="1"/>
  <c r="GC15" i="4"/>
  <c r="GE15" i="4" s="1"/>
  <c r="GG15" i="4" s="1"/>
  <c r="GI15" i="4" s="1"/>
  <c r="FX13" i="4"/>
  <c r="FY13" i="4" s="1"/>
  <c r="FP13" i="4"/>
  <c r="FQ13" i="4" s="1"/>
  <c r="FT13" i="4"/>
  <c r="FU13" i="4" s="1"/>
  <c r="FM13" i="4"/>
  <c r="BN24" i="4"/>
  <c r="BL31" i="4"/>
  <c r="EE23" i="4"/>
  <c r="EI23" i="4" s="1"/>
  <c r="EE29" i="4"/>
  <c r="EG29" i="4" s="1"/>
  <c r="EI29" i="4" s="1"/>
  <c r="EK29" i="4" s="1"/>
  <c r="EE27" i="4"/>
  <c r="EG27" i="4" s="1"/>
  <c r="EI27" i="4" s="1"/>
  <c r="EK27" i="4" s="1"/>
  <c r="EE25" i="4"/>
  <c r="EG25" i="4" s="1"/>
  <c r="EI25" i="4" s="1"/>
  <c r="EK25" i="4" s="1"/>
  <c r="EE24" i="4"/>
  <c r="EC31" i="4"/>
  <c r="EE28" i="4"/>
  <c r="EG28" i="4" s="1"/>
  <c r="EI28" i="4" s="1"/>
  <c r="EK28" i="4" s="1"/>
  <c r="EE26" i="4"/>
  <c r="EG26" i="4" s="1"/>
  <c r="EI26" i="4" s="1"/>
  <c r="EK26" i="4" s="1"/>
  <c r="EY45" i="4"/>
  <c r="EZ45" i="4" s="1"/>
  <c r="EU45" i="4"/>
  <c r="EV45" i="4" s="1"/>
  <c r="EQ45" i="4"/>
  <c r="ER45" i="4" s="1"/>
  <c r="EN45" i="4"/>
  <c r="CI64" i="4"/>
  <c r="BU10" i="4"/>
  <c r="K10" i="7"/>
  <c r="L7" i="7" s="1"/>
  <c r="GZ9" i="4"/>
  <c r="FF10" i="4"/>
  <c r="DA61" i="4"/>
  <c r="DB61" i="4" s="1"/>
  <c r="CS61" i="4"/>
  <c r="CT61" i="4" s="1"/>
  <c r="CW61" i="4"/>
  <c r="CX61" i="4" s="1"/>
  <c r="CP61" i="4"/>
  <c r="EU20" i="4"/>
  <c r="EV20" i="4" s="1"/>
  <c r="EQ20" i="4"/>
  <c r="ER20" i="4" s="1"/>
  <c r="EY20" i="4"/>
  <c r="EZ20" i="4" s="1"/>
  <c r="EN20" i="4"/>
  <c r="DH24" i="4"/>
  <c r="DF31" i="4"/>
  <c r="EU48" i="4"/>
  <c r="EV48" i="4" s="1"/>
  <c r="EQ48" i="4"/>
  <c r="ER48" i="4" s="1"/>
  <c r="EY48" i="4"/>
  <c r="EZ48" i="4" s="1"/>
  <c r="EN48" i="4"/>
  <c r="DZ50" i="4"/>
  <c r="EA50" i="4" s="1"/>
  <c r="DR50" i="4"/>
  <c r="DS50" i="4" s="1"/>
  <c r="DO50" i="4"/>
  <c r="DV50" i="4"/>
  <c r="DW50" i="4" s="1"/>
  <c r="CM43" i="4"/>
  <c r="CK64" i="4"/>
  <c r="CC10" i="4"/>
  <c r="FD48" i="4"/>
  <c r="FF48" i="4" s="1"/>
  <c r="FH48" i="4" s="1"/>
  <c r="FJ48" i="4" s="1"/>
  <c r="FD46" i="4"/>
  <c r="FF46" i="4" s="1"/>
  <c r="FH46" i="4" s="1"/>
  <c r="FJ46" i="4" s="1"/>
  <c r="FD44" i="4"/>
  <c r="FF44" i="4" s="1"/>
  <c r="FH44" i="4" s="1"/>
  <c r="FJ44" i="4" s="1"/>
  <c r="FD43" i="4"/>
  <c r="FB49" i="4"/>
  <c r="FD42" i="4"/>
  <c r="FH42" i="4" s="1"/>
  <c r="FD47" i="4"/>
  <c r="FF47" i="4" s="1"/>
  <c r="FH47" i="4" s="1"/>
  <c r="FJ47" i="4" s="1"/>
  <c r="FD45" i="4"/>
  <c r="FF45" i="4" s="1"/>
  <c r="FH45" i="4" s="1"/>
  <c r="FJ45" i="4" s="1"/>
  <c r="DJ43" i="4"/>
  <c r="FB23" i="4"/>
  <c r="FD18" i="4"/>
  <c r="FF18" i="4" s="1"/>
  <c r="FH18" i="4" s="1"/>
  <c r="FJ18" i="4" s="1"/>
  <c r="FD21" i="4"/>
  <c r="FF21" i="4" s="1"/>
  <c r="FH21" i="4" s="1"/>
  <c r="FJ21" i="4" s="1"/>
  <c r="FD19" i="4"/>
  <c r="FF19" i="4" s="1"/>
  <c r="FH19" i="4" s="1"/>
  <c r="FJ19" i="4" s="1"/>
  <c r="FD17" i="4"/>
  <c r="FF17" i="4" s="1"/>
  <c r="FH17" i="4" s="1"/>
  <c r="FJ17" i="4" s="1"/>
  <c r="FD20" i="4"/>
  <c r="FF20" i="4" s="1"/>
  <c r="FH20" i="4" s="1"/>
  <c r="FJ20" i="4" s="1"/>
  <c r="FD22" i="4"/>
  <c r="FF22" i="4" s="1"/>
  <c r="FH22" i="4" s="1"/>
  <c r="FJ22" i="4" s="1"/>
  <c r="FD16" i="4"/>
  <c r="FH16" i="4" s="1"/>
  <c r="CP57" i="4"/>
  <c r="DA57" i="4"/>
  <c r="DB57" i="4" s="1"/>
  <c r="CS57" i="4"/>
  <c r="CT57" i="4" s="1"/>
  <c r="CW57" i="4"/>
  <c r="CX57" i="4" s="1"/>
  <c r="DZ25" i="4"/>
  <c r="EA25" i="4" s="1"/>
  <c r="DO25" i="4"/>
  <c r="DV25" i="4"/>
  <c r="DW25" i="4" s="1"/>
  <c r="DR25" i="4"/>
  <c r="DS25" i="4" s="1"/>
  <c r="EE53" i="4"/>
  <c r="EG53" i="4" s="1"/>
  <c r="EI53" i="4" s="1"/>
  <c r="EK53" i="4" s="1"/>
  <c r="EE52" i="4"/>
  <c r="EG52" i="4" s="1"/>
  <c r="EI52" i="4" s="1"/>
  <c r="EK52" i="4" s="1"/>
  <c r="EE50" i="4"/>
  <c r="EG50" i="4" s="1"/>
  <c r="EI50" i="4" s="1"/>
  <c r="EK50" i="4" s="1"/>
  <c r="EE49" i="4"/>
  <c r="EI49" i="4" s="1"/>
  <c r="EE55" i="4"/>
  <c r="EG55" i="4" s="1"/>
  <c r="EI55" i="4" s="1"/>
  <c r="EK55" i="4" s="1"/>
  <c r="EC56" i="4"/>
  <c r="EE51" i="4"/>
  <c r="EG51" i="4" s="1"/>
  <c r="EI51" i="4" s="1"/>
  <c r="EK51" i="4" s="1"/>
  <c r="EE54" i="4"/>
  <c r="EG54" i="4" s="1"/>
  <c r="EI54" i="4" s="1"/>
  <c r="EK54" i="4" s="1"/>
  <c r="DZ53" i="4"/>
  <c r="EA53" i="4" s="1"/>
  <c r="DR53" i="4"/>
  <c r="DS53" i="4" s="1"/>
  <c r="DV53" i="4"/>
  <c r="DW53" i="4" s="1"/>
  <c r="DO53" i="4"/>
  <c r="T39" i="6"/>
  <c r="Q73" i="6"/>
  <c r="Q59" i="6"/>
  <c r="Q56" i="6"/>
  <c r="Q58" i="6"/>
  <c r="Q57" i="6"/>
  <c r="N62" i="6"/>
  <c r="Q43" i="6"/>
  <c r="S43" i="6" s="1"/>
  <c r="H38" i="10"/>
  <c r="H41" i="10"/>
  <c r="I30" i="10"/>
  <c r="AH37" i="3"/>
  <c r="M10" i="3"/>
  <c r="AA57" i="4"/>
  <c r="AA64" i="4" s="1"/>
  <c r="AA65" i="4" s="1"/>
  <c r="Z64" i="4"/>
  <c r="AE57" i="4"/>
  <c r="AE64" i="4" s="1"/>
  <c r="N17" i="6" s="1"/>
  <c r="AD64" i="4"/>
  <c r="W57" i="4"/>
  <c r="W64" i="4" s="1"/>
  <c r="W65" i="4" s="1"/>
  <c r="V64" i="4"/>
  <c r="AU8" i="5"/>
  <c r="AU21" i="5" s="1"/>
  <c r="J31" i="5"/>
  <c r="AS8" i="5"/>
  <c r="AS21" i="5" s="1"/>
  <c r="J40" i="5"/>
  <c r="K37" i="5" s="1"/>
  <c r="AZ22" i="5"/>
  <c r="S34" i="3"/>
  <c r="J34" i="3"/>
  <c r="L55" i="6" l="1"/>
  <c r="M54" i="6"/>
  <c r="AZ66" i="4"/>
  <c r="AA55" i="3"/>
  <c r="AA56" i="3" s="1"/>
  <c r="F22" i="12"/>
  <c r="V38" i="12"/>
  <c r="U39" i="12"/>
  <c r="AH23" i="12"/>
  <c r="AG30" i="12"/>
  <c r="Z40" i="12"/>
  <c r="R41" i="12"/>
  <c r="R44" i="12" s="1"/>
  <c r="S39" i="12"/>
  <c r="S40" i="12" s="1"/>
  <c r="AJ30" i="12"/>
  <c r="AK23" i="12"/>
  <c r="AP38" i="6"/>
  <c r="AP39" i="6" s="1"/>
  <c r="AP42" i="6" s="1"/>
  <c r="AP43" i="6" s="1"/>
  <c r="AP46" i="6" s="1"/>
  <c r="AP51" i="6" s="1"/>
  <c r="AP54" i="6" s="1"/>
  <c r="AQ30" i="6"/>
  <c r="J30" i="6" s="1"/>
  <c r="K25" i="12"/>
  <c r="M17" i="12"/>
  <c r="AD33" i="12"/>
  <c r="AE32" i="12"/>
  <c r="Y37" i="12"/>
  <c r="X38" i="12"/>
  <c r="K28" i="5"/>
  <c r="AC38" i="12"/>
  <c r="AB33" i="12"/>
  <c r="AA34" i="12"/>
  <c r="AA37" i="12" s="1"/>
  <c r="K45" i="3"/>
  <c r="M45" i="3" s="1"/>
  <c r="P62" i="6"/>
  <c r="AD54" i="3"/>
  <c r="AD58" i="3" s="1"/>
  <c r="AD62" i="3"/>
  <c r="N22" i="6"/>
  <c r="N72" i="6" s="1"/>
  <c r="P17" i="6"/>
  <c r="O46" i="12"/>
  <c r="P45" i="12"/>
  <c r="L45" i="12"/>
  <c r="M44" i="12"/>
  <c r="T27" i="3"/>
  <c r="V27" i="3" s="1"/>
  <c r="Y46" i="6"/>
  <c r="N41" i="3"/>
  <c r="P41" i="3" s="1"/>
  <c r="S58" i="6"/>
  <c r="N42" i="3"/>
  <c r="P42" i="3" s="1"/>
  <c r="S59" i="6"/>
  <c r="N56" i="3"/>
  <c r="P56" i="3" s="1"/>
  <c r="S73" i="6"/>
  <c r="Q21" i="3"/>
  <c r="S21" i="3" s="1"/>
  <c r="V39" i="6"/>
  <c r="N39" i="3"/>
  <c r="P39" i="3" s="1"/>
  <c r="S56" i="6"/>
  <c r="N40" i="3"/>
  <c r="P40" i="3" s="1"/>
  <c r="S57" i="6"/>
  <c r="Z60" i="6"/>
  <c r="AB60" i="6" s="1"/>
  <c r="T43" i="3"/>
  <c r="D46" i="3"/>
  <c r="G64" i="6"/>
  <c r="Q63" i="6"/>
  <c r="S63" i="6" s="1"/>
  <c r="W61" i="6"/>
  <c r="Y61" i="6" s="1"/>
  <c r="Q44" i="3"/>
  <c r="AM24" i="3"/>
  <c r="AM26" i="3" s="1"/>
  <c r="AM27" i="3"/>
  <c r="N10" i="3"/>
  <c r="P10" i="3" s="1"/>
  <c r="AM46" i="3"/>
  <c r="AM47" i="3"/>
  <c r="AM48" i="3" s="1"/>
  <c r="AM49" i="3" s="1"/>
  <c r="N24" i="3"/>
  <c r="Z20" i="3"/>
  <c r="AB20" i="3" s="1"/>
  <c r="AF38" i="6"/>
  <c r="AH38" i="6" s="1"/>
  <c r="Q23" i="3"/>
  <c r="S23" i="3" s="1"/>
  <c r="W42" i="6"/>
  <c r="Y42" i="6" s="1"/>
  <c r="AG52" i="3"/>
  <c r="AG53" i="3" s="1"/>
  <c r="AG60" i="3"/>
  <c r="AG70" i="3" s="1"/>
  <c r="AJ66" i="3"/>
  <c r="AJ73" i="3" s="1"/>
  <c r="AJ50" i="3"/>
  <c r="AJ51" i="3" s="1"/>
  <c r="AF34" i="3"/>
  <c r="AL51" i="6"/>
  <c r="AN51" i="6" s="1"/>
  <c r="S58" i="3"/>
  <c r="EQ53" i="4"/>
  <c r="ER53" i="4" s="1"/>
  <c r="EU53" i="4"/>
  <c r="EV53" i="4" s="1"/>
  <c r="EY53" i="4"/>
  <c r="EZ53" i="4" s="1"/>
  <c r="EN53" i="4"/>
  <c r="FP44" i="4"/>
  <c r="FQ44" i="4" s="1"/>
  <c r="FM44" i="4"/>
  <c r="FT44" i="4"/>
  <c r="FU44" i="4" s="1"/>
  <c r="FX44" i="4"/>
  <c r="FY44" i="4" s="1"/>
  <c r="DJ24" i="4"/>
  <c r="DH31" i="4"/>
  <c r="EQ25" i="4"/>
  <c r="ER25" i="4" s="1"/>
  <c r="EU25" i="4"/>
  <c r="EV25" i="4" s="1"/>
  <c r="EN25" i="4"/>
  <c r="EY25" i="4"/>
  <c r="EZ25" i="4" s="1"/>
  <c r="CT10" i="4"/>
  <c r="DV10" i="4"/>
  <c r="DR10" i="4"/>
  <c r="DZ10" i="4"/>
  <c r="DO10" i="4"/>
  <c r="EU54" i="4"/>
  <c r="EV54" i="4" s="1"/>
  <c r="EQ54" i="4"/>
  <c r="ER54" i="4" s="1"/>
  <c r="EY54" i="4"/>
  <c r="EZ54" i="4" s="1"/>
  <c r="EN54" i="4"/>
  <c r="DL43" i="4"/>
  <c r="FP46" i="4"/>
  <c r="FQ46" i="4" s="1"/>
  <c r="FM46" i="4"/>
  <c r="FT46" i="4"/>
  <c r="FU46" i="4" s="1"/>
  <c r="FX46" i="4"/>
  <c r="FY46" i="4" s="1"/>
  <c r="EY27" i="4"/>
  <c r="EZ27" i="4" s="1"/>
  <c r="EU27" i="4"/>
  <c r="EV27" i="4" s="1"/>
  <c r="EQ27" i="4"/>
  <c r="ER27" i="4" s="1"/>
  <c r="EN27" i="4"/>
  <c r="GO13" i="4"/>
  <c r="GP13" i="4" s="1"/>
  <c r="GS13" i="4"/>
  <c r="GT13" i="4" s="1"/>
  <c r="GW13" i="4"/>
  <c r="GX13" i="4" s="1"/>
  <c r="GL13" i="4"/>
  <c r="DR62" i="4"/>
  <c r="DS62" i="4" s="1"/>
  <c r="DZ62" i="4"/>
  <c r="EA62" i="4" s="1"/>
  <c r="DV62" i="4"/>
  <c r="DW62" i="4" s="1"/>
  <c r="DO62" i="4"/>
  <c r="BT64" i="4"/>
  <c r="BU43" i="4"/>
  <c r="BU64" i="4" s="1"/>
  <c r="BU65" i="4" s="1"/>
  <c r="CM24" i="4"/>
  <c r="CK31" i="4"/>
  <c r="EQ50" i="4"/>
  <c r="ER50" i="4" s="1"/>
  <c r="EU50" i="4"/>
  <c r="EV50" i="4" s="1"/>
  <c r="EN50" i="4"/>
  <c r="EY50" i="4"/>
  <c r="EZ50" i="4" s="1"/>
  <c r="DA43" i="4"/>
  <c r="CP43" i="4"/>
  <c r="CP64" i="4" s="1"/>
  <c r="CS43" i="4"/>
  <c r="CW43" i="4"/>
  <c r="FD23" i="4"/>
  <c r="FH23" i="4" s="1"/>
  <c r="FD29" i="4"/>
  <c r="FF29" i="4" s="1"/>
  <c r="FH29" i="4" s="1"/>
  <c r="FJ29" i="4" s="1"/>
  <c r="FD25" i="4"/>
  <c r="FF25" i="4" s="1"/>
  <c r="FH25" i="4" s="1"/>
  <c r="FJ25" i="4" s="1"/>
  <c r="FD27" i="4"/>
  <c r="FF27" i="4" s="1"/>
  <c r="FH27" i="4" s="1"/>
  <c r="FJ27" i="4" s="1"/>
  <c r="FD24" i="4"/>
  <c r="FF24" i="4" s="1"/>
  <c r="FH24" i="4" s="1"/>
  <c r="FJ24" i="4" s="1"/>
  <c r="FB31" i="4"/>
  <c r="FD28" i="4"/>
  <c r="FF28" i="4" s="1"/>
  <c r="FH28" i="4" s="1"/>
  <c r="FJ28" i="4" s="1"/>
  <c r="FD26" i="4"/>
  <c r="FF26" i="4" s="1"/>
  <c r="FH26" i="4" s="1"/>
  <c r="FJ26" i="4" s="1"/>
  <c r="GS12" i="4"/>
  <c r="GT12" i="4" s="1"/>
  <c r="GO12" i="4"/>
  <c r="GP12" i="4" s="1"/>
  <c r="GW12" i="4"/>
  <c r="GX12" i="4" s="1"/>
  <c r="GL12" i="4"/>
  <c r="EU51" i="4"/>
  <c r="EV51" i="4" s="1"/>
  <c r="EQ51" i="4"/>
  <c r="ER51" i="4" s="1"/>
  <c r="EY51" i="4"/>
  <c r="EZ51" i="4" s="1"/>
  <c r="EN51" i="4"/>
  <c r="FP22" i="4"/>
  <c r="FQ22" i="4" s="1"/>
  <c r="FT22" i="4"/>
  <c r="FM22" i="4"/>
  <c r="FX22" i="4"/>
  <c r="FY22" i="4" s="1"/>
  <c r="FP48" i="4"/>
  <c r="FQ48" i="4" s="1"/>
  <c r="FT48" i="4"/>
  <c r="FU48" i="4" s="1"/>
  <c r="FM48" i="4"/>
  <c r="FX48" i="4"/>
  <c r="FY48" i="4" s="1"/>
  <c r="FH10" i="4"/>
  <c r="EU29" i="4"/>
  <c r="EV29" i="4" s="1"/>
  <c r="EY29" i="4"/>
  <c r="EZ29" i="4" s="1"/>
  <c r="EQ29" i="4"/>
  <c r="ER29" i="4" s="1"/>
  <c r="EN29" i="4"/>
  <c r="GS15" i="4"/>
  <c r="GT15" i="4" s="1"/>
  <c r="GO15" i="4"/>
  <c r="GP15" i="4" s="1"/>
  <c r="GW15" i="4"/>
  <c r="GX15" i="4" s="1"/>
  <c r="GL15" i="4"/>
  <c r="DV59" i="4"/>
  <c r="DW59" i="4" s="1"/>
  <c r="DZ59" i="4"/>
  <c r="EA59" i="4" s="1"/>
  <c r="DR59" i="4"/>
  <c r="DS59" i="4" s="1"/>
  <c r="DO59" i="4"/>
  <c r="EE61" i="4"/>
  <c r="EG61" i="4" s="1"/>
  <c r="EI61" i="4" s="1"/>
  <c r="EK61" i="4" s="1"/>
  <c r="EE56" i="4"/>
  <c r="EI56" i="4" s="1"/>
  <c r="EE62" i="4"/>
  <c r="EG62" i="4" s="1"/>
  <c r="EI62" i="4" s="1"/>
  <c r="EK62" i="4" s="1"/>
  <c r="EE57" i="4"/>
  <c r="EG57" i="4" s="1"/>
  <c r="EI57" i="4" s="1"/>
  <c r="EK57" i="4" s="1"/>
  <c r="EE58" i="4"/>
  <c r="EG58" i="4" s="1"/>
  <c r="EI58" i="4" s="1"/>
  <c r="EK58" i="4" s="1"/>
  <c r="EC64" i="4"/>
  <c r="EE59" i="4"/>
  <c r="EG59" i="4" s="1"/>
  <c r="EI59" i="4" s="1"/>
  <c r="EK59" i="4" s="1"/>
  <c r="EE60" i="4"/>
  <c r="EG60" i="4" s="1"/>
  <c r="EI60" i="4" s="1"/>
  <c r="EK60" i="4" s="1"/>
  <c r="FP20" i="4"/>
  <c r="FQ20" i="4" s="1"/>
  <c r="FX20" i="4"/>
  <c r="FY20" i="4" s="1"/>
  <c r="FT20" i="4"/>
  <c r="FU20" i="4" s="1"/>
  <c r="FM20" i="4"/>
  <c r="HB10" i="4"/>
  <c r="GZ16" i="4"/>
  <c r="HB15" i="4"/>
  <c r="HD15" i="4" s="1"/>
  <c r="HF15" i="4" s="1"/>
  <c r="HH15" i="4" s="1"/>
  <c r="HB11" i="4"/>
  <c r="HD11" i="4" s="1"/>
  <c r="HF11" i="4" s="1"/>
  <c r="HH11" i="4" s="1"/>
  <c r="HB9" i="4"/>
  <c r="HF9" i="4" s="1"/>
  <c r="HB13" i="4"/>
  <c r="HD13" i="4" s="1"/>
  <c r="HF13" i="4" s="1"/>
  <c r="HH13" i="4" s="1"/>
  <c r="HB12" i="4"/>
  <c r="HD12" i="4" s="1"/>
  <c r="HF12" i="4" s="1"/>
  <c r="HH12" i="4" s="1"/>
  <c r="HB14" i="4"/>
  <c r="HD14" i="4" s="1"/>
  <c r="HF14" i="4" s="1"/>
  <c r="HH14" i="4" s="1"/>
  <c r="GS14" i="4"/>
  <c r="GT14" i="4" s="1"/>
  <c r="GO14" i="4"/>
  <c r="GP14" i="4" s="1"/>
  <c r="GW14" i="4"/>
  <c r="GX14" i="4" s="1"/>
  <c r="GL14" i="4"/>
  <c r="DR58" i="4"/>
  <c r="DS58" i="4" s="1"/>
  <c r="DV58" i="4"/>
  <c r="DW58" i="4" s="1"/>
  <c r="DO58" i="4"/>
  <c r="DZ58" i="4"/>
  <c r="EA58" i="4" s="1"/>
  <c r="FD55" i="4"/>
  <c r="FF55" i="4" s="1"/>
  <c r="FH55" i="4" s="1"/>
  <c r="FJ55" i="4" s="1"/>
  <c r="FD51" i="4"/>
  <c r="FF51" i="4" s="1"/>
  <c r="FH51" i="4" s="1"/>
  <c r="FJ51" i="4" s="1"/>
  <c r="FB56" i="4"/>
  <c r="FD52" i="4"/>
  <c r="FF52" i="4" s="1"/>
  <c r="FH52" i="4" s="1"/>
  <c r="FJ52" i="4" s="1"/>
  <c r="FD50" i="4"/>
  <c r="FF50" i="4" s="1"/>
  <c r="FH50" i="4" s="1"/>
  <c r="FJ50" i="4" s="1"/>
  <c r="FD53" i="4"/>
  <c r="FF53" i="4" s="1"/>
  <c r="FH53" i="4" s="1"/>
  <c r="FJ53" i="4" s="1"/>
  <c r="FD49" i="4"/>
  <c r="FH49" i="4" s="1"/>
  <c r="FD54" i="4"/>
  <c r="FF54" i="4" s="1"/>
  <c r="FH54" i="4" s="1"/>
  <c r="FJ54" i="4" s="1"/>
  <c r="FP45" i="4"/>
  <c r="FQ45" i="4" s="1"/>
  <c r="FM45" i="4"/>
  <c r="FX45" i="4"/>
  <c r="FY45" i="4" s="1"/>
  <c r="FT45" i="4"/>
  <c r="FU45" i="4" s="1"/>
  <c r="E19" i="10"/>
  <c r="E16" i="10"/>
  <c r="F39" i="6"/>
  <c r="F42" i="6" s="1"/>
  <c r="EQ55" i="4"/>
  <c r="ER55" i="4" s="1"/>
  <c r="EU55" i="4"/>
  <c r="EV55" i="4" s="1"/>
  <c r="EY55" i="4"/>
  <c r="EZ55" i="4" s="1"/>
  <c r="EN55" i="4"/>
  <c r="FT17" i="4"/>
  <c r="FU17" i="4" s="1"/>
  <c r="FM17" i="4"/>
  <c r="FX17" i="4"/>
  <c r="FY17" i="4" s="1"/>
  <c r="FP17" i="4"/>
  <c r="FQ17" i="4" s="1"/>
  <c r="FP47" i="4"/>
  <c r="FQ47" i="4" s="1"/>
  <c r="FT47" i="4"/>
  <c r="FU47" i="4" s="1"/>
  <c r="FM47" i="4"/>
  <c r="FX47" i="4"/>
  <c r="FY47" i="4" s="1"/>
  <c r="L10" i="7"/>
  <c r="M10" i="7" s="1"/>
  <c r="HY9" i="4"/>
  <c r="EY26" i="4"/>
  <c r="EZ26" i="4" s="1"/>
  <c r="EQ26" i="4"/>
  <c r="ER26" i="4" s="1"/>
  <c r="EU26" i="4"/>
  <c r="EV26" i="4" s="1"/>
  <c r="EN26" i="4"/>
  <c r="GA23" i="4"/>
  <c r="GC17" i="4"/>
  <c r="GE17" i="4" s="1"/>
  <c r="GG17" i="4" s="1"/>
  <c r="GI17" i="4" s="1"/>
  <c r="GC16" i="4"/>
  <c r="GG16" i="4" s="1"/>
  <c r="GC20" i="4"/>
  <c r="GE20" i="4" s="1"/>
  <c r="GG20" i="4" s="1"/>
  <c r="GI20" i="4" s="1"/>
  <c r="GC21" i="4"/>
  <c r="GE21" i="4" s="1"/>
  <c r="GG21" i="4" s="1"/>
  <c r="GI21" i="4" s="1"/>
  <c r="GC19" i="4"/>
  <c r="GE19" i="4" s="1"/>
  <c r="GG19" i="4" s="1"/>
  <c r="GI19" i="4" s="1"/>
  <c r="GC22" i="4"/>
  <c r="GE22" i="4" s="1"/>
  <c r="GG22" i="4" s="1"/>
  <c r="GI22" i="4" s="1"/>
  <c r="GC18" i="4"/>
  <c r="GE18" i="4" s="1"/>
  <c r="GG18" i="4" s="1"/>
  <c r="GI18" i="4" s="1"/>
  <c r="BD65" i="4"/>
  <c r="BD66" i="4" s="1"/>
  <c r="Q17" i="6"/>
  <c r="S17" i="6" s="1"/>
  <c r="FX19" i="4"/>
  <c r="FY19" i="4" s="1"/>
  <c r="FT19" i="4"/>
  <c r="FU19" i="4" s="1"/>
  <c r="FP19" i="4"/>
  <c r="FQ19" i="4" s="1"/>
  <c r="FM19" i="4"/>
  <c r="EU28" i="4"/>
  <c r="EV28" i="4" s="1"/>
  <c r="EY28" i="4"/>
  <c r="EZ28" i="4" s="1"/>
  <c r="EQ28" i="4"/>
  <c r="ER28" i="4" s="1"/>
  <c r="EN28" i="4"/>
  <c r="BQ24" i="4"/>
  <c r="BQ31" i="4" s="1"/>
  <c r="BX24" i="4"/>
  <c r="CB24" i="4"/>
  <c r="BT24" i="4"/>
  <c r="GE10" i="4"/>
  <c r="DH57" i="4"/>
  <c r="DF64" i="4"/>
  <c r="EI43" i="4"/>
  <c r="GO11" i="4"/>
  <c r="GP11" i="4" s="1"/>
  <c r="GS11" i="4"/>
  <c r="GT11" i="4" s="1"/>
  <c r="GL11" i="4"/>
  <c r="GW11" i="4"/>
  <c r="GX11" i="4" s="1"/>
  <c r="DB10" i="4"/>
  <c r="DV60" i="4"/>
  <c r="DW60" i="4" s="1"/>
  <c r="DR60" i="4"/>
  <c r="DS60" i="4" s="1"/>
  <c r="DZ60" i="4"/>
  <c r="EA60" i="4" s="1"/>
  <c r="Z13" i="6" s="1"/>
  <c r="AB13" i="6" s="1"/>
  <c r="DO60" i="4"/>
  <c r="BY43" i="4"/>
  <c r="BY64" i="4" s="1"/>
  <c r="BY65" i="4" s="1"/>
  <c r="BX64" i="4"/>
  <c r="GC48" i="4"/>
  <c r="GE48" i="4" s="1"/>
  <c r="GG48" i="4" s="1"/>
  <c r="GI48" i="4" s="1"/>
  <c r="GC47" i="4"/>
  <c r="GE47" i="4" s="1"/>
  <c r="GG47" i="4" s="1"/>
  <c r="GI47" i="4" s="1"/>
  <c r="GA49" i="4"/>
  <c r="GC45" i="4"/>
  <c r="GE45" i="4" s="1"/>
  <c r="GG45" i="4" s="1"/>
  <c r="GI45" i="4" s="1"/>
  <c r="GC43" i="4"/>
  <c r="GC46" i="4"/>
  <c r="GE46" i="4" s="1"/>
  <c r="GG46" i="4" s="1"/>
  <c r="GI46" i="4" s="1"/>
  <c r="GC42" i="4"/>
  <c r="GG42" i="4" s="1"/>
  <c r="GC44" i="4"/>
  <c r="GE44" i="4" s="1"/>
  <c r="GG44" i="4" s="1"/>
  <c r="GI44" i="4" s="1"/>
  <c r="FP21" i="4"/>
  <c r="FQ21" i="4" s="1"/>
  <c r="FT21" i="4"/>
  <c r="FU21" i="4" s="1"/>
  <c r="FM21" i="4"/>
  <c r="FX21" i="4"/>
  <c r="FY21" i="4" s="1"/>
  <c r="EU52" i="4"/>
  <c r="EV52" i="4" s="1"/>
  <c r="EY52" i="4"/>
  <c r="EZ52" i="4" s="1"/>
  <c r="EN52" i="4"/>
  <c r="EQ52" i="4"/>
  <c r="ER52" i="4" s="1"/>
  <c r="FT18" i="4"/>
  <c r="FU18" i="4" s="1"/>
  <c r="FP18" i="4"/>
  <c r="FQ18" i="4" s="1"/>
  <c r="FX18" i="4"/>
  <c r="FY18" i="4" s="1"/>
  <c r="FM18" i="4"/>
  <c r="FF43" i="4"/>
  <c r="EG24" i="4"/>
  <c r="EE31" i="4"/>
  <c r="CX10" i="4"/>
  <c r="EK10" i="4"/>
  <c r="DZ61" i="4"/>
  <c r="EA61" i="4" s="1"/>
  <c r="DV61" i="4"/>
  <c r="DW61" i="4" s="1"/>
  <c r="DR61" i="4"/>
  <c r="DS61" i="4" s="1"/>
  <c r="DO61" i="4"/>
  <c r="G8" i="10"/>
  <c r="CC43" i="4"/>
  <c r="CC64" i="4" s="1"/>
  <c r="CB64" i="4"/>
  <c r="K19" i="7"/>
  <c r="L16" i="7" s="1"/>
  <c r="GZ42" i="4"/>
  <c r="T73" i="6"/>
  <c r="T56" i="6"/>
  <c r="T59" i="6"/>
  <c r="T58" i="6"/>
  <c r="T57" i="6"/>
  <c r="W39" i="6"/>
  <c r="Y39" i="6" s="1"/>
  <c r="Q62" i="6"/>
  <c r="T43" i="6"/>
  <c r="J27" i="10"/>
  <c r="I36" i="10"/>
  <c r="I35" i="10"/>
  <c r="H42" i="10"/>
  <c r="M58" i="3"/>
  <c r="AK37" i="3"/>
  <c r="AE65" i="4"/>
  <c r="AE66" i="4" s="1"/>
  <c r="K11" i="3"/>
  <c r="K14" i="3" s="1"/>
  <c r="AA66" i="4"/>
  <c r="AX8" i="5"/>
  <c r="AX21" i="5" s="1"/>
  <c r="K40" i="5"/>
  <c r="L37" i="5" s="1"/>
  <c r="AZ8" i="5"/>
  <c r="AZ21" i="5" s="1"/>
  <c r="L31" i="5" s="1"/>
  <c r="K31" i="5"/>
  <c r="P43" i="3"/>
  <c r="V34" i="3"/>
  <c r="M55" i="6" l="1"/>
  <c r="L56" i="6"/>
  <c r="D7" i="13"/>
  <c r="D18" i="13" s="1"/>
  <c r="AD55" i="3"/>
  <c r="AD56" i="3" s="1"/>
  <c r="F23" i="12"/>
  <c r="AJ31" i="12"/>
  <c r="AJ32" i="12" s="1"/>
  <c r="AK30" i="12"/>
  <c r="U41" i="12"/>
  <c r="U44" i="12" s="1"/>
  <c r="V39" i="12"/>
  <c r="V40" i="12" s="1"/>
  <c r="AB37" i="12"/>
  <c r="AA38" i="12"/>
  <c r="R45" i="12"/>
  <c r="S44" i="12"/>
  <c r="M25" i="12"/>
  <c r="L28" i="5"/>
  <c r="AF38" i="12"/>
  <c r="AC40" i="12"/>
  <c r="AE33" i="12"/>
  <c r="AD34" i="12"/>
  <c r="AD37" i="12" s="1"/>
  <c r="M31" i="5"/>
  <c r="AI38" i="12"/>
  <c r="X39" i="12"/>
  <c r="Y38" i="12"/>
  <c r="AP55" i="6"/>
  <c r="AP56" i="6" s="1"/>
  <c r="AP57" i="6" s="1"/>
  <c r="AP58" i="6" s="1"/>
  <c r="AP59" i="6" s="1"/>
  <c r="AP60" i="6" s="1"/>
  <c r="AP61" i="6" s="1"/>
  <c r="AP62" i="6" s="1"/>
  <c r="AP63" i="6" s="1"/>
  <c r="AP64" i="6" s="1"/>
  <c r="AP65" i="6" s="1"/>
  <c r="AP66" i="6" s="1"/>
  <c r="AP67" i="6" s="1"/>
  <c r="AP68" i="6" s="1"/>
  <c r="AP69" i="6" s="1"/>
  <c r="AP70" i="6" s="1"/>
  <c r="AP71" i="6" s="1"/>
  <c r="AP72" i="6" s="1"/>
  <c r="AP73" i="6" s="1"/>
  <c r="AP77" i="6" s="1"/>
  <c r="AP78" i="6" s="1"/>
  <c r="AP85" i="6" s="1"/>
  <c r="AP87" i="6" s="1"/>
  <c r="AP90" i="6" s="1"/>
  <c r="AQ90" i="6" s="1"/>
  <c r="AQ54" i="6"/>
  <c r="AG31" i="12"/>
  <c r="AG32" i="12" s="1"/>
  <c r="AH30" i="12"/>
  <c r="N68" i="6"/>
  <c r="K51" i="3" s="1"/>
  <c r="M51" i="3" s="1"/>
  <c r="N55" i="6"/>
  <c r="K38" i="3" s="1"/>
  <c r="N69" i="6"/>
  <c r="P69" i="6" s="1"/>
  <c r="AG54" i="3"/>
  <c r="AG55" i="3" s="1"/>
  <c r="AG56" i="3" s="1"/>
  <c r="AG62" i="3"/>
  <c r="L46" i="12"/>
  <c r="M45" i="12"/>
  <c r="Q41" i="3"/>
  <c r="S41" i="3" s="1"/>
  <c r="V58" i="6"/>
  <c r="Q24" i="3"/>
  <c r="V43" i="6"/>
  <c r="Q56" i="3"/>
  <c r="S56" i="3" s="1"/>
  <c r="V73" i="6"/>
  <c r="Q40" i="3"/>
  <c r="S40" i="3" s="1"/>
  <c r="V57" i="6"/>
  <c r="Q39" i="3"/>
  <c r="V56" i="6"/>
  <c r="N45" i="3"/>
  <c r="P45" i="3" s="1"/>
  <c r="S62" i="6"/>
  <c r="Q42" i="3"/>
  <c r="S42" i="3" s="1"/>
  <c r="V59" i="6"/>
  <c r="K55" i="3"/>
  <c r="P72" i="6"/>
  <c r="Q64" i="6"/>
  <c r="T63" i="6"/>
  <c r="V63" i="6" s="1"/>
  <c r="N46" i="3"/>
  <c r="P46" i="3" s="1"/>
  <c r="Z61" i="6"/>
  <c r="AB61" i="6" s="1"/>
  <c r="T44" i="3"/>
  <c r="G65" i="6"/>
  <c r="D47" i="3"/>
  <c r="W43" i="3"/>
  <c r="AC60" i="6"/>
  <c r="AE60" i="6" s="1"/>
  <c r="AI34" i="3"/>
  <c r="AO51" i="6"/>
  <c r="AQ51" i="6" s="1"/>
  <c r="AC20" i="3"/>
  <c r="AE20" i="3" s="1"/>
  <c r="AI38" i="6"/>
  <c r="AK38" i="6" s="1"/>
  <c r="AM50" i="3"/>
  <c r="AM51" i="3" s="1"/>
  <c r="AM66" i="3"/>
  <c r="AM73" i="3" s="1"/>
  <c r="T21" i="3"/>
  <c r="V21" i="3" s="1"/>
  <c r="T23" i="3"/>
  <c r="V23" i="3" s="1"/>
  <c r="Z42" i="6"/>
  <c r="AB42" i="6" s="1"/>
  <c r="N11" i="3"/>
  <c r="AJ52" i="3"/>
  <c r="AJ53" i="3" s="1"/>
  <c r="AJ60" i="3"/>
  <c r="AJ70" i="3" s="1"/>
  <c r="V58" i="3"/>
  <c r="EE64" i="4"/>
  <c r="FF31" i="4"/>
  <c r="BU24" i="4"/>
  <c r="BU31" i="4" s="1"/>
  <c r="BU32" i="4" s="1"/>
  <c r="BT31" i="4"/>
  <c r="CC24" i="4"/>
  <c r="CC31" i="4" s="1"/>
  <c r="CB31" i="4"/>
  <c r="BY24" i="4"/>
  <c r="BY31" i="4" s="1"/>
  <c r="BY32" i="4" s="1"/>
  <c r="BX31" i="4"/>
  <c r="BY66" i="4"/>
  <c r="EG64" i="4"/>
  <c r="FH43" i="4"/>
  <c r="GG10" i="4"/>
  <c r="FH31" i="4"/>
  <c r="FJ10" i="4"/>
  <c r="CC65" i="4"/>
  <c r="CC66" i="4" s="1"/>
  <c r="T17" i="6"/>
  <c r="GO45" i="4"/>
  <c r="GP45" i="4" s="1"/>
  <c r="GL45" i="4"/>
  <c r="GS45" i="4"/>
  <c r="GT45" i="4" s="1"/>
  <c r="GW45" i="4"/>
  <c r="GX45" i="4" s="1"/>
  <c r="GO22" i="4"/>
  <c r="GP22" i="4" s="1"/>
  <c r="GS22" i="4"/>
  <c r="GT22" i="4" s="1"/>
  <c r="GW22" i="4"/>
  <c r="GX22" i="4" s="1"/>
  <c r="GL22" i="4"/>
  <c r="FB64" i="4"/>
  <c r="FD59" i="4"/>
  <c r="FF59" i="4" s="1"/>
  <c r="FH59" i="4" s="1"/>
  <c r="FJ59" i="4" s="1"/>
  <c r="FD60" i="4"/>
  <c r="FF60" i="4" s="1"/>
  <c r="FH60" i="4" s="1"/>
  <c r="FJ60" i="4" s="1"/>
  <c r="FD57" i="4"/>
  <c r="FD61" i="4"/>
  <c r="FF61" i="4" s="1"/>
  <c r="FH61" i="4" s="1"/>
  <c r="FJ61" i="4" s="1"/>
  <c r="FD56" i="4"/>
  <c r="FH56" i="4" s="1"/>
  <c r="FD62" i="4"/>
  <c r="FF62" i="4" s="1"/>
  <c r="FH62" i="4" s="1"/>
  <c r="FJ62" i="4" s="1"/>
  <c r="FD58" i="4"/>
  <c r="FF58" i="4" s="1"/>
  <c r="FH58" i="4" s="1"/>
  <c r="FJ58" i="4" s="1"/>
  <c r="HK11" i="4"/>
  <c r="HN11" i="4"/>
  <c r="HO11" i="4" s="1"/>
  <c r="HR11" i="4"/>
  <c r="HS11" i="4" s="1"/>
  <c r="HV11" i="4"/>
  <c r="HW11" i="4" s="1"/>
  <c r="EU60" i="4"/>
  <c r="EV60" i="4" s="1"/>
  <c r="EQ60" i="4"/>
  <c r="ER60" i="4" s="1"/>
  <c r="EY60" i="4"/>
  <c r="EZ60" i="4" s="1"/>
  <c r="EN60" i="4"/>
  <c r="GO46" i="4"/>
  <c r="GP46" i="4" s="1"/>
  <c r="GW46" i="4"/>
  <c r="GX46" i="4" s="1"/>
  <c r="GL46" i="4"/>
  <c r="GS46" i="4"/>
  <c r="GT46" i="4" s="1"/>
  <c r="EY10" i="4"/>
  <c r="EU10" i="4"/>
  <c r="EQ10" i="4"/>
  <c r="EN10" i="4"/>
  <c r="GC53" i="4"/>
  <c r="GE53" i="4" s="1"/>
  <c r="GG53" i="4" s="1"/>
  <c r="GI53" i="4" s="1"/>
  <c r="GC55" i="4"/>
  <c r="GE55" i="4" s="1"/>
  <c r="GG55" i="4" s="1"/>
  <c r="GI55" i="4" s="1"/>
  <c r="GC51" i="4"/>
  <c r="GE51" i="4" s="1"/>
  <c r="GG51" i="4" s="1"/>
  <c r="GI51" i="4" s="1"/>
  <c r="GC49" i="4"/>
  <c r="GG49" i="4" s="1"/>
  <c r="GC52" i="4"/>
  <c r="GE52" i="4" s="1"/>
  <c r="GG52" i="4" s="1"/>
  <c r="GI52" i="4" s="1"/>
  <c r="GA56" i="4"/>
  <c r="GC50" i="4"/>
  <c r="GE50" i="4" s="1"/>
  <c r="GG50" i="4" s="1"/>
  <c r="GI50" i="4" s="1"/>
  <c r="GC54" i="4"/>
  <c r="GE54" i="4" s="1"/>
  <c r="GG54" i="4" s="1"/>
  <c r="GI54" i="4" s="1"/>
  <c r="EK43" i="4"/>
  <c r="EI64" i="4"/>
  <c r="GS19" i="4"/>
  <c r="GT19" i="4" s="1"/>
  <c r="GO19" i="4"/>
  <c r="GP19" i="4" s="1"/>
  <c r="GW19" i="4"/>
  <c r="GX19" i="4" s="1"/>
  <c r="GL19" i="4"/>
  <c r="FP51" i="4"/>
  <c r="FQ51" i="4" s="1"/>
  <c r="FT51" i="4"/>
  <c r="FU51" i="4" s="1"/>
  <c r="FM51" i="4"/>
  <c r="FX51" i="4"/>
  <c r="FY51" i="4" s="1"/>
  <c r="HN15" i="4"/>
  <c r="HO15" i="4" s="1"/>
  <c r="HR15" i="4"/>
  <c r="HS15" i="4" s="1"/>
  <c r="HK15" i="4"/>
  <c r="HV15" i="4"/>
  <c r="HW15" i="4" s="1"/>
  <c r="EQ59" i="4"/>
  <c r="ER59" i="4" s="1"/>
  <c r="EU59" i="4"/>
  <c r="EV59" i="4" s="1"/>
  <c r="EY59" i="4"/>
  <c r="EZ59" i="4" s="1"/>
  <c r="EN59" i="4"/>
  <c r="FT26" i="4"/>
  <c r="FU26" i="4" s="1"/>
  <c r="FP26" i="4"/>
  <c r="FQ26" i="4" s="1"/>
  <c r="FX26" i="4"/>
  <c r="FY26" i="4" s="1"/>
  <c r="FM26" i="4"/>
  <c r="CX43" i="4"/>
  <c r="CX64" i="4" s="1"/>
  <c r="CX65" i="4" s="1"/>
  <c r="CW64" i="4"/>
  <c r="HN13" i="4"/>
  <c r="HO13" i="4" s="1"/>
  <c r="HK13" i="4"/>
  <c r="HR13" i="4"/>
  <c r="HS13" i="4" s="1"/>
  <c r="HV13" i="4"/>
  <c r="HW13" i="4" s="1"/>
  <c r="FU22" i="4"/>
  <c r="Z46" i="6"/>
  <c r="H5" i="10"/>
  <c r="G14" i="10"/>
  <c r="W26" i="3" s="1"/>
  <c r="GO47" i="4"/>
  <c r="GP47" i="4" s="1"/>
  <c r="GL47" i="4"/>
  <c r="GS47" i="4"/>
  <c r="GT47" i="4" s="1"/>
  <c r="GW47" i="4"/>
  <c r="GX47" i="4" s="1"/>
  <c r="GO21" i="4"/>
  <c r="GP21" i="4" s="1"/>
  <c r="GS21" i="4"/>
  <c r="GT21" i="4" s="1"/>
  <c r="GW21" i="4"/>
  <c r="GX21" i="4" s="1"/>
  <c r="GL21" i="4"/>
  <c r="FX55" i="4"/>
  <c r="FY55" i="4" s="1"/>
  <c r="FT55" i="4"/>
  <c r="FU55" i="4" s="1"/>
  <c r="FP55" i="4"/>
  <c r="FQ55" i="4" s="1"/>
  <c r="FM55" i="4"/>
  <c r="HB18" i="4"/>
  <c r="HD18" i="4" s="1"/>
  <c r="HF18" i="4" s="1"/>
  <c r="HH18" i="4" s="1"/>
  <c r="HB21" i="4"/>
  <c r="HD21" i="4" s="1"/>
  <c r="HF21" i="4" s="1"/>
  <c r="HH21" i="4" s="1"/>
  <c r="HB17" i="4"/>
  <c r="HD17" i="4" s="1"/>
  <c r="HF17" i="4" s="1"/>
  <c r="HH17" i="4" s="1"/>
  <c r="HB16" i="4"/>
  <c r="HF16" i="4" s="1"/>
  <c r="HB22" i="4"/>
  <c r="HD22" i="4" s="1"/>
  <c r="HF22" i="4" s="1"/>
  <c r="HH22" i="4" s="1"/>
  <c r="GZ23" i="4"/>
  <c r="HB20" i="4"/>
  <c r="HD20" i="4" s="1"/>
  <c r="HF20" i="4" s="1"/>
  <c r="HH20" i="4" s="1"/>
  <c r="HB19" i="4"/>
  <c r="HD19" i="4" s="1"/>
  <c r="HF19" i="4" s="1"/>
  <c r="HH19" i="4" s="1"/>
  <c r="FX28" i="4"/>
  <c r="FY28" i="4" s="1"/>
  <c r="FT28" i="4"/>
  <c r="FU28" i="4" s="1"/>
  <c r="FP28" i="4"/>
  <c r="FQ28" i="4" s="1"/>
  <c r="FM28" i="4"/>
  <c r="CS64" i="4"/>
  <c r="CT43" i="4"/>
  <c r="CT64" i="4" s="1"/>
  <c r="CT65" i="4" s="1"/>
  <c r="DZ43" i="4"/>
  <c r="DO43" i="4"/>
  <c r="DR43" i="4"/>
  <c r="DV43" i="4"/>
  <c r="EA10" i="4"/>
  <c r="FM50" i="4"/>
  <c r="FP50" i="4"/>
  <c r="FQ50" i="4" s="1"/>
  <c r="FX50" i="4"/>
  <c r="FY50" i="4" s="1"/>
  <c r="FT50" i="4"/>
  <c r="FU50" i="4" s="1"/>
  <c r="GE43" i="4"/>
  <c r="FX29" i="4"/>
  <c r="FY29" i="4" s="1"/>
  <c r="FT29" i="4"/>
  <c r="FU29" i="4" s="1"/>
  <c r="FP29" i="4"/>
  <c r="FQ29" i="4" s="1"/>
  <c r="FM29" i="4"/>
  <c r="GO48" i="4"/>
  <c r="GP48" i="4" s="1"/>
  <c r="GS48" i="4"/>
  <c r="GT48" i="4" s="1"/>
  <c r="GW48" i="4"/>
  <c r="GX48" i="4" s="1"/>
  <c r="GL48" i="4"/>
  <c r="GO20" i="4"/>
  <c r="GP20" i="4" s="1"/>
  <c r="GS20" i="4"/>
  <c r="GT20" i="4" s="1"/>
  <c r="GL20" i="4"/>
  <c r="GW20" i="4"/>
  <c r="GX20" i="4" s="1"/>
  <c r="IA12" i="4"/>
  <c r="IC12" i="4" s="1"/>
  <c r="IE12" i="4" s="1"/>
  <c r="IG12" i="4" s="1"/>
  <c r="IA14" i="4"/>
  <c r="IC14" i="4" s="1"/>
  <c r="IE14" i="4" s="1"/>
  <c r="IG14" i="4" s="1"/>
  <c r="HY16" i="4"/>
  <c r="IA15" i="4"/>
  <c r="IC15" i="4" s="1"/>
  <c r="IE15" i="4" s="1"/>
  <c r="IG15" i="4" s="1"/>
  <c r="IA13" i="4"/>
  <c r="IC13" i="4" s="1"/>
  <c r="IE13" i="4" s="1"/>
  <c r="IG13" i="4" s="1"/>
  <c r="IA11" i="4"/>
  <c r="IC11" i="4" s="1"/>
  <c r="IE11" i="4" s="1"/>
  <c r="IG11" i="4" s="1"/>
  <c r="IA10" i="4"/>
  <c r="IA9" i="4"/>
  <c r="IE9" i="4" s="1"/>
  <c r="FP54" i="4"/>
  <c r="FQ54" i="4" s="1"/>
  <c r="FX54" i="4"/>
  <c r="FY54" i="4" s="1"/>
  <c r="FT54" i="4"/>
  <c r="FU54" i="4" s="1"/>
  <c r="FM54" i="4"/>
  <c r="HD10" i="4"/>
  <c r="EY58" i="4"/>
  <c r="EZ58" i="4" s="1"/>
  <c r="EQ58" i="4"/>
  <c r="ER58" i="4" s="1"/>
  <c r="EU58" i="4"/>
  <c r="EV58" i="4" s="1"/>
  <c r="EN58" i="4"/>
  <c r="DA24" i="4"/>
  <c r="CS24" i="4"/>
  <c r="CP24" i="4"/>
  <c r="CP31" i="4" s="1"/>
  <c r="CW24" i="4"/>
  <c r="DS10" i="4"/>
  <c r="FT52" i="4"/>
  <c r="FU52" i="4" s="1"/>
  <c r="FP52" i="4"/>
  <c r="FQ52" i="4" s="1"/>
  <c r="FX52" i="4"/>
  <c r="FY52" i="4" s="1"/>
  <c r="FM52" i="4"/>
  <c r="HB44" i="4"/>
  <c r="HD44" i="4" s="1"/>
  <c r="HF44" i="4" s="1"/>
  <c r="HH44" i="4" s="1"/>
  <c r="HB43" i="4"/>
  <c r="GZ49" i="4"/>
  <c r="HB47" i="4"/>
  <c r="HD47" i="4" s="1"/>
  <c r="HF47" i="4" s="1"/>
  <c r="HH47" i="4" s="1"/>
  <c r="HB45" i="4"/>
  <c r="HD45" i="4" s="1"/>
  <c r="HF45" i="4" s="1"/>
  <c r="HH45" i="4" s="1"/>
  <c r="HB42" i="4"/>
  <c r="HF42" i="4" s="1"/>
  <c r="HB48" i="4"/>
  <c r="HD48" i="4" s="1"/>
  <c r="HF48" i="4" s="1"/>
  <c r="HH48" i="4" s="1"/>
  <c r="HB46" i="4"/>
  <c r="HD46" i="4" s="1"/>
  <c r="HF46" i="4" s="1"/>
  <c r="HH46" i="4" s="1"/>
  <c r="GL44" i="4"/>
  <c r="GW44" i="4"/>
  <c r="GX44" i="4" s="1"/>
  <c r="GS44" i="4"/>
  <c r="GT44" i="4" s="1"/>
  <c r="GO44" i="4"/>
  <c r="GP44" i="4" s="1"/>
  <c r="DJ57" i="4"/>
  <c r="DH64" i="4"/>
  <c r="HN14" i="4"/>
  <c r="HO14" i="4" s="1"/>
  <c r="HK14" i="4"/>
  <c r="HR14" i="4"/>
  <c r="HS14" i="4" s="1"/>
  <c r="HV14" i="4"/>
  <c r="HW14" i="4" s="1"/>
  <c r="EY57" i="4"/>
  <c r="EZ57" i="4" s="1"/>
  <c r="EU57" i="4"/>
  <c r="EV57" i="4" s="1"/>
  <c r="EN57" i="4"/>
  <c r="EQ57" i="4"/>
  <c r="ER57" i="4" s="1"/>
  <c r="FM24" i="4"/>
  <c r="FX24" i="4"/>
  <c r="FY24" i="4" s="1"/>
  <c r="FP24" i="4"/>
  <c r="FQ24" i="4" s="1"/>
  <c r="FT24" i="4"/>
  <c r="FU24" i="4" s="1"/>
  <c r="DB43" i="4"/>
  <c r="DB64" i="4" s="1"/>
  <c r="DA64" i="4"/>
  <c r="FD31" i="4"/>
  <c r="DW10" i="4"/>
  <c r="GC25" i="4"/>
  <c r="GE25" i="4" s="1"/>
  <c r="GG25" i="4" s="1"/>
  <c r="GI25" i="4" s="1"/>
  <c r="GC24" i="4"/>
  <c r="GA31" i="4"/>
  <c r="GC28" i="4"/>
  <c r="GE28" i="4" s="1"/>
  <c r="GG28" i="4" s="1"/>
  <c r="GI28" i="4" s="1"/>
  <c r="GC26" i="4"/>
  <c r="GE26" i="4" s="1"/>
  <c r="GG26" i="4" s="1"/>
  <c r="GI26" i="4" s="1"/>
  <c r="GC23" i="4"/>
  <c r="GG23" i="4" s="1"/>
  <c r="GC29" i="4"/>
  <c r="GE29" i="4" s="1"/>
  <c r="GG29" i="4" s="1"/>
  <c r="GI29" i="4" s="1"/>
  <c r="GC27" i="4"/>
  <c r="GE27" i="4" s="1"/>
  <c r="GG27" i="4" s="1"/>
  <c r="GI27" i="4" s="1"/>
  <c r="FX25" i="4"/>
  <c r="FY25" i="4" s="1"/>
  <c r="FT25" i="4"/>
  <c r="FU25" i="4" s="1"/>
  <c r="FM25" i="4"/>
  <c r="FP25" i="4"/>
  <c r="FQ25" i="4" s="1"/>
  <c r="GL18" i="4"/>
  <c r="GO18" i="4"/>
  <c r="GP18" i="4" s="1"/>
  <c r="GS18" i="4"/>
  <c r="GT18" i="4" s="1"/>
  <c r="GW18" i="4"/>
  <c r="GX18" i="4" s="1"/>
  <c r="EU61" i="4"/>
  <c r="EV61" i="4" s="1"/>
  <c r="EQ61" i="4"/>
  <c r="ER61" i="4" s="1"/>
  <c r="EY61" i="4"/>
  <c r="EZ61" i="4" s="1"/>
  <c r="EN61" i="4"/>
  <c r="L19" i="7"/>
  <c r="M19" i="7" s="1"/>
  <c r="HY42" i="4"/>
  <c r="EI24" i="4"/>
  <c r="EG31" i="4"/>
  <c r="GL17" i="4"/>
  <c r="GW17" i="4"/>
  <c r="GX17" i="4" s="1"/>
  <c r="GS17" i="4"/>
  <c r="GT17" i="4" s="1"/>
  <c r="GO17" i="4"/>
  <c r="GP17" i="4" s="1"/>
  <c r="F13" i="10"/>
  <c r="E20" i="10"/>
  <c r="N17" i="12" s="1"/>
  <c r="FP53" i="4"/>
  <c r="FQ53" i="4" s="1"/>
  <c r="FT53" i="4"/>
  <c r="FU53" i="4" s="1"/>
  <c r="FX53" i="4"/>
  <c r="FY53" i="4" s="1"/>
  <c r="FM53" i="4"/>
  <c r="HR12" i="4"/>
  <c r="HS12" i="4" s="1"/>
  <c r="HN12" i="4"/>
  <c r="HO12" i="4" s="1"/>
  <c r="HK12" i="4"/>
  <c r="HV12" i="4"/>
  <c r="HW12" i="4" s="1"/>
  <c r="EQ62" i="4"/>
  <c r="ER62" i="4" s="1"/>
  <c r="EU62" i="4"/>
  <c r="EY62" i="4"/>
  <c r="EN62" i="4"/>
  <c r="FT27" i="4"/>
  <c r="FU27" i="4" s="1"/>
  <c r="FX27" i="4"/>
  <c r="FY27" i="4" s="1"/>
  <c r="FP27" i="4"/>
  <c r="FQ27" i="4" s="1"/>
  <c r="FM27" i="4"/>
  <c r="DL24" i="4"/>
  <c r="DJ31" i="4"/>
  <c r="P22" i="6"/>
  <c r="T62" i="6"/>
  <c r="W43" i="6"/>
  <c r="W73" i="6"/>
  <c r="Z39" i="6"/>
  <c r="W59" i="6"/>
  <c r="W57" i="6"/>
  <c r="W56" i="6"/>
  <c r="W58" i="6"/>
  <c r="I38" i="10"/>
  <c r="I41" i="10"/>
  <c r="J30" i="10"/>
  <c r="M50" i="3"/>
  <c r="M49" i="3"/>
  <c r="M48" i="3"/>
  <c r="M54" i="3"/>
  <c r="M11" i="3"/>
  <c r="M14" i="3" s="1"/>
  <c r="P44" i="3"/>
  <c r="J38" i="3"/>
  <c r="Y34" i="3"/>
  <c r="P11" i="3" l="1"/>
  <c r="P14" i="3" s="1"/>
  <c r="K52" i="3"/>
  <c r="M52" i="3" s="1"/>
  <c r="L57" i="6"/>
  <c r="M56" i="6"/>
  <c r="F30" i="12"/>
  <c r="AG58" i="3"/>
  <c r="P55" i="6"/>
  <c r="AJ33" i="12"/>
  <c r="AK32" i="12"/>
  <c r="P68" i="6"/>
  <c r="AD38" i="12"/>
  <c r="AE37" i="12"/>
  <c r="AA39" i="12"/>
  <c r="AB38" i="12"/>
  <c r="AG33" i="12"/>
  <c r="AH32" i="12"/>
  <c r="P17" i="12"/>
  <c r="N25" i="12"/>
  <c r="AF40" i="12"/>
  <c r="E38" i="12"/>
  <c r="E40" i="12" s="1"/>
  <c r="X41" i="12"/>
  <c r="X44" i="12" s="1"/>
  <c r="Y39" i="12"/>
  <c r="U45" i="12"/>
  <c r="V44" i="12"/>
  <c r="R46" i="12"/>
  <c r="S45" i="12"/>
  <c r="AI40" i="12"/>
  <c r="AJ54" i="3"/>
  <c r="AJ55" i="3" s="1"/>
  <c r="AJ56" i="3" s="1"/>
  <c r="AJ62" i="3"/>
  <c r="Q11" i="3"/>
  <c r="V17" i="6"/>
  <c r="W27" i="3"/>
  <c r="Y27" i="3" s="1"/>
  <c r="AB46" i="6"/>
  <c r="T42" i="3"/>
  <c r="V42" i="3" s="1"/>
  <c r="Y59" i="6"/>
  <c r="N47" i="3"/>
  <c r="P47" i="3" s="1"/>
  <c r="S64" i="6"/>
  <c r="T56" i="3"/>
  <c r="V56" i="3" s="1"/>
  <c r="Y73" i="6"/>
  <c r="T24" i="3"/>
  <c r="Y43" i="6"/>
  <c r="Q45" i="3"/>
  <c r="V62" i="6"/>
  <c r="T40" i="3"/>
  <c r="V40" i="3" s="1"/>
  <c r="Y57" i="6"/>
  <c r="T41" i="3"/>
  <c r="V41" i="3" s="1"/>
  <c r="Y58" i="6"/>
  <c r="W21" i="3"/>
  <c r="Y21" i="3" s="1"/>
  <c r="AB39" i="6"/>
  <c r="T39" i="3"/>
  <c r="Y56" i="6"/>
  <c r="D48" i="3"/>
  <c r="G66" i="6"/>
  <c r="Q65" i="6"/>
  <c r="S65" i="6" s="1"/>
  <c r="W44" i="3"/>
  <c r="AC61" i="6"/>
  <c r="AE61" i="6" s="1"/>
  <c r="Q46" i="3"/>
  <c r="S46" i="3" s="1"/>
  <c r="T64" i="6"/>
  <c r="W63" i="6"/>
  <c r="Y63" i="6" s="1"/>
  <c r="Z43" i="3"/>
  <c r="AF60" i="6"/>
  <c r="AH60" i="6" s="1"/>
  <c r="AM52" i="3"/>
  <c r="AM53" i="3" s="1"/>
  <c r="AM60" i="3"/>
  <c r="AM70" i="3" s="1"/>
  <c r="W23" i="3"/>
  <c r="Y23" i="3" s="1"/>
  <c r="AC42" i="6"/>
  <c r="AE42" i="6" s="1"/>
  <c r="H51" i="6"/>
  <c r="AL34" i="3"/>
  <c r="E34" i="3" s="1"/>
  <c r="G34" i="3" s="1"/>
  <c r="F43" i="6"/>
  <c r="AF20" i="3"/>
  <c r="AH20" i="3" s="1"/>
  <c r="AL38" i="6"/>
  <c r="AN38" i="6" s="1"/>
  <c r="Y58" i="3"/>
  <c r="BY33" i="4"/>
  <c r="CX24" i="4"/>
  <c r="CX31" i="4" s="1"/>
  <c r="CX32" i="4" s="1"/>
  <c r="CW31" i="4"/>
  <c r="CT24" i="4"/>
  <c r="CT31" i="4" s="1"/>
  <c r="CT32" i="4" s="1"/>
  <c r="CS31" i="4"/>
  <c r="CC32" i="4"/>
  <c r="CC33" i="4" s="1"/>
  <c r="T16" i="6"/>
  <c r="V16" i="6" s="1"/>
  <c r="DB24" i="4"/>
  <c r="DB31" i="4" s="1"/>
  <c r="DA31" i="4"/>
  <c r="CX66" i="4"/>
  <c r="HR18" i="4"/>
  <c r="HS18" i="4" s="1"/>
  <c r="HK18" i="4"/>
  <c r="HN18" i="4"/>
  <c r="HO18" i="4" s="1"/>
  <c r="HV18" i="4"/>
  <c r="HW18" i="4" s="1"/>
  <c r="HN45" i="4"/>
  <c r="HO45" i="4" s="1"/>
  <c r="HK45" i="4"/>
  <c r="HR45" i="4"/>
  <c r="HS45" i="4" s="1"/>
  <c r="HV45" i="4"/>
  <c r="HW45" i="4" s="1"/>
  <c r="FX62" i="4"/>
  <c r="FY62" i="4" s="1"/>
  <c r="FP62" i="4"/>
  <c r="FQ62" i="4" s="1"/>
  <c r="FT62" i="4"/>
  <c r="FU62" i="4" s="1"/>
  <c r="FM62" i="4"/>
  <c r="EV62" i="4"/>
  <c r="GE24" i="4"/>
  <c r="GC31" i="4"/>
  <c r="HN47" i="4"/>
  <c r="HO47" i="4" s="1"/>
  <c r="HK47" i="4"/>
  <c r="HR47" i="4"/>
  <c r="HS47" i="4" s="1"/>
  <c r="HV47" i="4"/>
  <c r="HW47" i="4" s="1"/>
  <c r="HN20" i="4"/>
  <c r="HO20" i="4" s="1"/>
  <c r="HV20" i="4"/>
  <c r="HW20" i="4" s="1"/>
  <c r="HR20" i="4"/>
  <c r="HS20" i="4" s="1"/>
  <c r="HK20" i="4"/>
  <c r="GC60" i="4"/>
  <c r="GE60" i="4" s="1"/>
  <c r="GG60" i="4" s="1"/>
  <c r="GI60" i="4" s="1"/>
  <c r="GC56" i="4"/>
  <c r="GG56" i="4" s="1"/>
  <c r="GC62" i="4"/>
  <c r="GE62" i="4" s="1"/>
  <c r="GG62" i="4" s="1"/>
  <c r="GI62" i="4" s="1"/>
  <c r="GA64" i="4"/>
  <c r="GC59" i="4"/>
  <c r="GE59" i="4" s="1"/>
  <c r="GG59" i="4" s="1"/>
  <c r="GI59" i="4" s="1"/>
  <c r="GC61" i="4"/>
  <c r="GE61" i="4" s="1"/>
  <c r="GG61" i="4" s="1"/>
  <c r="GI61" i="4" s="1"/>
  <c r="GC58" i="4"/>
  <c r="GE58" i="4" s="1"/>
  <c r="GG58" i="4" s="1"/>
  <c r="GI58" i="4" s="1"/>
  <c r="GC57" i="4"/>
  <c r="GE57" i="4" s="1"/>
  <c r="GG57" i="4" s="1"/>
  <c r="GI57" i="4" s="1"/>
  <c r="EV10" i="4"/>
  <c r="FX10" i="4"/>
  <c r="FM10" i="4"/>
  <c r="FM31" i="4" s="1"/>
  <c r="FP10" i="4"/>
  <c r="FT10" i="4"/>
  <c r="FT58" i="4"/>
  <c r="FU58" i="4" s="1"/>
  <c r="FP58" i="4"/>
  <c r="FQ58" i="4" s="1"/>
  <c r="FX58" i="4"/>
  <c r="FY58" i="4" s="1"/>
  <c r="FM58" i="4"/>
  <c r="IM12" i="4"/>
  <c r="IN12" i="4" s="1"/>
  <c r="IU12" i="4"/>
  <c r="IV12" i="4" s="1"/>
  <c r="IQ12" i="4"/>
  <c r="IR12" i="4" s="1"/>
  <c r="IJ12" i="4"/>
  <c r="HR19" i="4"/>
  <c r="HS19" i="4" s="1"/>
  <c r="HV19" i="4"/>
  <c r="HW19" i="4" s="1"/>
  <c r="HN19" i="4"/>
  <c r="HO19" i="4" s="1"/>
  <c r="HK19" i="4"/>
  <c r="GW50" i="4"/>
  <c r="GX50" i="4" s="1"/>
  <c r="GS50" i="4"/>
  <c r="GT50" i="4" s="1"/>
  <c r="GL50" i="4"/>
  <c r="GO50" i="4"/>
  <c r="GP50" i="4" s="1"/>
  <c r="DR24" i="4"/>
  <c r="DV24" i="4"/>
  <c r="DO24" i="4"/>
  <c r="DO31" i="4" s="1"/>
  <c r="DZ24" i="4"/>
  <c r="GS25" i="4"/>
  <c r="GT25" i="4" s="1"/>
  <c r="GW25" i="4"/>
  <c r="GX25" i="4" s="1"/>
  <c r="GO25" i="4"/>
  <c r="GP25" i="4" s="1"/>
  <c r="GL25" i="4"/>
  <c r="HB49" i="4"/>
  <c r="HF49" i="4" s="1"/>
  <c r="GZ56" i="4"/>
  <c r="HB55" i="4"/>
  <c r="HD55" i="4" s="1"/>
  <c r="HF55" i="4" s="1"/>
  <c r="HH55" i="4" s="1"/>
  <c r="HB51" i="4"/>
  <c r="HD51" i="4" s="1"/>
  <c r="HF51" i="4" s="1"/>
  <c r="HH51" i="4" s="1"/>
  <c r="HB50" i="4"/>
  <c r="HD50" i="4" s="1"/>
  <c r="HF50" i="4" s="1"/>
  <c r="HH50" i="4" s="1"/>
  <c r="HB54" i="4"/>
  <c r="HD54" i="4" s="1"/>
  <c r="HF54" i="4" s="1"/>
  <c r="HH54" i="4" s="1"/>
  <c r="HB53" i="4"/>
  <c r="HD53" i="4" s="1"/>
  <c r="HF53" i="4" s="1"/>
  <c r="HH53" i="4" s="1"/>
  <c r="HB52" i="4"/>
  <c r="HD52" i="4" s="1"/>
  <c r="HF52" i="4" s="1"/>
  <c r="HH52" i="4" s="1"/>
  <c r="IC10" i="4"/>
  <c r="HB23" i="4"/>
  <c r="HF23" i="4" s="1"/>
  <c r="HB28" i="4"/>
  <c r="HD28" i="4" s="1"/>
  <c r="HF28" i="4" s="1"/>
  <c r="HH28" i="4" s="1"/>
  <c r="HB29" i="4"/>
  <c r="HD29" i="4" s="1"/>
  <c r="HF29" i="4" s="1"/>
  <c r="HH29" i="4" s="1"/>
  <c r="HB27" i="4"/>
  <c r="HD27" i="4" s="1"/>
  <c r="HF27" i="4" s="1"/>
  <c r="HH27" i="4" s="1"/>
  <c r="HB25" i="4"/>
  <c r="HD25" i="4" s="1"/>
  <c r="HF25" i="4" s="1"/>
  <c r="HH25" i="4" s="1"/>
  <c r="HB26" i="4"/>
  <c r="HD26" i="4" s="1"/>
  <c r="HF26" i="4" s="1"/>
  <c r="HH26" i="4" s="1"/>
  <c r="GZ31" i="4"/>
  <c r="HB24" i="4"/>
  <c r="GW52" i="4"/>
  <c r="GX52" i="4" s="1"/>
  <c r="GO52" i="4"/>
  <c r="GP52" i="4" s="1"/>
  <c r="GS52" i="4"/>
  <c r="GT52" i="4" s="1"/>
  <c r="GL52" i="4"/>
  <c r="EZ10" i="4"/>
  <c r="FT61" i="4"/>
  <c r="FU61" i="4" s="1"/>
  <c r="FX61" i="4"/>
  <c r="FY61" i="4" s="1"/>
  <c r="FP61" i="4"/>
  <c r="FQ61" i="4" s="1"/>
  <c r="FM61" i="4"/>
  <c r="EZ62" i="4"/>
  <c r="DB65" i="4"/>
  <c r="DB66" i="4" s="1"/>
  <c r="W17" i="6"/>
  <c r="Y17" i="6" s="1"/>
  <c r="EA43" i="4"/>
  <c r="ER10" i="4"/>
  <c r="GS27" i="4"/>
  <c r="GT27" i="4" s="1"/>
  <c r="GW27" i="4"/>
  <c r="GX27" i="4" s="1"/>
  <c r="GO27" i="4"/>
  <c r="GP27" i="4" s="1"/>
  <c r="GL27" i="4"/>
  <c r="HD43" i="4"/>
  <c r="IM11" i="4"/>
  <c r="IN11" i="4" s="1"/>
  <c r="IU11" i="4"/>
  <c r="IV11" i="4" s="1"/>
  <c r="IQ11" i="4"/>
  <c r="IR11" i="4" s="1"/>
  <c r="IJ11" i="4"/>
  <c r="HN22" i="4"/>
  <c r="HO22" i="4" s="1"/>
  <c r="HR22" i="4"/>
  <c r="HS22" i="4" s="1"/>
  <c r="HV22" i="4"/>
  <c r="HW22" i="4" s="1"/>
  <c r="HK22" i="4"/>
  <c r="FF57" i="4"/>
  <c r="FD64" i="4"/>
  <c r="GS28" i="4"/>
  <c r="GT28" i="4" s="1"/>
  <c r="GW28" i="4"/>
  <c r="GX28" i="4" s="1"/>
  <c r="GO28" i="4"/>
  <c r="GP28" i="4" s="1"/>
  <c r="GL28" i="4"/>
  <c r="IM14" i="4"/>
  <c r="IN14" i="4" s="1"/>
  <c r="IQ14" i="4"/>
  <c r="IR14" i="4" s="1"/>
  <c r="IJ14" i="4"/>
  <c r="IU14" i="4"/>
  <c r="IV14" i="4" s="1"/>
  <c r="GS54" i="4"/>
  <c r="GT54" i="4" s="1"/>
  <c r="GO54" i="4"/>
  <c r="GP54" i="4" s="1"/>
  <c r="GW54" i="4"/>
  <c r="GX54" i="4" s="1"/>
  <c r="GL54" i="4"/>
  <c r="F16" i="10"/>
  <c r="F19" i="10"/>
  <c r="GS29" i="4"/>
  <c r="GT29" i="4" s="1"/>
  <c r="GW29" i="4"/>
  <c r="GX29" i="4" s="1"/>
  <c r="GO29" i="4"/>
  <c r="GP29" i="4" s="1"/>
  <c r="GL29" i="4"/>
  <c r="HF10" i="4"/>
  <c r="Y26" i="3"/>
  <c r="GW51" i="4"/>
  <c r="GX51" i="4" s="1"/>
  <c r="GL51" i="4"/>
  <c r="GO51" i="4"/>
  <c r="GP51" i="4" s="1"/>
  <c r="GS51" i="4"/>
  <c r="GT51" i="4" s="1"/>
  <c r="FP60" i="4"/>
  <c r="FQ60" i="4" s="1"/>
  <c r="FT60" i="4"/>
  <c r="FU60" i="4" s="1"/>
  <c r="FX60" i="4"/>
  <c r="FY60" i="4" s="1"/>
  <c r="AF13" i="6" s="1"/>
  <c r="FM60" i="4"/>
  <c r="GI10" i="4"/>
  <c r="EK24" i="4"/>
  <c r="EI31" i="4"/>
  <c r="HK44" i="4"/>
  <c r="HR44" i="4"/>
  <c r="HS44" i="4" s="1"/>
  <c r="HV44" i="4"/>
  <c r="HW44" i="4" s="1"/>
  <c r="HN44" i="4"/>
  <c r="HO44" i="4" s="1"/>
  <c r="IQ13" i="4"/>
  <c r="IR13" i="4" s="1"/>
  <c r="IM13" i="4"/>
  <c r="IN13" i="4" s="1"/>
  <c r="IU13" i="4"/>
  <c r="IV13" i="4" s="1"/>
  <c r="IJ13" i="4"/>
  <c r="IA47" i="4"/>
  <c r="IC47" i="4" s="1"/>
  <c r="IE47" i="4" s="1"/>
  <c r="IG47" i="4" s="1"/>
  <c r="IA45" i="4"/>
  <c r="IC45" i="4" s="1"/>
  <c r="IE45" i="4" s="1"/>
  <c r="IG45" i="4" s="1"/>
  <c r="IA48" i="4"/>
  <c r="IC48" i="4" s="1"/>
  <c r="IE48" i="4" s="1"/>
  <c r="IG48" i="4" s="1"/>
  <c r="IA44" i="4"/>
  <c r="IC44" i="4" s="1"/>
  <c r="IE44" i="4" s="1"/>
  <c r="IG44" i="4" s="1"/>
  <c r="IA46" i="4"/>
  <c r="IC46" i="4" s="1"/>
  <c r="IE46" i="4" s="1"/>
  <c r="IG46" i="4" s="1"/>
  <c r="IA43" i="4"/>
  <c r="IA42" i="4"/>
  <c r="IE42" i="4" s="1"/>
  <c r="HY49" i="4"/>
  <c r="HN46" i="4"/>
  <c r="HO46" i="4" s="1"/>
  <c r="HK46" i="4"/>
  <c r="HR46" i="4"/>
  <c r="HS46" i="4" s="1"/>
  <c r="HV46" i="4"/>
  <c r="HW46" i="4" s="1"/>
  <c r="IM15" i="4"/>
  <c r="IN15" i="4" s="1"/>
  <c r="IQ15" i="4"/>
  <c r="IR15" i="4" s="1"/>
  <c r="IU15" i="4"/>
  <c r="IV15" i="4" s="1"/>
  <c r="IJ15" i="4"/>
  <c r="DW43" i="4"/>
  <c r="HV17" i="4"/>
  <c r="HW17" i="4" s="1"/>
  <c r="HN17" i="4"/>
  <c r="HO17" i="4" s="1"/>
  <c r="HK17" i="4"/>
  <c r="HR17" i="4"/>
  <c r="HS17" i="4" s="1"/>
  <c r="H8" i="10"/>
  <c r="GO55" i="4"/>
  <c r="GP55" i="4" s="1"/>
  <c r="GW55" i="4"/>
  <c r="GX55" i="4" s="1"/>
  <c r="GS55" i="4"/>
  <c r="GT55" i="4" s="1"/>
  <c r="GL55" i="4"/>
  <c r="FP59" i="4"/>
  <c r="FQ59" i="4" s="1"/>
  <c r="FT59" i="4"/>
  <c r="FU59" i="4" s="1"/>
  <c r="FX59" i="4"/>
  <c r="FY59" i="4" s="1"/>
  <c r="FM59" i="4"/>
  <c r="GW26" i="4"/>
  <c r="GX26" i="4" s="1"/>
  <c r="GS26" i="4"/>
  <c r="GT26" i="4" s="1"/>
  <c r="GO26" i="4"/>
  <c r="GP26" i="4" s="1"/>
  <c r="GL26" i="4"/>
  <c r="DL57" i="4"/>
  <c r="DJ64" i="4"/>
  <c r="HN48" i="4"/>
  <c r="HO48" i="4" s="1"/>
  <c r="HK48" i="4"/>
  <c r="HR48" i="4"/>
  <c r="HS48" i="4" s="1"/>
  <c r="HV48" i="4"/>
  <c r="HW48" i="4" s="1"/>
  <c r="HY23" i="4"/>
  <c r="IA21" i="4"/>
  <c r="IC21" i="4" s="1"/>
  <c r="IE21" i="4" s="1"/>
  <c r="IG21" i="4" s="1"/>
  <c r="IA18" i="4"/>
  <c r="IC18" i="4" s="1"/>
  <c r="IE18" i="4" s="1"/>
  <c r="IG18" i="4" s="1"/>
  <c r="IA19" i="4"/>
  <c r="IC19" i="4" s="1"/>
  <c r="IE19" i="4" s="1"/>
  <c r="IG19" i="4" s="1"/>
  <c r="IA17" i="4"/>
  <c r="IC17" i="4" s="1"/>
  <c r="IE17" i="4" s="1"/>
  <c r="IG17" i="4" s="1"/>
  <c r="IA16" i="4"/>
  <c r="IE16" i="4" s="1"/>
  <c r="IA20" i="4"/>
  <c r="IC20" i="4" s="1"/>
  <c r="IE20" i="4" s="1"/>
  <c r="IG20" i="4" s="1"/>
  <c r="IA22" i="4"/>
  <c r="IC22" i="4" s="1"/>
  <c r="IE22" i="4" s="1"/>
  <c r="IG22" i="4" s="1"/>
  <c r="GG43" i="4"/>
  <c r="DS43" i="4"/>
  <c r="HN21" i="4"/>
  <c r="HO21" i="4" s="1"/>
  <c r="HR21" i="4"/>
  <c r="HS21" i="4" s="1"/>
  <c r="HV21" i="4"/>
  <c r="HW21" i="4" s="1"/>
  <c r="HK21" i="4"/>
  <c r="EU43" i="4"/>
  <c r="EV43" i="4" s="1"/>
  <c r="EY43" i="4"/>
  <c r="EZ43" i="4" s="1"/>
  <c r="EN43" i="4"/>
  <c r="EN64" i="4" s="1"/>
  <c r="EQ43" i="4"/>
  <c r="GS53" i="4"/>
  <c r="GT53" i="4" s="1"/>
  <c r="GO53" i="4"/>
  <c r="GP53" i="4" s="1"/>
  <c r="GW53" i="4"/>
  <c r="GX53" i="4" s="1"/>
  <c r="GL53" i="4"/>
  <c r="FJ43" i="4"/>
  <c r="Z73" i="6"/>
  <c r="Z59" i="6"/>
  <c r="AC39" i="6"/>
  <c r="Z57" i="6"/>
  <c r="Z58" i="6"/>
  <c r="Z56" i="6"/>
  <c r="W62" i="6"/>
  <c r="Z43" i="6"/>
  <c r="AB43" i="6" s="1"/>
  <c r="K27" i="10"/>
  <c r="J36" i="10"/>
  <c r="J35" i="10"/>
  <c r="I42" i="10"/>
  <c r="M39" i="3"/>
  <c r="M53" i="3"/>
  <c r="M38" i="3"/>
  <c r="M47" i="3"/>
  <c r="M55" i="3"/>
  <c r="M56" i="3"/>
  <c r="AN37" i="3"/>
  <c r="N14" i="3"/>
  <c r="AB34" i="3"/>
  <c r="M24" i="3"/>
  <c r="J39" i="3"/>
  <c r="S39" i="3"/>
  <c r="AH13" i="6" l="1"/>
  <c r="L58" i="6"/>
  <c r="M57" i="6"/>
  <c r="E7" i="13"/>
  <c r="E18" i="13" s="1"/>
  <c r="F32" i="12"/>
  <c r="AM54" i="3"/>
  <c r="AM62" i="3"/>
  <c r="AD39" i="12"/>
  <c r="AE38" i="12"/>
  <c r="U46" i="12"/>
  <c r="V45" i="12"/>
  <c r="P25" i="12"/>
  <c r="Y40" i="12"/>
  <c r="X45" i="12"/>
  <c r="Y44" i="12"/>
  <c r="AH33" i="12"/>
  <c r="AG34" i="12"/>
  <c r="AG37" i="12" s="1"/>
  <c r="AK33" i="12"/>
  <c r="AJ34" i="12"/>
  <c r="AJ37" i="12" s="1"/>
  <c r="AA41" i="12"/>
  <c r="AA44" i="12" s="1"/>
  <c r="AB39" i="12"/>
  <c r="AB40" i="12" s="1"/>
  <c r="AJ58" i="3"/>
  <c r="Z21" i="3"/>
  <c r="AB21" i="3" s="1"/>
  <c r="AE39" i="6"/>
  <c r="W42" i="3"/>
  <c r="Y42" i="3" s="1"/>
  <c r="AB59" i="6"/>
  <c r="W56" i="3"/>
  <c r="AB73" i="6"/>
  <c r="T45" i="3"/>
  <c r="Y62" i="6"/>
  <c r="W39" i="3"/>
  <c r="AB56" i="6"/>
  <c r="W40" i="3"/>
  <c r="Y40" i="3" s="1"/>
  <c r="AB57" i="6"/>
  <c r="W41" i="3"/>
  <c r="Y41" i="3" s="1"/>
  <c r="AB58" i="6"/>
  <c r="Q47" i="3"/>
  <c r="V64" i="6"/>
  <c r="W64" i="6"/>
  <c r="T46" i="3"/>
  <c r="V46" i="3" s="1"/>
  <c r="Z63" i="6"/>
  <c r="AB63" i="6" s="1"/>
  <c r="Z44" i="3"/>
  <c r="AF61" i="6"/>
  <c r="AH61" i="6" s="1"/>
  <c r="N48" i="3"/>
  <c r="P48" i="3" s="1"/>
  <c r="T65" i="6"/>
  <c r="V65" i="6" s="1"/>
  <c r="F46" i="6"/>
  <c r="F51" i="6" s="1"/>
  <c r="AI60" i="6"/>
  <c r="AK60" i="6" s="1"/>
  <c r="AC43" i="3"/>
  <c r="G67" i="6"/>
  <c r="D49" i="3"/>
  <c r="Q66" i="6"/>
  <c r="S66" i="6" s="1"/>
  <c r="EV64" i="4"/>
  <c r="EV65" i="4" s="1"/>
  <c r="AM55" i="3"/>
  <c r="AM56" i="3" s="1"/>
  <c r="AM58" i="3"/>
  <c r="W24" i="3"/>
  <c r="AI20" i="3"/>
  <c r="AK20" i="3" s="1"/>
  <c r="AO38" i="6"/>
  <c r="T11" i="3"/>
  <c r="Z23" i="3"/>
  <c r="AB23" i="3" s="1"/>
  <c r="AF42" i="6"/>
  <c r="AH42" i="6" s="1"/>
  <c r="Q10" i="3"/>
  <c r="S10" i="3" s="1"/>
  <c r="AB58" i="3"/>
  <c r="Y56" i="3"/>
  <c r="GC64" i="4"/>
  <c r="EA24" i="4"/>
  <c r="EA31" i="4" s="1"/>
  <c r="DZ31" i="4"/>
  <c r="DW24" i="4"/>
  <c r="DW31" i="4" s="1"/>
  <c r="DW32" i="4" s="1"/>
  <c r="DV31" i="4"/>
  <c r="DS24" i="4"/>
  <c r="DS31" i="4" s="1"/>
  <c r="DS32" i="4" s="1"/>
  <c r="DR31" i="4"/>
  <c r="CX33" i="4"/>
  <c r="W16" i="6"/>
  <c r="Y16" i="6" s="1"/>
  <c r="DB32" i="4"/>
  <c r="DB33" i="4" s="1"/>
  <c r="IU19" i="4"/>
  <c r="IV19" i="4" s="1"/>
  <c r="IQ19" i="4"/>
  <c r="IR19" i="4" s="1"/>
  <c r="IM19" i="4"/>
  <c r="IN19" i="4" s="1"/>
  <c r="IJ19" i="4"/>
  <c r="HY56" i="4"/>
  <c r="IA53" i="4"/>
  <c r="IC53" i="4" s="1"/>
  <c r="IE53" i="4" s="1"/>
  <c r="IG53" i="4" s="1"/>
  <c r="IA50" i="4"/>
  <c r="IC50" i="4" s="1"/>
  <c r="IE50" i="4" s="1"/>
  <c r="IG50" i="4" s="1"/>
  <c r="IA54" i="4"/>
  <c r="IC54" i="4" s="1"/>
  <c r="IE54" i="4" s="1"/>
  <c r="IG54" i="4" s="1"/>
  <c r="IA49" i="4"/>
  <c r="IE49" i="4" s="1"/>
  <c r="IA55" i="4"/>
  <c r="IC55" i="4" s="1"/>
  <c r="IE55" i="4" s="1"/>
  <c r="IG55" i="4" s="1"/>
  <c r="IA52" i="4"/>
  <c r="IC52" i="4" s="1"/>
  <c r="IE52" i="4" s="1"/>
  <c r="IG52" i="4" s="1"/>
  <c r="IA51" i="4"/>
  <c r="IC51" i="4" s="1"/>
  <c r="IE51" i="4" s="1"/>
  <c r="IG51" i="4" s="1"/>
  <c r="HR54" i="4"/>
  <c r="HS54" i="4" s="1"/>
  <c r="HV54" i="4"/>
  <c r="HW54" i="4" s="1"/>
  <c r="HN54" i="4"/>
  <c r="HO54" i="4" s="1"/>
  <c r="HK54" i="4"/>
  <c r="FP43" i="4"/>
  <c r="FX43" i="4"/>
  <c r="FT43" i="4"/>
  <c r="FM43" i="4"/>
  <c r="DZ57" i="4"/>
  <c r="DO57" i="4"/>
  <c r="DO64" i="4" s="1"/>
  <c r="DR57" i="4"/>
  <c r="DV57" i="4"/>
  <c r="HN28" i="4"/>
  <c r="HO28" i="4" s="1"/>
  <c r="HR28" i="4"/>
  <c r="HS28" i="4" s="1"/>
  <c r="HV28" i="4"/>
  <c r="HW28" i="4" s="1"/>
  <c r="HK28" i="4"/>
  <c r="EU64" i="4"/>
  <c r="GE64" i="4"/>
  <c r="IM21" i="4"/>
  <c r="IN21" i="4" s="1"/>
  <c r="IQ21" i="4"/>
  <c r="IR21" i="4" s="1"/>
  <c r="IU21" i="4"/>
  <c r="IV21" i="4" s="1"/>
  <c r="IJ21" i="4"/>
  <c r="IC43" i="4"/>
  <c r="HF43" i="4"/>
  <c r="HK51" i="4"/>
  <c r="HV51" i="4"/>
  <c r="HW51" i="4" s="1"/>
  <c r="HN51" i="4"/>
  <c r="HO51" i="4" s="1"/>
  <c r="HR51" i="4"/>
  <c r="HS51" i="4" s="1"/>
  <c r="FY10" i="4"/>
  <c r="FY31" i="4" s="1"/>
  <c r="FX31" i="4"/>
  <c r="GS62" i="4"/>
  <c r="GT62" i="4" s="1"/>
  <c r="GW62" i="4"/>
  <c r="GX62" i="4" s="1"/>
  <c r="GO62" i="4"/>
  <c r="GP62" i="4" s="1"/>
  <c r="GL62" i="4"/>
  <c r="HR29" i="4"/>
  <c r="HS29" i="4" s="1"/>
  <c r="HN29" i="4"/>
  <c r="HO29" i="4" s="1"/>
  <c r="HV29" i="4"/>
  <c r="HW29" i="4" s="1"/>
  <c r="HK29" i="4"/>
  <c r="GI43" i="4"/>
  <c r="GG64" i="4"/>
  <c r="IA24" i="4"/>
  <c r="IC24" i="4" s="1"/>
  <c r="IE24" i="4" s="1"/>
  <c r="IG24" i="4" s="1"/>
  <c r="IA23" i="4"/>
  <c r="IE23" i="4" s="1"/>
  <c r="IA29" i="4"/>
  <c r="IC29" i="4" s="1"/>
  <c r="IE29" i="4" s="1"/>
  <c r="IG29" i="4" s="1"/>
  <c r="IA26" i="4"/>
  <c r="IC26" i="4" s="1"/>
  <c r="IE26" i="4" s="1"/>
  <c r="IG26" i="4" s="1"/>
  <c r="IA27" i="4"/>
  <c r="IC27" i="4" s="1"/>
  <c r="IE27" i="4" s="1"/>
  <c r="IG27" i="4" s="1"/>
  <c r="IA25" i="4"/>
  <c r="IC25" i="4" s="1"/>
  <c r="IE25" i="4" s="1"/>
  <c r="IG25" i="4" s="1"/>
  <c r="IA28" i="4"/>
  <c r="IC28" i="4" s="1"/>
  <c r="IE28" i="4" s="1"/>
  <c r="IG28" i="4" s="1"/>
  <c r="HY31" i="4"/>
  <c r="IM46" i="4"/>
  <c r="IN46" i="4" s="1"/>
  <c r="IJ46" i="4"/>
  <c r="IQ46" i="4"/>
  <c r="IR46" i="4" s="1"/>
  <c r="IU46" i="4"/>
  <c r="IV46" i="4" s="1"/>
  <c r="EN24" i="4"/>
  <c r="EN31" i="4" s="1"/>
  <c r="EU24" i="4"/>
  <c r="EQ24" i="4"/>
  <c r="EY24" i="4"/>
  <c r="HH10" i="4"/>
  <c r="HD24" i="4"/>
  <c r="HB31" i="4"/>
  <c r="HN55" i="4"/>
  <c r="HO55" i="4" s="1"/>
  <c r="HV55" i="4"/>
  <c r="HW55" i="4" s="1"/>
  <c r="HR55" i="4"/>
  <c r="HS55" i="4" s="1"/>
  <c r="HK55" i="4"/>
  <c r="IM18" i="4"/>
  <c r="IN18" i="4" s="1"/>
  <c r="IJ18" i="4"/>
  <c r="IQ18" i="4"/>
  <c r="IR18" i="4" s="1"/>
  <c r="IU18" i="4"/>
  <c r="IV18" i="4" s="1"/>
  <c r="G13" i="10"/>
  <c r="F20" i="10"/>
  <c r="Q17" i="12" s="1"/>
  <c r="HR50" i="4"/>
  <c r="HS50" i="4" s="1"/>
  <c r="HK50" i="4"/>
  <c r="HN50" i="4"/>
  <c r="HO50" i="4" s="1"/>
  <c r="HV50" i="4"/>
  <c r="HW50" i="4" s="1"/>
  <c r="IM22" i="4"/>
  <c r="IN22" i="4" s="1"/>
  <c r="IQ22" i="4"/>
  <c r="IU22" i="4"/>
  <c r="IV22" i="4" s="1"/>
  <c r="IJ22" i="4"/>
  <c r="IQ44" i="4"/>
  <c r="IR44" i="4" s="1"/>
  <c r="IU44" i="4"/>
  <c r="IV44" i="4" s="1"/>
  <c r="IJ44" i="4"/>
  <c r="IM44" i="4"/>
  <c r="IN44" i="4" s="1"/>
  <c r="HB57" i="4"/>
  <c r="HB62" i="4"/>
  <c r="HD62" i="4" s="1"/>
  <c r="HF62" i="4" s="1"/>
  <c r="HH62" i="4" s="1"/>
  <c r="HB56" i="4"/>
  <c r="HF56" i="4" s="1"/>
  <c r="HB60" i="4"/>
  <c r="HD60" i="4" s="1"/>
  <c r="HF60" i="4" s="1"/>
  <c r="HH60" i="4" s="1"/>
  <c r="HB61" i="4"/>
  <c r="HD61" i="4" s="1"/>
  <c r="HF61" i="4" s="1"/>
  <c r="HH61" i="4" s="1"/>
  <c r="GZ64" i="4"/>
  <c r="HB59" i="4"/>
  <c r="HD59" i="4" s="1"/>
  <c r="HF59" i="4" s="1"/>
  <c r="HH59" i="4" s="1"/>
  <c r="HB58" i="4"/>
  <c r="HD58" i="4" s="1"/>
  <c r="HF58" i="4" s="1"/>
  <c r="HH58" i="4" s="1"/>
  <c r="GW60" i="4"/>
  <c r="GX60" i="4" s="1"/>
  <c r="AI13" i="6" s="1"/>
  <c r="AK13" i="6" s="1"/>
  <c r="GS60" i="4"/>
  <c r="GT60" i="4" s="1"/>
  <c r="GO60" i="4"/>
  <c r="GP60" i="4" s="1"/>
  <c r="GL60" i="4"/>
  <c r="FP31" i="4"/>
  <c r="FQ10" i="4"/>
  <c r="FQ31" i="4" s="1"/>
  <c r="FQ32" i="4" s="1"/>
  <c r="IM20" i="4"/>
  <c r="IN20" i="4" s="1"/>
  <c r="IU20" i="4"/>
  <c r="IV20" i="4" s="1"/>
  <c r="IQ20" i="4"/>
  <c r="IR20" i="4" s="1"/>
  <c r="IJ20" i="4"/>
  <c r="EZ64" i="4"/>
  <c r="HR26" i="4"/>
  <c r="HS26" i="4" s="1"/>
  <c r="HN26" i="4"/>
  <c r="HO26" i="4" s="1"/>
  <c r="HV26" i="4"/>
  <c r="HW26" i="4" s="1"/>
  <c r="HK26" i="4"/>
  <c r="GS57" i="4"/>
  <c r="GT57" i="4" s="1"/>
  <c r="GL57" i="4"/>
  <c r="GW57" i="4"/>
  <c r="GX57" i="4" s="1"/>
  <c r="GO57" i="4"/>
  <c r="GP57" i="4" s="1"/>
  <c r="AC46" i="6"/>
  <c r="H14" i="10"/>
  <c r="Z26" i="3" s="1"/>
  <c r="I5" i="10"/>
  <c r="GW59" i="4"/>
  <c r="GX59" i="4" s="1"/>
  <c r="GL59" i="4"/>
  <c r="GS59" i="4"/>
  <c r="GT59" i="4" s="1"/>
  <c r="GO59" i="4"/>
  <c r="GP59" i="4" s="1"/>
  <c r="IM48" i="4"/>
  <c r="IN48" i="4" s="1"/>
  <c r="IQ48" i="4"/>
  <c r="IR48" i="4" s="1"/>
  <c r="IU48" i="4"/>
  <c r="IV48" i="4" s="1"/>
  <c r="IJ48" i="4"/>
  <c r="GL10" i="4"/>
  <c r="GW10" i="4"/>
  <c r="GO10" i="4"/>
  <c r="GS10" i="4"/>
  <c r="IE10" i="4"/>
  <c r="ER43" i="4"/>
  <c r="ER64" i="4" s="1"/>
  <c r="ER65" i="4" s="1"/>
  <c r="EQ64" i="4"/>
  <c r="IM45" i="4"/>
  <c r="IN45" i="4" s="1"/>
  <c r="IJ45" i="4"/>
  <c r="IQ45" i="4"/>
  <c r="IR45" i="4" s="1"/>
  <c r="IU45" i="4"/>
  <c r="IV45" i="4" s="1"/>
  <c r="EY64" i="4"/>
  <c r="HN25" i="4"/>
  <c r="HO25" i="4" s="1"/>
  <c r="HK25" i="4"/>
  <c r="HR25" i="4"/>
  <c r="HS25" i="4" s="1"/>
  <c r="HV25" i="4"/>
  <c r="HW25" i="4" s="1"/>
  <c r="HV52" i="4"/>
  <c r="HW52" i="4" s="1"/>
  <c r="HN52" i="4"/>
  <c r="HO52" i="4" s="1"/>
  <c r="HK52" i="4"/>
  <c r="HR52" i="4"/>
  <c r="HS52" i="4" s="1"/>
  <c r="GL58" i="4"/>
  <c r="GW58" i="4"/>
  <c r="GX58" i="4" s="1"/>
  <c r="GO58" i="4"/>
  <c r="GP58" i="4" s="1"/>
  <c r="GS58" i="4"/>
  <c r="GT58" i="4" s="1"/>
  <c r="IJ17" i="4"/>
  <c r="IM17" i="4"/>
  <c r="IN17" i="4" s="1"/>
  <c r="IQ17" i="4"/>
  <c r="IR17" i="4" s="1"/>
  <c r="IU17" i="4"/>
  <c r="IV17" i="4" s="1"/>
  <c r="IM47" i="4"/>
  <c r="IN47" i="4" s="1"/>
  <c r="IJ47" i="4"/>
  <c r="IQ47" i="4"/>
  <c r="IR47" i="4" s="1"/>
  <c r="IU47" i="4"/>
  <c r="IV47" i="4" s="1"/>
  <c r="FH57" i="4"/>
  <c r="FF64" i="4"/>
  <c r="HR27" i="4"/>
  <c r="HS27" i="4" s="1"/>
  <c r="HN27" i="4"/>
  <c r="HO27" i="4" s="1"/>
  <c r="HV27" i="4"/>
  <c r="HW27" i="4" s="1"/>
  <c r="HK27" i="4"/>
  <c r="HV53" i="4"/>
  <c r="HW53" i="4" s="1"/>
  <c r="HR53" i="4"/>
  <c r="HS53" i="4" s="1"/>
  <c r="HN53" i="4"/>
  <c r="HO53" i="4" s="1"/>
  <c r="HK53" i="4"/>
  <c r="FU10" i="4"/>
  <c r="FU31" i="4" s="1"/>
  <c r="FU32" i="4" s="1"/>
  <c r="FT31" i="4"/>
  <c r="GW61" i="4"/>
  <c r="GX61" i="4" s="1"/>
  <c r="GO61" i="4"/>
  <c r="GP61" i="4" s="1"/>
  <c r="GS61" i="4"/>
  <c r="GT61" i="4" s="1"/>
  <c r="GL61" i="4"/>
  <c r="GG24" i="4"/>
  <c r="GE31" i="4"/>
  <c r="AC73" i="6"/>
  <c r="AC57" i="6"/>
  <c r="AC59" i="6"/>
  <c r="AC58" i="6"/>
  <c r="AF39" i="6"/>
  <c r="AC56" i="6"/>
  <c r="Z62" i="6"/>
  <c r="AC43" i="6"/>
  <c r="J38" i="10"/>
  <c r="J41" i="10"/>
  <c r="K30" i="10"/>
  <c r="S11" i="3"/>
  <c r="S43" i="3"/>
  <c r="AE34" i="3"/>
  <c r="J43" i="3"/>
  <c r="V39" i="3"/>
  <c r="L59" i="6" l="1"/>
  <c r="M58" i="6"/>
  <c r="F33" i="12"/>
  <c r="AD41" i="12"/>
  <c r="AD44" i="12" s="1"/>
  <c r="AE39" i="12"/>
  <c r="S17" i="12"/>
  <c r="Q25" i="12"/>
  <c r="AA45" i="12"/>
  <c r="AB44" i="12"/>
  <c r="Y45" i="12"/>
  <c r="X46" i="12"/>
  <c r="AK37" i="12"/>
  <c r="AJ38" i="12"/>
  <c r="AH37" i="12"/>
  <c r="AG38" i="12"/>
  <c r="Z27" i="3"/>
  <c r="AB27" i="3" s="1"/>
  <c r="AE46" i="6"/>
  <c r="Z41" i="3"/>
  <c r="AB41" i="3" s="1"/>
  <c r="AE58" i="6"/>
  <c r="Z39" i="3"/>
  <c r="AE56" i="6"/>
  <c r="AC21" i="3"/>
  <c r="AE21" i="3" s="1"/>
  <c r="AH39" i="6"/>
  <c r="Z40" i="3"/>
  <c r="AB40" i="3" s="1"/>
  <c r="AE57" i="6"/>
  <c r="H38" i="6"/>
  <c r="AQ38" i="6"/>
  <c r="J38" i="6" s="1"/>
  <c r="Z42" i="3"/>
  <c r="AB42" i="3" s="1"/>
  <c r="AE59" i="6"/>
  <c r="Z56" i="3"/>
  <c r="AB56" i="3" s="1"/>
  <c r="AE73" i="6"/>
  <c r="Z24" i="3"/>
  <c r="AE43" i="6"/>
  <c r="W45" i="3"/>
  <c r="AB62" i="6"/>
  <c r="T47" i="3"/>
  <c r="Y64" i="6"/>
  <c r="T66" i="6"/>
  <c r="V66" i="6" s="1"/>
  <c r="N49" i="3"/>
  <c r="P49" i="3" s="1"/>
  <c r="G68" i="6"/>
  <c r="D50" i="3"/>
  <c r="Q67" i="6"/>
  <c r="S67" i="6" s="1"/>
  <c r="AI61" i="6"/>
  <c r="AK61" i="6" s="1"/>
  <c r="AC44" i="3"/>
  <c r="AF43" i="3"/>
  <c r="AL60" i="6"/>
  <c r="AN60" i="6" s="1"/>
  <c r="Z64" i="6"/>
  <c r="AB64" i="6" s="1"/>
  <c r="W46" i="3"/>
  <c r="AC63" i="6"/>
  <c r="AE63" i="6" s="1"/>
  <c r="W65" i="6"/>
  <c r="Y65" i="6" s="1"/>
  <c r="Q48" i="3"/>
  <c r="EV66" i="4"/>
  <c r="FU33" i="4"/>
  <c r="Q14" i="3"/>
  <c r="S14" i="3"/>
  <c r="AC23" i="3"/>
  <c r="AE23" i="3" s="1"/>
  <c r="AI42" i="6"/>
  <c r="AK42" i="6" s="1"/>
  <c r="AL20" i="3"/>
  <c r="AN20" i="3" s="1"/>
  <c r="T10" i="3"/>
  <c r="V10" i="3" s="1"/>
  <c r="AE58" i="3"/>
  <c r="DS57" i="4"/>
  <c r="DS64" i="4" s="1"/>
  <c r="DS65" i="4" s="1"/>
  <c r="DR64" i="4"/>
  <c r="DW57" i="4"/>
  <c r="DW64" i="4" s="1"/>
  <c r="DW65" i="4" s="1"/>
  <c r="DV64" i="4"/>
  <c r="EA57" i="4"/>
  <c r="EA64" i="4" s="1"/>
  <c r="DZ64" i="4"/>
  <c r="EV24" i="4"/>
  <c r="EV31" i="4" s="1"/>
  <c r="EV32" i="4" s="1"/>
  <c r="EU31" i="4"/>
  <c r="DW33" i="4"/>
  <c r="IA31" i="4"/>
  <c r="EZ24" i="4"/>
  <c r="EZ31" i="4" s="1"/>
  <c r="EY31" i="4"/>
  <c r="Z16" i="6"/>
  <c r="AB16" i="6" s="1"/>
  <c r="EA32" i="4"/>
  <c r="EA33" i="4" s="1"/>
  <c r="ER24" i="4"/>
  <c r="ER31" i="4" s="1"/>
  <c r="ER32" i="4" s="1"/>
  <c r="EQ31" i="4"/>
  <c r="IC31" i="4"/>
  <c r="GX10" i="4"/>
  <c r="HN59" i="4"/>
  <c r="HO59" i="4" s="1"/>
  <c r="HV59" i="4"/>
  <c r="HW59" i="4" s="1"/>
  <c r="HR59" i="4"/>
  <c r="HS59" i="4" s="1"/>
  <c r="HK59" i="4"/>
  <c r="IQ27" i="4"/>
  <c r="IR27" i="4" s="1"/>
  <c r="IM27" i="4"/>
  <c r="IN27" i="4" s="1"/>
  <c r="IU27" i="4"/>
  <c r="IV27" i="4" s="1"/>
  <c r="IJ27" i="4"/>
  <c r="GI24" i="4"/>
  <c r="GG31" i="4"/>
  <c r="FJ57" i="4"/>
  <c r="FH64" i="4"/>
  <c r="IU26" i="4"/>
  <c r="IV26" i="4" s="1"/>
  <c r="IQ26" i="4"/>
  <c r="IR26" i="4" s="1"/>
  <c r="IM26" i="4"/>
  <c r="IN26" i="4" s="1"/>
  <c r="IJ26" i="4"/>
  <c r="FY32" i="4"/>
  <c r="FY33" i="4" s="1"/>
  <c r="AF16" i="6"/>
  <c r="AH16" i="6" s="1"/>
  <c r="HH43" i="4"/>
  <c r="IA58" i="4"/>
  <c r="IC58" i="4" s="1"/>
  <c r="IE58" i="4" s="1"/>
  <c r="IG58" i="4" s="1"/>
  <c r="IA61" i="4"/>
  <c r="IC61" i="4" s="1"/>
  <c r="IE61" i="4" s="1"/>
  <c r="IG61" i="4" s="1"/>
  <c r="IA62" i="4"/>
  <c r="IC62" i="4" s="1"/>
  <c r="IE62" i="4" s="1"/>
  <c r="IG62" i="4" s="1"/>
  <c r="IA59" i="4"/>
  <c r="IC59" i="4" s="1"/>
  <c r="IE59" i="4" s="1"/>
  <c r="IG59" i="4" s="1"/>
  <c r="IA56" i="4"/>
  <c r="IE56" i="4" s="1"/>
  <c r="HY64" i="4"/>
  <c r="IA60" i="4"/>
  <c r="IC60" i="4" s="1"/>
  <c r="IE60" i="4" s="1"/>
  <c r="IG60" i="4" s="1"/>
  <c r="IA57" i="4"/>
  <c r="IC57" i="4" s="1"/>
  <c r="IE57" i="4" s="1"/>
  <c r="IG57" i="4" s="1"/>
  <c r="EZ65" i="4"/>
  <c r="EZ66" i="4" s="1"/>
  <c r="AC17" i="6"/>
  <c r="AE17" i="6" s="1"/>
  <c r="G16" i="10"/>
  <c r="G19" i="10"/>
  <c r="IQ50" i="4"/>
  <c r="IR50" i="4" s="1"/>
  <c r="IM50" i="4"/>
  <c r="IN50" i="4" s="1"/>
  <c r="IJ50" i="4"/>
  <c r="IU50" i="4"/>
  <c r="IV50" i="4" s="1"/>
  <c r="IQ53" i="4"/>
  <c r="IR53" i="4" s="1"/>
  <c r="IM53" i="4"/>
  <c r="IN53" i="4" s="1"/>
  <c r="IU53" i="4"/>
  <c r="IV53" i="4" s="1"/>
  <c r="IJ53" i="4"/>
  <c r="I8" i="10"/>
  <c r="HN61" i="4"/>
  <c r="HO61" i="4" s="1"/>
  <c r="HK61" i="4"/>
  <c r="HR61" i="4"/>
  <c r="HS61" i="4" s="1"/>
  <c r="HV61" i="4"/>
  <c r="HW61" i="4" s="1"/>
  <c r="HF24" i="4"/>
  <c r="HD31" i="4"/>
  <c r="IQ29" i="4"/>
  <c r="IR29" i="4" s="1"/>
  <c r="IM29" i="4"/>
  <c r="IN29" i="4" s="1"/>
  <c r="IU29" i="4"/>
  <c r="IV29" i="4" s="1"/>
  <c r="IJ29" i="4"/>
  <c r="IJ51" i="4"/>
  <c r="IM51" i="4"/>
  <c r="IN51" i="4" s="1"/>
  <c r="IU51" i="4"/>
  <c r="IV51" i="4" s="1"/>
  <c r="IQ51" i="4"/>
  <c r="IR51" i="4" s="1"/>
  <c r="AB26" i="3"/>
  <c r="HK60" i="4"/>
  <c r="HN60" i="4"/>
  <c r="HO60" i="4" s="1"/>
  <c r="HR60" i="4"/>
  <c r="HS60" i="4" s="1"/>
  <c r="HV60" i="4"/>
  <c r="HW60" i="4" s="1"/>
  <c r="AL13" i="6" s="1"/>
  <c r="AN13" i="6" s="1"/>
  <c r="IE43" i="4"/>
  <c r="FU43" i="4"/>
  <c r="IM52" i="4"/>
  <c r="IN52" i="4" s="1"/>
  <c r="IQ52" i="4"/>
  <c r="IR52" i="4" s="1"/>
  <c r="IJ52" i="4"/>
  <c r="IU52" i="4"/>
  <c r="IV52" i="4" s="1"/>
  <c r="IR22" i="4"/>
  <c r="IG10" i="4"/>
  <c r="IE31" i="4"/>
  <c r="HV10" i="4"/>
  <c r="HK10" i="4"/>
  <c r="HR10" i="4"/>
  <c r="HN10" i="4"/>
  <c r="IU24" i="4"/>
  <c r="IV24" i="4" s="1"/>
  <c r="IQ24" i="4"/>
  <c r="IR24" i="4" s="1"/>
  <c r="IM24" i="4"/>
  <c r="IN24" i="4" s="1"/>
  <c r="IJ24" i="4"/>
  <c r="FY43" i="4"/>
  <c r="IM55" i="4"/>
  <c r="IN55" i="4" s="1"/>
  <c r="IQ55" i="4"/>
  <c r="IR55" i="4" s="1"/>
  <c r="IU55" i="4"/>
  <c r="IV55" i="4" s="1"/>
  <c r="IJ55" i="4"/>
  <c r="GT10" i="4"/>
  <c r="HN62" i="4"/>
  <c r="HO62" i="4" s="1"/>
  <c r="HR62" i="4"/>
  <c r="HS62" i="4" s="1"/>
  <c r="HV62" i="4"/>
  <c r="HW62" i="4" s="1"/>
  <c r="HK62" i="4"/>
  <c r="FQ43" i="4"/>
  <c r="HN58" i="4"/>
  <c r="HO58" i="4" s="1"/>
  <c r="HK58" i="4"/>
  <c r="HR58" i="4"/>
  <c r="HS58" i="4" s="1"/>
  <c r="HV58" i="4"/>
  <c r="HW58" i="4" s="1"/>
  <c r="IU25" i="4"/>
  <c r="IV25" i="4" s="1"/>
  <c r="IQ25" i="4"/>
  <c r="IR25" i="4" s="1"/>
  <c r="IM25" i="4"/>
  <c r="IN25" i="4" s="1"/>
  <c r="IJ25" i="4"/>
  <c r="GP10" i="4"/>
  <c r="HD57" i="4"/>
  <c r="HB64" i="4"/>
  <c r="IQ28" i="4"/>
  <c r="IR28" i="4" s="1"/>
  <c r="IM28" i="4"/>
  <c r="IN28" i="4" s="1"/>
  <c r="IU28" i="4"/>
  <c r="IV28" i="4" s="1"/>
  <c r="IJ28" i="4"/>
  <c r="GW43" i="4"/>
  <c r="GL43" i="4"/>
  <c r="GL64" i="4" s="1"/>
  <c r="GO43" i="4"/>
  <c r="GS43" i="4"/>
  <c r="IM54" i="4"/>
  <c r="IN54" i="4" s="1"/>
  <c r="IQ54" i="4"/>
  <c r="IR54" i="4" s="1"/>
  <c r="IU54" i="4"/>
  <c r="IV54" i="4" s="1"/>
  <c r="IJ54" i="4"/>
  <c r="AF73" i="6"/>
  <c r="AF58" i="6"/>
  <c r="AF57" i="6"/>
  <c r="AI39" i="6"/>
  <c r="AF56" i="6"/>
  <c r="AF59" i="6"/>
  <c r="AC62" i="6"/>
  <c r="AF43" i="6"/>
  <c r="L27" i="10"/>
  <c r="K36" i="10"/>
  <c r="K35" i="10"/>
  <c r="J42" i="10"/>
  <c r="V11" i="3"/>
  <c r="F54" i="6"/>
  <c r="Y39" i="3"/>
  <c r="S45" i="3"/>
  <c r="S44" i="3"/>
  <c r="S47" i="3"/>
  <c r="AH34" i="3"/>
  <c r="J45" i="3"/>
  <c r="J44" i="3"/>
  <c r="V43" i="3"/>
  <c r="J47" i="3"/>
  <c r="L60" i="6" l="1"/>
  <c r="M59" i="6"/>
  <c r="F7" i="13"/>
  <c r="F18" i="13" s="1"/>
  <c r="F37" i="12"/>
  <c r="AG39" i="12"/>
  <c r="AH38" i="12"/>
  <c r="AB45" i="12"/>
  <c r="AA46" i="12"/>
  <c r="AJ39" i="12"/>
  <c r="AK38" i="12"/>
  <c r="S25" i="12"/>
  <c r="AE40" i="12"/>
  <c r="AD45" i="12"/>
  <c r="AE44" i="12"/>
  <c r="AC56" i="3"/>
  <c r="AE56" i="3" s="1"/>
  <c r="AH73" i="6"/>
  <c r="Z45" i="3"/>
  <c r="AE62" i="6"/>
  <c r="AC41" i="3"/>
  <c r="AE41" i="3" s="1"/>
  <c r="AH58" i="6"/>
  <c r="AC24" i="3"/>
  <c r="AH43" i="6"/>
  <c r="AC42" i="3"/>
  <c r="AE42" i="3" s="1"/>
  <c r="AH59" i="6"/>
  <c r="AC39" i="3"/>
  <c r="AH56" i="6"/>
  <c r="AF21" i="3"/>
  <c r="AH21" i="3" s="1"/>
  <c r="AK39" i="6"/>
  <c r="AC40" i="3"/>
  <c r="AE40" i="3" s="1"/>
  <c r="AH57" i="6"/>
  <c r="AF44" i="3"/>
  <c r="AL61" i="6"/>
  <c r="AN61" i="6" s="1"/>
  <c r="Y46" i="3"/>
  <c r="G69" i="6"/>
  <c r="D51" i="3"/>
  <c r="T67" i="6"/>
  <c r="V67" i="6" s="1"/>
  <c r="N50" i="3"/>
  <c r="P50" i="3" s="1"/>
  <c r="W47" i="3"/>
  <c r="Z65" i="6"/>
  <c r="AB65" i="6" s="1"/>
  <c r="T48" i="3"/>
  <c r="Z46" i="3"/>
  <c r="AB46" i="3" s="1"/>
  <c r="AC64" i="6"/>
  <c r="AF63" i="6"/>
  <c r="AH63" i="6" s="1"/>
  <c r="AI43" i="3"/>
  <c r="AO60" i="6"/>
  <c r="AQ60" i="6" s="1"/>
  <c r="Q49" i="3"/>
  <c r="W66" i="6"/>
  <c r="Y66" i="6" s="1"/>
  <c r="DW66" i="4"/>
  <c r="T14" i="3"/>
  <c r="V14" i="3"/>
  <c r="E20" i="3"/>
  <c r="G20" i="3" s="1"/>
  <c r="Z11" i="3"/>
  <c r="W10" i="3"/>
  <c r="Y10" i="3" s="1"/>
  <c r="AC10" i="3"/>
  <c r="AE10" i="3" s="1"/>
  <c r="AF23" i="3"/>
  <c r="AH23" i="3" s="1"/>
  <c r="AL42" i="6"/>
  <c r="AN42" i="6" s="1"/>
  <c r="AH58" i="3"/>
  <c r="EA65" i="4"/>
  <c r="EA66" i="4" s="1"/>
  <c r="Z17" i="6"/>
  <c r="AB17" i="6" s="1"/>
  <c r="IA64" i="4"/>
  <c r="EV33" i="4"/>
  <c r="EZ32" i="4"/>
  <c r="EZ33" i="4" s="1"/>
  <c r="AC16" i="6"/>
  <c r="AE16" i="6" s="1"/>
  <c r="IC64" i="4"/>
  <c r="GS64" i="4"/>
  <c r="GT43" i="4"/>
  <c r="GT64" i="4" s="1"/>
  <c r="GT65" i="4" s="1"/>
  <c r="HO10" i="4"/>
  <c r="IU58" i="4"/>
  <c r="IV58" i="4" s="1"/>
  <c r="IM58" i="4"/>
  <c r="IN58" i="4" s="1"/>
  <c r="IJ58" i="4"/>
  <c r="IQ58" i="4"/>
  <c r="IR58" i="4" s="1"/>
  <c r="GO64" i="4"/>
  <c r="GP43" i="4"/>
  <c r="GP64" i="4" s="1"/>
  <c r="GP65" i="4" s="1"/>
  <c r="HF57" i="4"/>
  <c r="HD64" i="4"/>
  <c r="HS10" i="4"/>
  <c r="IG43" i="4"/>
  <c r="IE64" i="4"/>
  <c r="AF46" i="6"/>
  <c r="J5" i="10"/>
  <c r="I14" i="10"/>
  <c r="AC26" i="3" s="1"/>
  <c r="IJ57" i="4"/>
  <c r="IU57" i="4"/>
  <c r="IV57" i="4" s="1"/>
  <c r="IM57" i="4"/>
  <c r="IN57" i="4" s="1"/>
  <c r="IQ57" i="4"/>
  <c r="IR57" i="4" s="1"/>
  <c r="HN43" i="4"/>
  <c r="HK43" i="4"/>
  <c r="HV43" i="4"/>
  <c r="HR43" i="4"/>
  <c r="HH24" i="4"/>
  <c r="HF31" i="4"/>
  <c r="GW24" i="4"/>
  <c r="GO24" i="4"/>
  <c r="GS24" i="4"/>
  <c r="GL24" i="4"/>
  <c r="GL31" i="4" s="1"/>
  <c r="IQ60" i="4"/>
  <c r="IR60" i="4" s="1"/>
  <c r="IM60" i="4"/>
  <c r="IN60" i="4" s="1"/>
  <c r="IU60" i="4"/>
  <c r="IV60" i="4" s="1"/>
  <c r="AO13" i="6" s="1"/>
  <c r="AQ13" i="6" s="1"/>
  <c r="J13" i="6" s="1"/>
  <c r="IJ60" i="4"/>
  <c r="IU59" i="4"/>
  <c r="IV59" i="4" s="1"/>
  <c r="IM59" i="4"/>
  <c r="IN59" i="4" s="1"/>
  <c r="IQ59" i="4"/>
  <c r="IR59" i="4" s="1"/>
  <c r="IJ59" i="4"/>
  <c r="FX57" i="4"/>
  <c r="FP57" i="4"/>
  <c r="FT57" i="4"/>
  <c r="FM57" i="4"/>
  <c r="FM64" i="4" s="1"/>
  <c r="H13" i="10"/>
  <c r="G20" i="10"/>
  <c r="T17" i="12" s="1"/>
  <c r="IU62" i="4"/>
  <c r="IV62" i="4" s="1"/>
  <c r="IM62" i="4"/>
  <c r="IN62" i="4" s="1"/>
  <c r="IQ62" i="4"/>
  <c r="IR62" i="4" s="1"/>
  <c r="IJ62" i="4"/>
  <c r="GX43" i="4"/>
  <c r="GX64" i="4" s="1"/>
  <c r="GW64" i="4"/>
  <c r="HW10" i="4"/>
  <c r="IM10" i="4"/>
  <c r="IJ10" i="4"/>
  <c r="IJ31" i="4" s="1"/>
  <c r="IQ10" i="4"/>
  <c r="IU10" i="4"/>
  <c r="IU61" i="4"/>
  <c r="IV61" i="4" s="1"/>
  <c r="IQ61" i="4"/>
  <c r="IR61" i="4" s="1"/>
  <c r="IM61" i="4"/>
  <c r="IN61" i="4" s="1"/>
  <c r="IJ61" i="4"/>
  <c r="AI73" i="6"/>
  <c r="AI57" i="6"/>
  <c r="AL39" i="6"/>
  <c r="AI59" i="6"/>
  <c r="AI56" i="6"/>
  <c r="AI58" i="6"/>
  <c r="AF62" i="6"/>
  <c r="AI43" i="6"/>
  <c r="F55" i="6"/>
  <c r="K38" i="10"/>
  <c r="K41" i="10"/>
  <c r="L30" i="10"/>
  <c r="J51" i="6"/>
  <c r="Y43" i="3"/>
  <c r="J48" i="3"/>
  <c r="AB39" i="3"/>
  <c r="AK34" i="3"/>
  <c r="S48" i="3"/>
  <c r="V45" i="3"/>
  <c r="V44" i="3"/>
  <c r="V47" i="3"/>
  <c r="H13" i="6" l="1"/>
  <c r="M60" i="6"/>
  <c r="L61" i="6"/>
  <c r="G7" i="13"/>
  <c r="G18" i="13" s="1"/>
  <c r="AJ41" i="12"/>
  <c r="AJ44" i="12" s="1"/>
  <c r="AK39" i="12"/>
  <c r="AK40" i="12" s="1"/>
  <c r="AE45" i="12"/>
  <c r="AD46" i="12"/>
  <c r="F38" i="12"/>
  <c r="AH39" i="12"/>
  <c r="AG41" i="12"/>
  <c r="AG44" i="12" s="1"/>
  <c r="V17" i="12"/>
  <c r="T25" i="12"/>
  <c r="AC27" i="3"/>
  <c r="AE27" i="3" s="1"/>
  <c r="AH46" i="6"/>
  <c r="AF41" i="3"/>
  <c r="AH41" i="3" s="1"/>
  <c r="AK58" i="6"/>
  <c r="Z47" i="3"/>
  <c r="AE64" i="6"/>
  <c r="AF42" i="3"/>
  <c r="AH42" i="3" s="1"/>
  <c r="AK59" i="6"/>
  <c r="AI21" i="3"/>
  <c r="AK21" i="3" s="1"/>
  <c r="AN39" i="6"/>
  <c r="AC45" i="3"/>
  <c r="AH62" i="6"/>
  <c r="AF39" i="3"/>
  <c r="AK56" i="6"/>
  <c r="AF40" i="3"/>
  <c r="AH40" i="3" s="1"/>
  <c r="AK57" i="6"/>
  <c r="AF24" i="3"/>
  <c r="AK43" i="6"/>
  <c r="AF56" i="3"/>
  <c r="AH56" i="3" s="1"/>
  <c r="AK73" i="6"/>
  <c r="AF64" i="6"/>
  <c r="AC46" i="3"/>
  <c r="AE46" i="3" s="1"/>
  <c r="AI63" i="6"/>
  <c r="AK63" i="6" s="1"/>
  <c r="Q50" i="3"/>
  <c r="W67" i="6"/>
  <c r="Y67" i="6" s="1"/>
  <c r="G70" i="6"/>
  <c r="D52" i="3"/>
  <c r="T49" i="3"/>
  <c r="Z66" i="6"/>
  <c r="AB66" i="6" s="1"/>
  <c r="W48" i="3"/>
  <c r="AC65" i="6"/>
  <c r="AE65" i="6" s="1"/>
  <c r="AL43" i="3"/>
  <c r="E43" i="3" s="1"/>
  <c r="G43" i="3" s="1"/>
  <c r="H60" i="6"/>
  <c r="AI44" i="3"/>
  <c r="AO61" i="6"/>
  <c r="AQ61" i="6" s="1"/>
  <c r="W11" i="3"/>
  <c r="AI23" i="3"/>
  <c r="AK23" i="3" s="1"/>
  <c r="AO42" i="6"/>
  <c r="AQ42" i="6" s="1"/>
  <c r="Z10" i="3"/>
  <c r="AK58" i="3"/>
  <c r="FU57" i="4"/>
  <c r="FU64" i="4" s="1"/>
  <c r="FU65" i="4" s="1"/>
  <c r="FT64" i="4"/>
  <c r="FQ57" i="4"/>
  <c r="FQ64" i="4" s="1"/>
  <c r="FQ65" i="4" s="1"/>
  <c r="FP64" i="4"/>
  <c r="FY57" i="4"/>
  <c r="FY64" i="4" s="1"/>
  <c r="FX64" i="4"/>
  <c r="GX24" i="4"/>
  <c r="GX31" i="4" s="1"/>
  <c r="GW31" i="4"/>
  <c r="GT24" i="4"/>
  <c r="GT31" i="4" s="1"/>
  <c r="GT32" i="4" s="1"/>
  <c r="GS31" i="4"/>
  <c r="GP24" i="4"/>
  <c r="GP31" i="4" s="1"/>
  <c r="GP32" i="4" s="1"/>
  <c r="GO31" i="4"/>
  <c r="H16" i="10"/>
  <c r="H19" i="10"/>
  <c r="IR10" i="4"/>
  <c r="IR31" i="4" s="1"/>
  <c r="IR32" i="4" s="1"/>
  <c r="IQ31" i="4"/>
  <c r="HW43" i="4"/>
  <c r="AE26" i="3"/>
  <c r="IV10" i="4"/>
  <c r="IV31" i="4" s="1"/>
  <c r="IU31" i="4"/>
  <c r="HS43" i="4"/>
  <c r="HO43" i="4"/>
  <c r="HN24" i="4"/>
  <c r="HK24" i="4"/>
  <c r="HK31" i="4" s="1"/>
  <c r="HR24" i="4"/>
  <c r="HV24" i="4"/>
  <c r="GT66" i="4"/>
  <c r="J8" i="10"/>
  <c r="HH57" i="4"/>
  <c r="HF64" i="4"/>
  <c r="GX65" i="4"/>
  <c r="GX66" i="4" s="1"/>
  <c r="AI17" i="6"/>
  <c r="AK17" i="6" s="1"/>
  <c r="IM31" i="4"/>
  <c r="IN10" i="4"/>
  <c r="IN31" i="4" s="1"/>
  <c r="IN32" i="4" s="1"/>
  <c r="IJ43" i="4"/>
  <c r="IJ64" i="4" s="1"/>
  <c r="IU43" i="4"/>
  <c r="IQ43" i="4"/>
  <c r="IM43" i="4"/>
  <c r="AI62" i="6"/>
  <c r="AL43" i="6"/>
  <c r="AL73" i="6"/>
  <c r="AL58" i="6"/>
  <c r="AL59" i="6"/>
  <c r="AL57" i="6"/>
  <c r="AL56" i="6"/>
  <c r="AO39" i="6"/>
  <c r="AQ39" i="6" s="1"/>
  <c r="F56" i="6"/>
  <c r="M30" i="10"/>
  <c r="L36" i="10"/>
  <c r="M36" i="10" s="1"/>
  <c r="L35" i="10"/>
  <c r="K42" i="10"/>
  <c r="AB11" i="3"/>
  <c r="AB43" i="3"/>
  <c r="J49" i="3"/>
  <c r="AN34" i="3"/>
  <c r="S49" i="3"/>
  <c r="Y45" i="3"/>
  <c r="Y44" i="3"/>
  <c r="AE39" i="3"/>
  <c r="Y47" i="3"/>
  <c r="V48" i="3"/>
  <c r="Y11" i="3" l="1"/>
  <c r="Y14" i="3" s="1"/>
  <c r="AB10" i="3"/>
  <c r="Z14" i="3"/>
  <c r="L62" i="6"/>
  <c r="M61" i="6"/>
  <c r="AJ45" i="12"/>
  <c r="AK44" i="12"/>
  <c r="V25" i="12"/>
  <c r="AH40" i="12"/>
  <c r="F39" i="12"/>
  <c r="F40" i="12" s="1"/>
  <c r="AG45" i="12"/>
  <c r="AH44" i="12"/>
  <c r="AI24" i="3"/>
  <c r="AN43" i="6"/>
  <c r="AC47" i="3"/>
  <c r="AH64" i="6"/>
  <c r="AI40" i="3"/>
  <c r="AK40" i="3" s="1"/>
  <c r="AN57" i="6"/>
  <c r="AI41" i="3"/>
  <c r="AK41" i="3" s="1"/>
  <c r="AN58" i="6"/>
  <c r="AF45" i="3"/>
  <c r="AK62" i="6"/>
  <c r="AI39" i="3"/>
  <c r="AN56" i="6"/>
  <c r="AI42" i="3"/>
  <c r="AK42" i="3" s="1"/>
  <c r="AN59" i="6"/>
  <c r="AI56" i="3"/>
  <c r="AK56" i="3" s="1"/>
  <c r="AN73" i="6"/>
  <c r="Z67" i="6"/>
  <c r="AB67" i="6" s="1"/>
  <c r="T50" i="3"/>
  <c r="Z48" i="3"/>
  <c r="AF65" i="6"/>
  <c r="AH65" i="6" s="1"/>
  <c r="D53" i="3"/>
  <c r="G71" i="6"/>
  <c r="Q70" i="6"/>
  <c r="S70" i="6" s="1"/>
  <c r="AF46" i="3"/>
  <c r="AI64" i="6"/>
  <c r="AK64" i="6" s="1"/>
  <c r="AL63" i="6"/>
  <c r="AN63" i="6" s="1"/>
  <c r="AL44" i="3"/>
  <c r="E44" i="3" s="1"/>
  <c r="G44" i="3" s="1"/>
  <c r="H61" i="6"/>
  <c r="AC66" i="6"/>
  <c r="AE66" i="6" s="1"/>
  <c r="W49" i="3"/>
  <c r="AB14" i="3"/>
  <c r="W14" i="3"/>
  <c r="J42" i="6"/>
  <c r="AL23" i="3"/>
  <c r="AN23" i="3" s="1"/>
  <c r="H42" i="6"/>
  <c r="AF11" i="3"/>
  <c r="H39" i="6"/>
  <c r="AL21" i="3"/>
  <c r="AN21" i="3" s="1"/>
  <c r="AN58" i="3"/>
  <c r="AF17" i="6"/>
  <c r="AH17" i="6" s="1"/>
  <c r="FY65" i="4"/>
  <c r="FY66" i="4" s="1"/>
  <c r="FU66" i="4"/>
  <c r="HW24" i="4"/>
  <c r="HW31" i="4" s="1"/>
  <c r="HV31" i="4"/>
  <c r="HS24" i="4"/>
  <c r="HS31" i="4" s="1"/>
  <c r="HS32" i="4" s="1"/>
  <c r="HR31" i="4"/>
  <c r="GT33" i="4"/>
  <c r="HO24" i="4"/>
  <c r="HO31" i="4" s="1"/>
  <c r="HO32" i="4" s="1"/>
  <c r="HN31" i="4"/>
  <c r="AI16" i="6"/>
  <c r="AK16" i="6" s="1"/>
  <c r="GX32" i="4"/>
  <c r="GX33" i="4" s="1"/>
  <c r="HV57" i="4"/>
  <c r="HR57" i="4"/>
  <c r="HK57" i="4"/>
  <c r="HK64" i="4" s="1"/>
  <c r="HN57" i="4"/>
  <c r="IM64" i="4"/>
  <c r="IN43" i="4"/>
  <c r="IN64" i="4" s="1"/>
  <c r="IN65" i="4" s="1"/>
  <c r="IR43" i="4"/>
  <c r="IR64" i="4" s="1"/>
  <c r="IR65" i="4" s="1"/>
  <c r="IQ64" i="4"/>
  <c r="AL46" i="6"/>
  <c r="AN46" i="6" s="1"/>
  <c r="AI46" i="6"/>
  <c r="J14" i="10"/>
  <c r="AF26" i="3" s="1"/>
  <c r="K5" i="10"/>
  <c r="IU64" i="4"/>
  <c r="IV43" i="4"/>
  <c r="IV64" i="4" s="1"/>
  <c r="IR33" i="4"/>
  <c r="IV32" i="4"/>
  <c r="IV33" i="4" s="1"/>
  <c r="AO16" i="6"/>
  <c r="AQ16" i="6" s="1"/>
  <c r="I13" i="10"/>
  <c r="H20" i="10"/>
  <c r="W17" i="12" s="1"/>
  <c r="AO73" i="6"/>
  <c r="AQ73" i="6" s="1"/>
  <c r="AO59" i="6"/>
  <c r="AQ59" i="6" s="1"/>
  <c r="AO58" i="6"/>
  <c r="AQ58" i="6" s="1"/>
  <c r="AO57" i="6"/>
  <c r="AQ57" i="6" s="1"/>
  <c r="AO56" i="6"/>
  <c r="AQ56" i="6" s="1"/>
  <c r="J39" i="6"/>
  <c r="AL62" i="6"/>
  <c r="AO43" i="6"/>
  <c r="F57" i="6"/>
  <c r="L38" i="10"/>
  <c r="L41" i="10"/>
  <c r="AB45" i="3"/>
  <c r="AB44" i="3"/>
  <c r="AB47" i="3"/>
  <c r="J50" i="3"/>
  <c r="V49" i="3"/>
  <c r="Y48" i="3"/>
  <c r="AE43" i="3"/>
  <c r="S50" i="3"/>
  <c r="P66" i="3"/>
  <c r="AH39" i="3"/>
  <c r="L63" i="6" l="1"/>
  <c r="M62" i="6"/>
  <c r="H7" i="13"/>
  <c r="H18" i="13" s="1"/>
  <c r="I7" i="13"/>
  <c r="I18" i="13" s="1"/>
  <c r="AH45" i="12"/>
  <c r="AG46" i="12"/>
  <c r="Y17" i="12"/>
  <c r="W25" i="12"/>
  <c r="AK45" i="12"/>
  <c r="AJ46" i="12"/>
  <c r="F44" i="12"/>
  <c r="AF27" i="3"/>
  <c r="AK46" i="6"/>
  <c r="AI45" i="3"/>
  <c r="AN62" i="6"/>
  <c r="AL24" i="3"/>
  <c r="E24" i="3" s="1"/>
  <c r="G24" i="3" s="1"/>
  <c r="AQ43" i="6"/>
  <c r="J43" i="6" s="1"/>
  <c r="D54" i="3"/>
  <c r="G72" i="6"/>
  <c r="Q71" i="6"/>
  <c r="S71" i="6" s="1"/>
  <c r="AC48" i="3"/>
  <c r="AI65" i="6"/>
  <c r="AK65" i="6" s="1"/>
  <c r="AI46" i="3"/>
  <c r="AK46" i="3" s="1"/>
  <c r="AL64" i="6"/>
  <c r="AO63" i="6"/>
  <c r="AQ63" i="6" s="1"/>
  <c r="Z49" i="3"/>
  <c r="AF66" i="6"/>
  <c r="AH66" i="6" s="1"/>
  <c r="AF47" i="3"/>
  <c r="T70" i="6"/>
  <c r="V70" i="6" s="1"/>
  <c r="N53" i="3"/>
  <c r="AH46" i="3"/>
  <c r="AC67" i="6"/>
  <c r="AE67" i="6" s="1"/>
  <c r="W50" i="3"/>
  <c r="E23" i="3"/>
  <c r="G23" i="3" s="1"/>
  <c r="E21" i="3"/>
  <c r="G21" i="3" s="1"/>
  <c r="H73" i="6"/>
  <c r="AL56" i="3"/>
  <c r="E56" i="3" s="1"/>
  <c r="G56" i="3" s="1"/>
  <c r="AC11" i="3"/>
  <c r="AL10" i="3"/>
  <c r="AN10" i="3" s="1"/>
  <c r="AI27" i="3"/>
  <c r="H59" i="6"/>
  <c r="AL42" i="3"/>
  <c r="H56" i="6"/>
  <c r="AL39" i="3"/>
  <c r="E39" i="3" s="1"/>
  <c r="G39" i="3" s="1"/>
  <c r="H57" i="6"/>
  <c r="AL40" i="3"/>
  <c r="H58" i="6"/>
  <c r="AL41" i="3"/>
  <c r="AF10" i="3"/>
  <c r="AF14" i="3" s="1"/>
  <c r="HO57" i="4"/>
  <c r="HO64" i="4" s="1"/>
  <c r="HO65" i="4" s="1"/>
  <c r="HN64" i="4"/>
  <c r="HS57" i="4"/>
  <c r="HS64" i="4" s="1"/>
  <c r="HS65" i="4" s="1"/>
  <c r="HR64" i="4"/>
  <c r="HW57" i="4"/>
  <c r="HW64" i="4" s="1"/>
  <c r="HV64" i="4"/>
  <c r="HS33" i="4"/>
  <c r="HW32" i="4"/>
  <c r="HW33" i="4" s="1"/>
  <c r="AL16" i="6"/>
  <c r="J56" i="6"/>
  <c r="AH27" i="3"/>
  <c r="IV65" i="4"/>
  <c r="IV66" i="4" s="1"/>
  <c r="AO17" i="6"/>
  <c r="AQ17" i="6" s="1"/>
  <c r="IR66" i="4"/>
  <c r="I16" i="10"/>
  <c r="I19" i="10"/>
  <c r="K8" i="10"/>
  <c r="AH26" i="3"/>
  <c r="H43" i="6"/>
  <c r="AO62" i="6"/>
  <c r="AQ62" i="6" s="1"/>
  <c r="F58" i="6"/>
  <c r="M38" i="10"/>
  <c r="L42" i="10"/>
  <c r="AH11" i="3"/>
  <c r="Y49" i="3"/>
  <c r="AB48" i="3"/>
  <c r="AE47" i="3"/>
  <c r="AK39" i="3"/>
  <c r="V50" i="3"/>
  <c r="AH43" i="3"/>
  <c r="AE45" i="3"/>
  <c r="AE44" i="3"/>
  <c r="J51" i="3"/>
  <c r="L64" i="6" l="1"/>
  <c r="M63" i="6"/>
  <c r="K7" i="13"/>
  <c r="K18" i="13" s="1"/>
  <c r="F45" i="12"/>
  <c r="Y25" i="12"/>
  <c r="H16" i="6"/>
  <c r="AN16" i="6"/>
  <c r="J16" i="6" s="1"/>
  <c r="AI47" i="3"/>
  <c r="AN64" i="6"/>
  <c r="H63" i="6"/>
  <c r="AL46" i="3"/>
  <c r="AN46" i="3" s="1"/>
  <c r="AO64" i="6"/>
  <c r="AQ64" i="6" s="1"/>
  <c r="P53" i="3"/>
  <c r="W70" i="6"/>
  <c r="Y70" i="6" s="1"/>
  <c r="Q53" i="3"/>
  <c r="S53" i="3" s="1"/>
  <c r="AF67" i="6"/>
  <c r="AH67" i="6" s="1"/>
  <c r="Z50" i="3"/>
  <c r="AI66" i="6"/>
  <c r="AK66" i="6" s="1"/>
  <c r="AC49" i="3"/>
  <c r="N54" i="3"/>
  <c r="T71" i="6"/>
  <c r="V71" i="6" s="1"/>
  <c r="AL65" i="6"/>
  <c r="AN65" i="6" s="1"/>
  <c r="AF48" i="3"/>
  <c r="G73" i="6"/>
  <c r="D56" i="3" s="1"/>
  <c r="D55" i="3"/>
  <c r="HS66" i="4"/>
  <c r="AN56" i="3"/>
  <c r="AH10" i="3"/>
  <c r="AH14" i="3" s="1"/>
  <c r="AN41" i="3"/>
  <c r="E41" i="3"/>
  <c r="G41" i="3" s="1"/>
  <c r="AN42" i="3"/>
  <c r="E42" i="3"/>
  <c r="G42" i="3" s="1"/>
  <c r="H62" i="6"/>
  <c r="AL45" i="3"/>
  <c r="E45" i="3" s="1"/>
  <c r="G45" i="3" s="1"/>
  <c r="AI10" i="3"/>
  <c r="AN40" i="3"/>
  <c r="E40" i="3"/>
  <c r="G40" i="3" s="1"/>
  <c r="AC14" i="3"/>
  <c r="AE11" i="3"/>
  <c r="AE14" i="3" s="1"/>
  <c r="AL11" i="3"/>
  <c r="HW65" i="4"/>
  <c r="HW66" i="4" s="1"/>
  <c r="AL17" i="6"/>
  <c r="AO46" i="6"/>
  <c r="L5" i="10"/>
  <c r="K14" i="10"/>
  <c r="AI26" i="3" s="1"/>
  <c r="J13" i="10"/>
  <c r="I20" i="10"/>
  <c r="Z17" i="12" s="1"/>
  <c r="J57" i="6"/>
  <c r="F59" i="6"/>
  <c r="J60" i="3"/>
  <c r="J63" i="3" s="1"/>
  <c r="Y50" i="3"/>
  <c r="AE48" i="3"/>
  <c r="AK43" i="3"/>
  <c r="AN39" i="3"/>
  <c r="AB49" i="3"/>
  <c r="AH45" i="3"/>
  <c r="AH44" i="3"/>
  <c r="AH47" i="3"/>
  <c r="L65" i="6" l="1"/>
  <c r="M64" i="6"/>
  <c r="J7" i="13"/>
  <c r="J18" i="13" s="1"/>
  <c r="AK10" i="3"/>
  <c r="AB17" i="12"/>
  <c r="Z25" i="12"/>
  <c r="H17" i="6"/>
  <c r="H22" i="6" s="1"/>
  <c r="AN17" i="6"/>
  <c r="J17" i="6" s="1"/>
  <c r="J22" i="6" s="1"/>
  <c r="AL27" i="3"/>
  <c r="AQ46" i="6"/>
  <c r="J46" i="6" s="1"/>
  <c r="E46" i="3"/>
  <c r="G46" i="3" s="1"/>
  <c r="W71" i="6"/>
  <c r="Y71" i="6" s="1"/>
  <c r="Q54" i="3"/>
  <c r="S54" i="3" s="1"/>
  <c r="P54" i="3"/>
  <c r="AL66" i="6"/>
  <c r="AN66" i="6" s="1"/>
  <c r="AF49" i="3"/>
  <c r="AL47" i="3"/>
  <c r="E47" i="3" s="1"/>
  <c r="G47" i="3" s="1"/>
  <c r="H64" i="6"/>
  <c r="T53" i="3"/>
  <c r="Z70" i="6"/>
  <c r="AB70" i="6" s="1"/>
  <c r="AI67" i="6"/>
  <c r="AK67" i="6" s="1"/>
  <c r="AC50" i="3"/>
  <c r="AI48" i="3"/>
  <c r="AO65" i="6"/>
  <c r="AI11" i="3"/>
  <c r="E10" i="3"/>
  <c r="G10" i="3" s="1"/>
  <c r="AK26" i="3"/>
  <c r="L8" i="10"/>
  <c r="H46" i="6"/>
  <c r="J16" i="10"/>
  <c r="J19" i="10"/>
  <c r="AK27" i="3"/>
  <c r="J58" i="6"/>
  <c r="F60" i="6"/>
  <c r="AN11" i="3"/>
  <c r="AN14" i="3" s="1"/>
  <c r="AL14" i="3"/>
  <c r="S66" i="3"/>
  <c r="AN43" i="3"/>
  <c r="AH48" i="3"/>
  <c r="AK45" i="3"/>
  <c r="AK44" i="3"/>
  <c r="AK47" i="3"/>
  <c r="J66" i="3"/>
  <c r="AB50" i="3"/>
  <c r="AE49" i="3"/>
  <c r="AI14" i="3" l="1"/>
  <c r="L66" i="6"/>
  <c r="M65" i="6"/>
  <c r="M7" i="13"/>
  <c r="M18" i="13" s="1"/>
  <c r="L7" i="13"/>
  <c r="L18" i="13" s="1"/>
  <c r="AB25" i="12"/>
  <c r="AL48" i="3"/>
  <c r="E48" i="3" s="1"/>
  <c r="G48" i="3" s="1"/>
  <c r="AQ65" i="6"/>
  <c r="AL67" i="6"/>
  <c r="AN67" i="6" s="1"/>
  <c r="AF50" i="3"/>
  <c r="AO66" i="6"/>
  <c r="AI49" i="3"/>
  <c r="AC70" i="6"/>
  <c r="AE70" i="6" s="1"/>
  <c r="W53" i="3"/>
  <c r="Y53" i="3" s="1"/>
  <c r="V53" i="3"/>
  <c r="Z71" i="6"/>
  <c r="AB71" i="6" s="1"/>
  <c r="T54" i="3"/>
  <c r="H65" i="6"/>
  <c r="E11" i="3"/>
  <c r="AK11" i="3"/>
  <c r="AK14" i="3" s="1"/>
  <c r="K13" i="10"/>
  <c r="J20" i="10"/>
  <c r="AC17" i="12" s="1"/>
  <c r="M8" i="10"/>
  <c r="L14" i="10"/>
  <c r="J59" i="6"/>
  <c r="F61" i="6"/>
  <c r="AE50" i="3"/>
  <c r="J73" i="3"/>
  <c r="AN45" i="3"/>
  <c r="AN44" i="3"/>
  <c r="AN47" i="3"/>
  <c r="P24" i="3"/>
  <c r="AH49" i="3"/>
  <c r="AK48" i="3"/>
  <c r="V66" i="3"/>
  <c r="N18" i="13" l="1"/>
  <c r="M66" i="6"/>
  <c r="L67" i="6"/>
  <c r="N7" i="13"/>
  <c r="AE17" i="12"/>
  <c r="AC25" i="12"/>
  <c r="AL49" i="3"/>
  <c r="E49" i="3" s="1"/>
  <c r="G49" i="3" s="1"/>
  <c r="AQ66" i="6"/>
  <c r="H66" i="6"/>
  <c r="Z53" i="3"/>
  <c r="AB53" i="3" s="1"/>
  <c r="AF70" i="6"/>
  <c r="AH70" i="6" s="1"/>
  <c r="V54" i="3"/>
  <c r="AC71" i="6"/>
  <c r="AE71" i="6" s="1"/>
  <c r="W54" i="3"/>
  <c r="Y54" i="3" s="1"/>
  <c r="AI50" i="3"/>
  <c r="AO67" i="6"/>
  <c r="AQ67" i="6" s="1"/>
  <c r="E14" i="3"/>
  <c r="G11" i="3"/>
  <c r="G14" i="3" s="1"/>
  <c r="M14" i="10"/>
  <c r="AL26" i="3"/>
  <c r="K16" i="10"/>
  <c r="K19" i="10"/>
  <c r="AN27" i="3"/>
  <c r="E27" i="3"/>
  <c r="J60" i="6"/>
  <c r="F62" i="6"/>
  <c r="AN48" i="3"/>
  <c r="AH50" i="3"/>
  <c r="AK49" i="3"/>
  <c r="Y66" i="3"/>
  <c r="M67" i="6" l="1"/>
  <c r="L68" i="6"/>
  <c r="AE25" i="12"/>
  <c r="AF71" i="6"/>
  <c r="AH71" i="6" s="1"/>
  <c r="Z54" i="3"/>
  <c r="AI70" i="6"/>
  <c r="AK70" i="6" s="1"/>
  <c r="AC53" i="3"/>
  <c r="AE53" i="3" s="1"/>
  <c r="AL50" i="3"/>
  <c r="E50" i="3" s="1"/>
  <c r="G50" i="3" s="1"/>
  <c r="H67" i="6"/>
  <c r="L13" i="10"/>
  <c r="K20" i="10"/>
  <c r="AF17" i="12" s="1"/>
  <c r="AN26" i="3"/>
  <c r="E26" i="3"/>
  <c r="G26" i="3" s="1"/>
  <c r="J61" i="6"/>
  <c r="F63" i="6"/>
  <c r="AK50" i="3"/>
  <c r="AN49" i="3"/>
  <c r="L69" i="6" l="1"/>
  <c r="M68" i="6"/>
  <c r="AH17" i="12"/>
  <c r="AF25" i="12"/>
  <c r="AF53" i="3"/>
  <c r="AH53" i="3" s="1"/>
  <c r="AL70" i="6"/>
  <c r="AN70" i="6" s="1"/>
  <c r="AB54" i="3"/>
  <c r="AC54" i="3"/>
  <c r="AE54" i="3" s="1"/>
  <c r="AI71" i="6"/>
  <c r="AK71" i="6" s="1"/>
  <c r="L16" i="10"/>
  <c r="L19" i="10"/>
  <c r="J62" i="6"/>
  <c r="F64" i="6"/>
  <c r="S24" i="3"/>
  <c r="AE66" i="3"/>
  <c r="AN50" i="3"/>
  <c r="J24" i="3"/>
  <c r="M69" i="6" l="1"/>
  <c r="L70" i="6"/>
  <c r="AH25" i="12"/>
  <c r="AO70" i="6"/>
  <c r="H70" i="6" s="1"/>
  <c r="AI53" i="3"/>
  <c r="AL71" i="6"/>
  <c r="AN71" i="6" s="1"/>
  <c r="AF54" i="3"/>
  <c r="J63" i="6"/>
  <c r="M16" i="10"/>
  <c r="L20" i="10"/>
  <c r="AI17" i="12" s="1"/>
  <c r="F65" i="6"/>
  <c r="AH66" i="3"/>
  <c r="V24" i="3"/>
  <c r="J29" i="3"/>
  <c r="J31" i="3" s="1"/>
  <c r="J64" i="3" s="1"/>
  <c r="J67" i="3" s="1"/>
  <c r="J75" i="3" s="1"/>
  <c r="L71" i="6" l="1"/>
  <c r="M70" i="6"/>
  <c r="AK17" i="12"/>
  <c r="AI25" i="12"/>
  <c r="E17" i="12"/>
  <c r="E25" i="12" s="1"/>
  <c r="AL53" i="3"/>
  <c r="AN53" i="3" s="1"/>
  <c r="AQ70" i="6"/>
  <c r="AI54" i="3"/>
  <c r="AK54" i="3" s="1"/>
  <c r="AO71" i="6"/>
  <c r="AQ71" i="6" s="1"/>
  <c r="AK53" i="3"/>
  <c r="AH54" i="3"/>
  <c r="J64" i="6"/>
  <c r="F66" i="6"/>
  <c r="Y24" i="3"/>
  <c r="AK66" i="3"/>
  <c r="E53" i="3" l="1"/>
  <c r="G53" i="3" s="1"/>
  <c r="M71" i="6"/>
  <c r="L72" i="6"/>
  <c r="AK25" i="12"/>
  <c r="F17" i="12"/>
  <c r="F25" i="12" s="1"/>
  <c r="AL54" i="3"/>
  <c r="H71" i="6"/>
  <c r="J65" i="6"/>
  <c r="F67" i="6"/>
  <c r="AB24" i="3"/>
  <c r="AN66" i="3"/>
  <c r="L73" i="6" l="1"/>
  <c r="M72" i="6"/>
  <c r="AN54" i="3"/>
  <c r="E54" i="3"/>
  <c r="G54" i="3" s="1"/>
  <c r="J66" i="6"/>
  <c r="F68" i="6"/>
  <c r="F69" i="6" s="1"/>
  <c r="AE24" i="3"/>
  <c r="M73" i="6" l="1"/>
  <c r="L77" i="6"/>
  <c r="J67" i="6"/>
  <c r="AH24" i="3"/>
  <c r="L78" i="6" l="1"/>
  <c r="M77" i="6"/>
  <c r="AK24" i="3"/>
  <c r="M78" i="6" l="1"/>
  <c r="L85" i="6"/>
  <c r="AN24" i="3"/>
  <c r="M85" i="6" l="1"/>
  <c r="L87" i="6"/>
  <c r="F70" i="6"/>
  <c r="F78" i="6" s="1"/>
  <c r="L90" i="6" l="1"/>
  <c r="M90" i="6" s="1"/>
  <c r="M87" i="6"/>
  <c r="M88" i="6" s="1"/>
  <c r="M91" i="6" s="1"/>
  <c r="F71" i="6"/>
  <c r="J70" i="6" l="1"/>
  <c r="F72" i="6"/>
  <c r="J71" i="6" l="1"/>
  <c r="F73" i="6"/>
  <c r="F77" i="6" s="1"/>
  <c r="F85" i="6" l="1"/>
  <c r="F87" i="6" s="1"/>
  <c r="AE97" i="6" l="1"/>
  <c r="AN97" i="6"/>
  <c r="AB97" i="6"/>
  <c r="AQ97" i="6"/>
  <c r="AK97" i="6"/>
  <c r="S97" i="6"/>
  <c r="V97" i="6"/>
  <c r="AH97" i="6"/>
  <c r="P97" i="6"/>
  <c r="J73" i="6"/>
  <c r="J97" i="6" l="1"/>
  <c r="F90" i="6"/>
  <c r="J90" i="6" l="1"/>
  <c r="S27" i="3" l="1"/>
  <c r="G27" i="3"/>
  <c r="J54" i="6" l="1"/>
  <c r="H54" i="6"/>
  <c r="M29" i="3"/>
  <c r="M31" i="3" s="1"/>
  <c r="K29" i="3"/>
  <c r="N29" i="3"/>
  <c r="K31" i="3" l="1"/>
  <c r="D8" i="13"/>
  <c r="N31" i="3"/>
  <c r="E8" i="13"/>
  <c r="D9" i="13"/>
  <c r="P29" i="3"/>
  <c r="P31" i="3" s="1"/>
  <c r="N77" i="6"/>
  <c r="E9" i="13" l="1"/>
  <c r="K60" i="3"/>
  <c r="P77" i="6"/>
  <c r="N87" i="6"/>
  <c r="K62" i="3" s="1"/>
  <c r="Q29" i="3"/>
  <c r="S29" i="3"/>
  <c r="S31" i="3" s="1"/>
  <c r="M60" i="3" l="1"/>
  <c r="Q31" i="3"/>
  <c r="F8" i="13"/>
  <c r="M62" i="3"/>
  <c r="M63" i="3" s="1"/>
  <c r="M64" i="3" s="1"/>
  <c r="M67" i="3" s="1"/>
  <c r="N88" i="6"/>
  <c r="N91" i="6" s="1"/>
  <c r="K63" i="3"/>
  <c r="P87" i="6"/>
  <c r="P88" i="6" s="1"/>
  <c r="P91" i="6" s="1"/>
  <c r="P94" i="6" s="1"/>
  <c r="N96" i="6"/>
  <c r="N98" i="6" s="1"/>
  <c r="V29" i="3"/>
  <c r="V31" i="3" s="1"/>
  <c r="T29" i="3"/>
  <c r="T31" i="3" l="1"/>
  <c r="G8" i="13"/>
  <c r="F9" i="13"/>
  <c r="K64" i="3"/>
  <c r="D10" i="13"/>
  <c r="Q8" i="6"/>
  <c r="Q22" i="6" s="1"/>
  <c r="Q55" i="6" s="1"/>
  <c r="S55" i="6" s="1"/>
  <c r="H9" i="12"/>
  <c r="N94" i="6"/>
  <c r="P96" i="6"/>
  <c r="P98" i="6" s="1"/>
  <c r="W29" i="3"/>
  <c r="Y29" i="3"/>
  <c r="Y31" i="3" s="1"/>
  <c r="W31" i="3" l="1"/>
  <c r="H8" i="13"/>
  <c r="G9" i="13"/>
  <c r="K67" i="3"/>
  <c r="D11" i="13"/>
  <c r="S8" i="6"/>
  <c r="S22" i="6" s="1"/>
  <c r="H12" i="12"/>
  <c r="J9" i="12"/>
  <c r="Z29" i="3"/>
  <c r="AB29" i="3"/>
  <c r="AB31" i="3" s="1"/>
  <c r="Q68" i="6"/>
  <c r="S68" i="6" s="1"/>
  <c r="N38" i="3"/>
  <c r="Q72" i="6"/>
  <c r="Q69" i="6"/>
  <c r="H9" i="13" l="1"/>
  <c r="Z31" i="3"/>
  <c r="I8" i="13"/>
  <c r="J12" i="12"/>
  <c r="H26" i="12"/>
  <c r="N52" i="3"/>
  <c r="P52" i="3" s="1"/>
  <c r="S69" i="6"/>
  <c r="N55" i="3"/>
  <c r="P55" i="3" s="1"/>
  <c r="S72" i="6"/>
  <c r="N51" i="3"/>
  <c r="P51" i="3" s="1"/>
  <c r="P38" i="3"/>
  <c r="Q77" i="6"/>
  <c r="AE29" i="3"/>
  <c r="AE31" i="3" s="1"/>
  <c r="AC29" i="3"/>
  <c r="K71" i="3" l="1"/>
  <c r="I9" i="13"/>
  <c r="AC31" i="3"/>
  <c r="J8" i="13"/>
  <c r="D14" i="13"/>
  <c r="K73" i="3"/>
  <c r="H31" i="12"/>
  <c r="Q78" i="6"/>
  <c r="S78" i="6" s="1"/>
  <c r="M70" i="3"/>
  <c r="M71" i="3" s="1"/>
  <c r="J26" i="12"/>
  <c r="N60" i="3"/>
  <c r="S77" i="6"/>
  <c r="Q87" i="6"/>
  <c r="N62" i="3" s="1"/>
  <c r="AF29" i="3"/>
  <c r="AH29" i="3"/>
  <c r="AH31" i="3" s="1"/>
  <c r="D16" i="13" l="1"/>
  <c r="AF31" i="3"/>
  <c r="K8" i="13"/>
  <c r="J9" i="13"/>
  <c r="J31" i="12"/>
  <c r="H34" i="12"/>
  <c r="J34" i="12" s="1"/>
  <c r="M73" i="3"/>
  <c r="M75" i="3" s="1"/>
  <c r="Q85" i="6"/>
  <c r="S85" i="6" s="1"/>
  <c r="K75" i="3"/>
  <c r="H46" i="12" s="1"/>
  <c r="P62" i="3"/>
  <c r="N63" i="3"/>
  <c r="P60" i="3"/>
  <c r="S87" i="6"/>
  <c r="Q96" i="6"/>
  <c r="Q98" i="6" s="1"/>
  <c r="AK29" i="3"/>
  <c r="AK31" i="3" s="1"/>
  <c r="AI29" i="3"/>
  <c r="J35" i="12" l="1"/>
  <c r="J50" i="12" s="1"/>
  <c r="AI31" i="3"/>
  <c r="L8" i="13"/>
  <c r="K9" i="13"/>
  <c r="S88" i="6"/>
  <c r="S91" i="6" s="1"/>
  <c r="S94" i="6" s="1"/>
  <c r="Q88" i="6"/>
  <c r="Q91" i="6" s="1"/>
  <c r="T8" i="6" s="1"/>
  <c r="V8" i="6" s="1"/>
  <c r="V22" i="6" s="1"/>
  <c r="J46" i="12"/>
  <c r="J47" i="12" s="1"/>
  <c r="H47" i="12"/>
  <c r="H35" i="12"/>
  <c r="P63" i="3"/>
  <c r="P64" i="3" s="1"/>
  <c r="P67" i="3" s="1"/>
  <c r="N64" i="3"/>
  <c r="E10" i="13"/>
  <c r="S96" i="6"/>
  <c r="S98" i="6" s="1"/>
  <c r="AN29" i="3"/>
  <c r="AN31" i="3" s="1"/>
  <c r="AL29" i="3"/>
  <c r="L9" i="13" l="1"/>
  <c r="Q94" i="6"/>
  <c r="AL31" i="3"/>
  <c r="M8" i="13"/>
  <c r="N8" i="13" s="1"/>
  <c r="K9" i="12"/>
  <c r="K12" i="12" s="1"/>
  <c r="H41" i="12"/>
  <c r="H48" i="12" s="1"/>
  <c r="H49" i="12" s="1"/>
  <c r="H3" i="12" s="1"/>
  <c r="H50" i="12"/>
  <c r="H51" i="12"/>
  <c r="J51" i="12"/>
  <c r="N67" i="3"/>
  <c r="E11" i="13"/>
  <c r="T22" i="6"/>
  <c r="T72" i="6" s="1"/>
  <c r="E29" i="3"/>
  <c r="G29" i="3"/>
  <c r="G31" i="3" s="1"/>
  <c r="M9" i="13" l="1"/>
  <c r="N9" i="13" s="1"/>
  <c r="E31" i="3"/>
  <c r="M9" i="12"/>
  <c r="M12" i="12" s="1"/>
  <c r="M26" i="12" s="1"/>
  <c r="J41" i="12"/>
  <c r="H42" i="12"/>
  <c r="N70" i="3"/>
  <c r="T69" i="6"/>
  <c r="Q52" i="3" s="1"/>
  <c r="S52" i="3" s="1"/>
  <c r="T68" i="6"/>
  <c r="Q51" i="3" s="1"/>
  <c r="S51" i="3" s="1"/>
  <c r="T55" i="6"/>
  <c r="Q38" i="3" s="1"/>
  <c r="S38" i="3" s="1"/>
  <c r="K26" i="12"/>
  <c r="Q55" i="3"/>
  <c r="S55" i="3" s="1"/>
  <c r="V72" i="6"/>
  <c r="N71" i="3" l="1"/>
  <c r="J42" i="12"/>
  <c r="J48" i="12"/>
  <c r="J49" i="12" s="1"/>
  <c r="J3" i="12" s="1"/>
  <c r="V69" i="6"/>
  <c r="E12" i="13"/>
  <c r="P70" i="3"/>
  <c r="P71" i="3" s="1"/>
  <c r="K31" i="12"/>
  <c r="M31" i="12" s="1"/>
  <c r="T78" i="6"/>
  <c r="V78" i="6" s="1"/>
  <c r="T77" i="6"/>
  <c r="V68" i="6"/>
  <c r="V55" i="6"/>
  <c r="E14" i="13" l="1"/>
  <c r="N73" i="3"/>
  <c r="P73" i="3" s="1"/>
  <c r="P75" i="3" s="1"/>
  <c r="T87" i="6"/>
  <c r="T96" i="6" s="1"/>
  <c r="T98" i="6" s="1"/>
  <c r="V77" i="6"/>
  <c r="Q60" i="3"/>
  <c r="E16" i="13" l="1"/>
  <c r="K34" i="12"/>
  <c r="M34" i="12" s="1"/>
  <c r="M35" i="12" s="1"/>
  <c r="T85" i="6"/>
  <c r="V85" i="6" s="1"/>
  <c r="N75" i="3"/>
  <c r="K46" i="12" s="1"/>
  <c r="K47" i="12" s="1"/>
  <c r="S60" i="3"/>
  <c r="Q62" i="3"/>
  <c r="Q63" i="3" s="1"/>
  <c r="V87" i="6"/>
  <c r="K35" i="12"/>
  <c r="M46" i="12"/>
  <c r="M47" i="12" s="1"/>
  <c r="M51" i="12" s="1"/>
  <c r="T88" i="6" l="1"/>
  <c r="T91" i="6" s="1"/>
  <c r="T94" i="6" s="1"/>
  <c r="V88" i="6"/>
  <c r="V91" i="6" s="1"/>
  <c r="V94" i="6" s="1"/>
  <c r="S62" i="3"/>
  <c r="S63" i="3" s="1"/>
  <c r="S64" i="3" s="1"/>
  <c r="S67" i="3" s="1"/>
  <c r="W8" i="6"/>
  <c r="W22" i="6" s="1"/>
  <c r="W68" i="6" s="1"/>
  <c r="N9" i="12"/>
  <c r="P9" i="12" s="1"/>
  <c r="P12" i="12" s="1"/>
  <c r="P26" i="12" s="1"/>
  <c r="V96" i="6"/>
  <c r="V98" i="6" s="1"/>
  <c r="Q64" i="3"/>
  <c r="F10" i="13"/>
  <c r="M50" i="12"/>
  <c r="M41" i="12"/>
  <c r="M42" i="12" s="1"/>
  <c r="K51" i="12"/>
  <c r="K41" i="12"/>
  <c r="K42" i="12" s="1"/>
  <c r="K50" i="12"/>
  <c r="N12" i="12" l="1"/>
  <c r="Y8" i="6"/>
  <c r="Y22" i="6" s="1"/>
  <c r="M48" i="12"/>
  <c r="M49" i="12" s="1"/>
  <c r="M3" i="12" s="1"/>
  <c r="K48" i="12"/>
  <c r="K49" i="12" s="1"/>
  <c r="K3" i="12" s="1"/>
  <c r="Q67" i="3"/>
  <c r="F11" i="13"/>
  <c r="N26" i="12"/>
  <c r="W72" i="6"/>
  <c r="Y72" i="6" s="1"/>
  <c r="W55" i="6"/>
  <c r="Y55" i="6" s="1"/>
  <c r="W69" i="6"/>
  <c r="T52" i="3" s="1"/>
  <c r="V52" i="3" s="1"/>
  <c r="T51" i="3"/>
  <c r="V51" i="3" s="1"/>
  <c r="Y68" i="6"/>
  <c r="K2" i="12" l="1"/>
  <c r="Q70" i="3"/>
  <c r="T55" i="3"/>
  <c r="V55" i="3" s="1"/>
  <c r="T38" i="3"/>
  <c r="V38" i="3" s="1"/>
  <c r="Y69" i="6"/>
  <c r="W77" i="6"/>
  <c r="Y77" i="6" s="1"/>
  <c r="Q71" i="3" l="1"/>
  <c r="F12" i="13"/>
  <c r="N31" i="12"/>
  <c r="W78" i="6"/>
  <c r="Y78" i="6" s="1"/>
  <c r="S70" i="3"/>
  <c r="S71" i="3" s="1"/>
  <c r="T60" i="3"/>
  <c r="V60" i="3" l="1"/>
  <c r="F14" i="13"/>
  <c r="Q73" i="3"/>
  <c r="Q75" i="3" s="1"/>
  <c r="N46" i="12" s="1"/>
  <c r="P46" i="12" s="1"/>
  <c r="P47" i="12" s="1"/>
  <c r="W87" i="6"/>
  <c r="T62" i="3" s="1"/>
  <c r="V62" i="3" s="1"/>
  <c r="V63" i="3" s="1"/>
  <c r="V64" i="3" s="1"/>
  <c r="V67" i="3" s="1"/>
  <c r="P31" i="12"/>
  <c r="F16" i="13" l="1"/>
  <c r="T63" i="3"/>
  <c r="Y87" i="6"/>
  <c r="Y96" i="6" s="1"/>
  <c r="Y98" i="6" s="1"/>
  <c r="W96" i="6"/>
  <c r="W98" i="6" s="1"/>
  <c r="W85" i="6"/>
  <c r="Y85" i="6" s="1"/>
  <c r="S73" i="3"/>
  <c r="S75" i="3" s="1"/>
  <c r="N47" i="12"/>
  <c r="N51" i="12" s="1"/>
  <c r="N34" i="12"/>
  <c r="P34" i="12" s="1"/>
  <c r="P35" i="12" s="1"/>
  <c r="P50" i="12" s="1"/>
  <c r="W88" i="6"/>
  <c r="W91" i="6" s="1"/>
  <c r="Q9" i="12" s="1"/>
  <c r="S9" i="12" s="1"/>
  <c r="S12" i="12" s="1"/>
  <c r="S26" i="12" s="1"/>
  <c r="P51" i="12"/>
  <c r="G10" i="13" l="1"/>
  <c r="T64" i="3"/>
  <c r="Y88" i="6"/>
  <c r="Y91" i="6" s="1"/>
  <c r="Y94" i="6" s="1"/>
  <c r="N35" i="12"/>
  <c r="Z8" i="6"/>
  <c r="AB8" i="6" s="1"/>
  <c r="AB22" i="6" s="1"/>
  <c r="Q12" i="12"/>
  <c r="Q26" i="12" s="1"/>
  <c r="P41" i="12"/>
  <c r="P42" i="12" s="1"/>
  <c r="W94" i="6"/>
  <c r="G11" i="13" l="1"/>
  <c r="T67" i="3"/>
  <c r="Z22" i="6"/>
  <c r="Z68" i="6" s="1"/>
  <c r="AB68" i="6" s="1"/>
  <c r="N50" i="12"/>
  <c r="N41" i="12"/>
  <c r="P48" i="12"/>
  <c r="P49" i="12" s="1"/>
  <c r="P3" i="12" s="1"/>
  <c r="T70" i="3"/>
  <c r="Z72" i="6" l="1"/>
  <c r="AB72" i="6" s="1"/>
  <c r="Z69" i="6"/>
  <c r="AB69" i="6" s="1"/>
  <c r="W51" i="3"/>
  <c r="Y51" i="3" s="1"/>
  <c r="Z55" i="6"/>
  <c r="AB55" i="6" s="1"/>
  <c r="N42" i="12"/>
  <c r="N48" i="12"/>
  <c r="N49" i="12" s="1"/>
  <c r="N3" i="12" s="1"/>
  <c r="N2" i="12" s="1"/>
  <c r="T71" i="3"/>
  <c r="G12" i="13"/>
  <c r="Z78" i="6"/>
  <c r="AB78" i="6" s="1"/>
  <c r="V70" i="3"/>
  <c r="V71" i="3" s="1"/>
  <c r="Q31" i="12"/>
  <c r="S31" i="12" s="1"/>
  <c r="W52" i="3"/>
  <c r="Y52" i="3" s="1"/>
  <c r="W55" i="3" l="1"/>
  <c r="Y55" i="3" s="1"/>
  <c r="Z77" i="6"/>
  <c r="AB77" i="6" s="1"/>
  <c r="W38" i="3"/>
  <c r="Y38" i="3" s="1"/>
  <c r="G14" i="13"/>
  <c r="T73" i="3"/>
  <c r="Z85" i="6" s="1"/>
  <c r="AB85" i="6" s="1"/>
  <c r="W60" i="3" l="1"/>
  <c r="Y60" i="3"/>
  <c r="Z87" i="6"/>
  <c r="Z96" i="6" s="1"/>
  <c r="Z98" i="6" s="1"/>
  <c r="Q34" i="12"/>
  <c r="S34" i="12" s="1"/>
  <c r="S35" i="12" s="1"/>
  <c r="G16" i="13"/>
  <c r="V73" i="3"/>
  <c r="V75" i="3" s="1"/>
  <c r="T75" i="3"/>
  <c r="Q46" i="12" s="1"/>
  <c r="S46" i="12" s="1"/>
  <c r="S47" i="12" s="1"/>
  <c r="S51" i="12" s="1"/>
  <c r="Q35" i="12" l="1"/>
  <c r="W62" i="3"/>
  <c r="Z88" i="6"/>
  <c r="Z91" i="6" s="1"/>
  <c r="Z94" i="6" s="1"/>
  <c r="AB87" i="6"/>
  <c r="AB88" i="6" s="1"/>
  <c r="AB91" i="6" s="1"/>
  <c r="AB94" i="6" s="1"/>
  <c r="Q47" i="12"/>
  <c r="Q51" i="12" s="1"/>
  <c r="S50" i="12"/>
  <c r="S41" i="12"/>
  <c r="Q41" i="12"/>
  <c r="Q42" i="12" s="1"/>
  <c r="Q50" i="12"/>
  <c r="Y62" i="3"/>
  <c r="Y63" i="3" s="1"/>
  <c r="Y64" i="3" s="1"/>
  <c r="Y67" i="3" s="1"/>
  <c r="W63" i="3"/>
  <c r="AB96" i="6"/>
  <c r="AB98" i="6" s="1"/>
  <c r="AC8" i="6" l="1"/>
  <c r="AC22" i="6" s="1"/>
  <c r="T9" i="12"/>
  <c r="V9" i="12" s="1"/>
  <c r="V12" i="12" s="1"/>
  <c r="V26" i="12" s="1"/>
  <c r="W64" i="3"/>
  <c r="H10" i="13"/>
  <c r="Q48" i="12"/>
  <c r="Q49" i="12" s="1"/>
  <c r="Q3" i="12" s="1"/>
  <c r="Q2" i="12" s="1"/>
  <c r="S42" i="12"/>
  <c r="S48" i="12"/>
  <c r="S49" i="12" s="1"/>
  <c r="S3" i="12" s="1"/>
  <c r="AE8" i="6"/>
  <c r="AE22" i="6" s="1"/>
  <c r="T12" i="12" l="1"/>
  <c r="W67" i="3"/>
  <c r="H11" i="13"/>
  <c r="T26" i="12"/>
  <c r="AC72" i="6"/>
  <c r="AC55" i="6"/>
  <c r="AC68" i="6"/>
  <c r="AC69" i="6"/>
  <c r="W70" i="3" l="1"/>
  <c r="Y70" i="3"/>
  <c r="Y71" i="3" s="1"/>
  <c r="T31" i="12"/>
  <c r="W71" i="3"/>
  <c r="H12" i="13"/>
  <c r="AE68" i="6"/>
  <c r="Z51" i="3"/>
  <c r="AB51" i="3" s="1"/>
  <c r="Z52" i="3"/>
  <c r="AB52" i="3" s="1"/>
  <c r="AE69" i="6"/>
  <c r="Z38" i="3"/>
  <c r="AB38" i="3" s="1"/>
  <c r="AC77" i="6"/>
  <c r="AE55" i="6"/>
  <c r="AE72" i="6"/>
  <c r="Z55" i="3"/>
  <c r="AB55" i="3" s="1"/>
  <c r="V31" i="12"/>
  <c r="AC78" i="6" l="1"/>
  <c r="AE78" i="6" s="1"/>
  <c r="AC87" i="6"/>
  <c r="AE87" i="6" s="1"/>
  <c r="H14" i="13"/>
  <c r="W73" i="3"/>
  <c r="Z60" i="3"/>
  <c r="AE77" i="6"/>
  <c r="AB60" i="3" l="1"/>
  <c r="AC96" i="6"/>
  <c r="AC98" i="6" s="1"/>
  <c r="H16" i="13"/>
  <c r="Z62" i="3"/>
  <c r="AB62" i="3" s="1"/>
  <c r="AB63" i="3" s="1"/>
  <c r="AB64" i="3" s="1"/>
  <c r="AB67" i="3" s="1"/>
  <c r="W75" i="3"/>
  <c r="T46" i="12" s="1"/>
  <c r="AC85" i="6"/>
  <c r="T34" i="12"/>
  <c r="Y73" i="3"/>
  <c r="Y75" i="3" s="1"/>
  <c r="AE96" i="6"/>
  <c r="AE98" i="6" s="1"/>
  <c r="Z63" i="3" l="1"/>
  <c r="V34" i="12"/>
  <c r="V35" i="12" s="1"/>
  <c r="V41" i="12" s="1"/>
  <c r="T35" i="12"/>
  <c r="Z64" i="3"/>
  <c r="T47" i="12"/>
  <c r="T51" i="12" s="1"/>
  <c r="V46" i="12"/>
  <c r="V47" i="12" s="1"/>
  <c r="V51" i="12" s="1"/>
  <c r="AE85" i="6"/>
  <c r="AE88" i="6" s="1"/>
  <c r="AE91" i="6" s="1"/>
  <c r="AE94" i="6" s="1"/>
  <c r="AC88" i="6"/>
  <c r="AC91" i="6" s="1"/>
  <c r="I10" i="13" l="1"/>
  <c r="V50" i="12"/>
  <c r="AF8" i="6"/>
  <c r="AC94" i="6"/>
  <c r="W9" i="12"/>
  <c r="Z67" i="3"/>
  <c r="I11" i="13"/>
  <c r="T50" i="12"/>
  <c r="T41" i="12"/>
  <c r="I12" i="13"/>
  <c r="N12" i="13" s="1"/>
  <c r="AB70" i="3"/>
  <c r="AB71" i="3" s="1"/>
  <c r="W31" i="12"/>
  <c r="AF78" i="6"/>
  <c r="AH78" i="6" s="1"/>
  <c r="V42" i="12"/>
  <c r="V48" i="12"/>
  <c r="V49" i="12" s="1"/>
  <c r="V3" i="12" s="1"/>
  <c r="Z71" i="3" l="1"/>
  <c r="W12" i="12"/>
  <c r="W26" i="12" s="1"/>
  <c r="Y9" i="12"/>
  <c r="Y12" i="12" s="1"/>
  <c r="Y26" i="12" s="1"/>
  <c r="T48" i="12"/>
  <c r="T49" i="12" s="1"/>
  <c r="T3" i="12" s="1"/>
  <c r="T2" i="12" s="1"/>
  <c r="T42" i="12"/>
  <c r="AH8" i="6"/>
  <c r="AH22" i="6" s="1"/>
  <c r="AF22" i="6"/>
  <c r="Y31" i="12"/>
  <c r="Z73" i="3" l="1"/>
  <c r="Z75" i="3" s="1"/>
  <c r="W46" i="12" s="1"/>
  <c r="W47" i="12" s="1"/>
  <c r="I14" i="13"/>
  <c r="I16" i="13"/>
  <c r="Y46" i="12"/>
  <c r="Y47" i="12" s="1"/>
  <c r="AF85" i="6"/>
  <c r="AH85" i="6" s="1"/>
  <c r="AF72" i="6"/>
  <c r="AF55" i="6"/>
  <c r="AF69" i="6"/>
  <c r="AF68" i="6"/>
  <c r="AB73" i="3"/>
  <c r="AB75" i="3" s="1"/>
  <c r="W51" i="12"/>
  <c r="W34" i="12" l="1"/>
  <c r="W35" i="12" s="1"/>
  <c r="W50" i="12" s="1"/>
  <c r="Y34" i="12"/>
  <c r="W41" i="12"/>
  <c r="W42" i="12" s="1"/>
  <c r="AC51" i="3"/>
  <c r="AE51" i="3" s="1"/>
  <c r="AH68" i="6"/>
  <c r="AC52" i="3"/>
  <c r="AE52" i="3" s="1"/>
  <c r="AH69" i="6"/>
  <c r="AF77" i="6"/>
  <c r="AC38" i="3"/>
  <c r="AE38" i="3" s="1"/>
  <c r="AH55" i="6"/>
  <c r="W48" i="12"/>
  <c r="W49" i="12" s="1"/>
  <c r="W3" i="12" s="1"/>
  <c r="W2" i="12" s="1"/>
  <c r="AH72" i="6"/>
  <c r="AC55" i="3"/>
  <c r="AE55" i="3" s="1"/>
  <c r="Y35" i="12"/>
  <c r="Y51" i="12"/>
  <c r="AC60" i="3" l="1"/>
  <c r="AH77" i="6"/>
  <c r="AF87" i="6"/>
  <c r="Y50" i="12"/>
  <c r="Y41" i="12"/>
  <c r="AE60" i="3" l="1"/>
  <c r="AF96" i="6"/>
  <c r="AF98" i="6" s="1"/>
  <c r="AF88" i="6"/>
  <c r="AF91" i="6" s="1"/>
  <c r="AC62" i="3"/>
  <c r="AH87" i="6"/>
  <c r="AH96" i="6" s="1"/>
  <c r="AH98" i="6" s="1"/>
  <c r="Y42" i="12"/>
  <c r="Y48" i="12"/>
  <c r="Y49" i="12" s="1"/>
  <c r="Y3" i="12" s="1"/>
  <c r="AE62" i="3" l="1"/>
  <c r="AE63" i="3" s="1"/>
  <c r="AE64" i="3" s="1"/>
  <c r="AE67" i="3" s="1"/>
  <c r="AC63" i="3"/>
  <c r="AF94" i="6"/>
  <c r="Z9" i="12"/>
  <c r="AI8" i="6"/>
  <c r="AH88" i="6"/>
  <c r="AH91" i="6" s="1"/>
  <c r="AH94" i="6" s="1"/>
  <c r="AE70" i="3"/>
  <c r="Z31" i="12"/>
  <c r="AI78" i="6"/>
  <c r="AK78" i="6" s="1"/>
  <c r="AE71" i="3" l="1"/>
  <c r="AB9" i="12"/>
  <c r="AB12" i="12" s="1"/>
  <c r="AB26" i="12" s="1"/>
  <c r="Z12" i="12"/>
  <c r="Z26" i="12" s="1"/>
  <c r="AC64" i="3"/>
  <c r="J10" i="13"/>
  <c r="AK8" i="6"/>
  <c r="AK22" i="6" s="1"/>
  <c r="AI22" i="6"/>
  <c r="AB31" i="12"/>
  <c r="AI69" i="6" l="1"/>
  <c r="AI68" i="6"/>
  <c r="AI72" i="6"/>
  <c r="AI55" i="6"/>
  <c r="AC67" i="3"/>
  <c r="AC71" i="3" s="1"/>
  <c r="J11" i="13"/>
  <c r="AK55" i="6" l="1"/>
  <c r="AF38" i="3"/>
  <c r="AH38" i="3" s="1"/>
  <c r="AI77" i="6"/>
  <c r="AK72" i="6"/>
  <c r="AF55" i="3"/>
  <c r="AH55" i="3" s="1"/>
  <c r="AK68" i="6"/>
  <c r="AF51" i="3"/>
  <c r="AH51" i="3" s="1"/>
  <c r="AC73" i="3"/>
  <c r="J14" i="13"/>
  <c r="AF52" i="3"/>
  <c r="AH52" i="3" s="1"/>
  <c r="AK69" i="6"/>
  <c r="J16" i="13" l="1"/>
  <c r="AI87" i="6"/>
  <c r="AK77" i="6"/>
  <c r="AF60" i="3"/>
  <c r="AC75" i="3"/>
  <c r="Z46" i="12" s="1"/>
  <c r="AE73" i="3"/>
  <c r="AE75" i="3" s="1"/>
  <c r="Z34" i="12"/>
  <c r="AI85" i="6"/>
  <c r="AK85" i="6" s="1"/>
  <c r="AK87" i="6" l="1"/>
  <c r="AK88" i="6" s="1"/>
  <c r="AK91" i="6" s="1"/>
  <c r="AK94" i="6" s="1"/>
  <c r="AF62" i="3"/>
  <c r="AH62" i="3" s="1"/>
  <c r="AI96" i="6"/>
  <c r="AI98" i="6" s="1"/>
  <c r="AH60" i="3"/>
  <c r="Z35" i="12"/>
  <c r="AB34" i="12"/>
  <c r="AB35" i="12" s="1"/>
  <c r="AI88" i="6"/>
  <c r="AI91" i="6" s="1"/>
  <c r="Z47" i="12"/>
  <c r="AB46" i="12"/>
  <c r="AB47" i="12" s="1"/>
  <c r="AB51" i="12" s="1"/>
  <c r="AH63" i="3" l="1"/>
  <c r="AH64" i="3" s="1"/>
  <c r="AH67" i="3" s="1"/>
  <c r="Z41" i="12"/>
  <c r="Z42" i="12" s="1"/>
  <c r="Z50" i="12"/>
  <c r="AB50" i="12"/>
  <c r="AB41" i="12"/>
  <c r="AB42" i="12" s="1"/>
  <c r="Z51" i="12"/>
  <c r="AF63" i="3"/>
  <c r="AC9" i="12"/>
  <c r="AI94" i="6"/>
  <c r="AL8" i="6"/>
  <c r="AK96" i="6"/>
  <c r="AK98" i="6" s="1"/>
  <c r="AL78" i="6"/>
  <c r="AN78" i="6" s="1"/>
  <c r="AC31" i="12"/>
  <c r="AE31" i="12" s="1"/>
  <c r="AH70" i="3"/>
  <c r="AB48" i="12" l="1"/>
  <c r="AB49" i="12" s="1"/>
  <c r="AB3" i="12" s="1"/>
  <c r="Z48" i="12"/>
  <c r="Z49" i="12" s="1"/>
  <c r="Z3" i="12" s="1"/>
  <c r="Z2" i="12" s="1"/>
  <c r="AH71" i="3"/>
  <c r="AL22" i="6"/>
  <c r="AN8" i="6"/>
  <c r="AN22" i="6" s="1"/>
  <c r="AF64" i="3"/>
  <c r="K10" i="13"/>
  <c r="AC12" i="12"/>
  <c r="AC26" i="12" s="1"/>
  <c r="AE9" i="12"/>
  <c r="AE12" i="12" s="1"/>
  <c r="AE26" i="12" s="1"/>
  <c r="AF67" i="3" l="1"/>
  <c r="AF71" i="3" s="1"/>
  <c r="K11" i="13"/>
  <c r="AL69" i="6"/>
  <c r="AL55" i="6"/>
  <c r="AL72" i="6"/>
  <c r="AL68" i="6"/>
  <c r="AN55" i="6" l="1"/>
  <c r="AL77" i="6"/>
  <c r="AL87" i="6" s="1"/>
  <c r="AI38" i="3"/>
  <c r="AN69" i="6"/>
  <c r="AI52" i="3"/>
  <c r="AK52" i="3" s="1"/>
  <c r="AN68" i="6"/>
  <c r="AI51" i="3"/>
  <c r="AK51" i="3" s="1"/>
  <c r="AN72" i="6"/>
  <c r="AI55" i="3"/>
  <c r="AK55" i="3" s="1"/>
  <c r="AF73" i="3"/>
  <c r="K14" i="13"/>
  <c r="K16" i="13" l="1"/>
  <c r="AL96" i="6"/>
  <c r="AL98" i="6" s="1"/>
  <c r="AI62" i="3"/>
  <c r="AK62" i="3" s="1"/>
  <c r="AN87" i="6"/>
  <c r="AF75" i="3"/>
  <c r="AC46" i="12" s="1"/>
  <c r="AL85" i="6"/>
  <c r="AN85" i="6" s="1"/>
  <c r="AC34" i="12"/>
  <c r="AH73" i="3"/>
  <c r="AH75" i="3" s="1"/>
  <c r="AK38" i="3"/>
  <c r="AI60" i="3"/>
  <c r="AN77" i="6"/>
  <c r="AO78" i="6"/>
  <c r="AK60" i="3" l="1"/>
  <c r="AN88" i="6"/>
  <c r="AN91" i="6" s="1"/>
  <c r="AN94" i="6" s="1"/>
  <c r="AN96" i="6"/>
  <c r="AN98" i="6" s="1"/>
  <c r="AE34" i="12"/>
  <c r="AE35" i="12" s="1"/>
  <c r="AC35" i="12"/>
  <c r="AK63" i="3"/>
  <c r="AK64" i="3" s="1"/>
  <c r="AK67" i="3" s="1"/>
  <c r="AI63" i="3"/>
  <c r="AL88" i="6"/>
  <c r="AL91" i="6" s="1"/>
  <c r="AE46" i="12"/>
  <c r="AE47" i="12" s="1"/>
  <c r="AC47" i="12"/>
  <c r="AF31" i="12"/>
  <c r="AH31" i="12" s="1"/>
  <c r="AK70" i="3"/>
  <c r="AQ78" i="6"/>
  <c r="J78" i="6" s="1"/>
  <c r="H78" i="6"/>
  <c r="AK71" i="3" l="1"/>
  <c r="AC51" i="12"/>
  <c r="AE51" i="12"/>
  <c r="AC50" i="12"/>
  <c r="AC41" i="12"/>
  <c r="AC42" i="12" s="1"/>
  <c r="AF9" i="12"/>
  <c r="AL94" i="6"/>
  <c r="AO8" i="6"/>
  <c r="AE50" i="12"/>
  <c r="AE41" i="12"/>
  <c r="AE42" i="12" s="1"/>
  <c r="AI64" i="3"/>
  <c r="L10" i="13"/>
  <c r="AE48" i="12" l="1"/>
  <c r="AE49" i="12" s="1"/>
  <c r="AE3" i="12" s="1"/>
  <c r="AI67" i="3"/>
  <c r="AI71" i="3" s="1"/>
  <c r="L11" i="13"/>
  <c r="AH9" i="12"/>
  <c r="AH12" i="12" s="1"/>
  <c r="AH26" i="12" s="1"/>
  <c r="AF12" i="12"/>
  <c r="AF26" i="12" s="1"/>
  <c r="AC48" i="12"/>
  <c r="AC49" i="12" s="1"/>
  <c r="AC3" i="12" s="1"/>
  <c r="AC2" i="12" s="1"/>
  <c r="AQ8" i="6"/>
  <c r="AQ22" i="6" s="1"/>
  <c r="AO22" i="6"/>
  <c r="AO55" i="6" l="1"/>
  <c r="AO72" i="6"/>
  <c r="AO69" i="6"/>
  <c r="AO68" i="6"/>
  <c r="AI73" i="3"/>
  <c r="L14" i="13"/>
  <c r="L16" i="13" l="1"/>
  <c r="AQ68" i="6"/>
  <c r="J68" i="6" s="1"/>
  <c r="H68" i="6"/>
  <c r="AL51" i="3"/>
  <c r="AQ69" i="6"/>
  <c r="J69" i="6" s="1"/>
  <c r="AL52" i="3"/>
  <c r="H69" i="6"/>
  <c r="AQ72" i="6"/>
  <c r="J72" i="6" s="1"/>
  <c r="H72" i="6"/>
  <c r="AL55" i="3"/>
  <c r="AI75" i="3"/>
  <c r="AF46" i="12" s="1"/>
  <c r="AO85" i="6"/>
  <c r="AQ85" i="6" s="1"/>
  <c r="AF34" i="12"/>
  <c r="AK73" i="3"/>
  <c r="AK75" i="3" s="1"/>
  <c r="H55" i="6"/>
  <c r="AQ55" i="6"/>
  <c r="J55" i="6" s="1"/>
  <c r="AL38" i="3"/>
  <c r="AO77" i="6"/>
  <c r="AO87" i="6" s="1"/>
  <c r="H85" i="6" l="1"/>
  <c r="AL62" i="3"/>
  <c r="H87" i="6"/>
  <c r="AQ87" i="6"/>
  <c r="AH46" i="12"/>
  <c r="AH47" i="12" s="1"/>
  <c r="AF47" i="12"/>
  <c r="AO88" i="6"/>
  <c r="AO91" i="6" s="1"/>
  <c r="AI9" i="12" s="1"/>
  <c r="E51" i="3"/>
  <c r="G51" i="3" s="1"/>
  <c r="AN51" i="3"/>
  <c r="AQ77" i="6"/>
  <c r="J77" i="6" s="1"/>
  <c r="AL60" i="3"/>
  <c r="H77" i="6"/>
  <c r="AO96" i="6"/>
  <c r="AO98" i="6" s="1"/>
  <c r="AN55" i="3"/>
  <c r="E55" i="3"/>
  <c r="G55" i="3" s="1"/>
  <c r="E38" i="3"/>
  <c r="AN38" i="3"/>
  <c r="AH34" i="12"/>
  <c r="AH35" i="12" s="1"/>
  <c r="AF35" i="12"/>
  <c r="E52" i="3"/>
  <c r="G52" i="3" s="1"/>
  <c r="AN52" i="3"/>
  <c r="E70" i="3"/>
  <c r="J85" i="6"/>
  <c r="AO94" i="6" l="1"/>
  <c r="AF41" i="12"/>
  <c r="AF42" i="12" s="1"/>
  <c r="AF50" i="12"/>
  <c r="G38" i="3"/>
  <c r="AQ96" i="6"/>
  <c r="AQ98" i="6" s="1"/>
  <c r="J87" i="6"/>
  <c r="J96" i="6" s="1"/>
  <c r="J98" i="6" s="1"/>
  <c r="AQ88" i="6"/>
  <c r="AQ91" i="6" s="1"/>
  <c r="AQ94" i="6" s="1"/>
  <c r="AH41" i="12"/>
  <c r="AH42" i="12" s="1"/>
  <c r="AH50" i="12"/>
  <c r="AN60" i="3"/>
  <c r="E60" i="3"/>
  <c r="G60" i="3" s="1"/>
  <c r="H96" i="6"/>
  <c r="H98" i="6" s="1"/>
  <c r="AL63" i="3"/>
  <c r="AF51" i="12"/>
  <c r="E62" i="3"/>
  <c r="G62" i="3" s="1"/>
  <c r="AN62" i="3"/>
  <c r="AH51" i="12"/>
  <c r="H88" i="6"/>
  <c r="H91" i="6" s="1"/>
  <c r="H94" i="6" s="1"/>
  <c r="AI31" i="12"/>
  <c r="E31" i="12" s="1"/>
  <c r="AN70" i="3"/>
  <c r="E71" i="3"/>
  <c r="G70" i="3"/>
  <c r="G71" i="3" s="1"/>
  <c r="AI12" i="12"/>
  <c r="AK9" i="12"/>
  <c r="E9" i="12"/>
  <c r="E12" i="12" s="1"/>
  <c r="AL64" i="3" l="1"/>
  <c r="AL67" i="3" s="1"/>
  <c r="AF48" i="12"/>
  <c r="AF49" i="12" s="1"/>
  <c r="AF3" i="12" s="1"/>
  <c r="AF2" i="12" s="1"/>
  <c r="AK31" i="12"/>
  <c r="F31" i="12" s="1"/>
  <c r="E63" i="3"/>
  <c r="E64" i="3" s="1"/>
  <c r="E67" i="3" s="1"/>
  <c r="AH48" i="12"/>
  <c r="AH49" i="12" s="1"/>
  <c r="AH3" i="12" s="1"/>
  <c r="AN63" i="3"/>
  <c r="AN64" i="3" s="1"/>
  <c r="AN67" i="3" s="1"/>
  <c r="AN71" i="3" s="1"/>
  <c r="G63" i="3"/>
  <c r="G64" i="3" s="1"/>
  <c r="G67" i="3" s="1"/>
  <c r="M10" i="13"/>
  <c r="N10" i="13" s="1"/>
  <c r="J88" i="6"/>
  <c r="J91" i="6" s="1"/>
  <c r="J94" i="6" s="1"/>
  <c r="E26" i="12"/>
  <c r="AK12" i="12"/>
  <c r="F9" i="12"/>
  <c r="F12" i="12" s="1"/>
  <c r="AI26" i="12"/>
  <c r="M11" i="13" l="1"/>
  <c r="N11" i="13" s="1"/>
  <c r="AK26" i="12"/>
  <c r="F26" i="12"/>
  <c r="M14" i="13" l="1"/>
  <c r="N14" i="13" s="1"/>
  <c r="AL71" i="3"/>
  <c r="AL73" i="3" l="1"/>
  <c r="AI34" i="12" s="1"/>
  <c r="AL75" i="3"/>
  <c r="AI46" i="12" s="1"/>
  <c r="AN73" i="3"/>
  <c r="AN75" i="3" s="1"/>
  <c r="M16" i="13"/>
  <c r="N16" i="13" s="1"/>
  <c r="E73" i="3" l="1"/>
  <c r="E75" i="3" s="1"/>
  <c r="AI35" i="12"/>
  <c r="AK34" i="12"/>
  <c r="E34" i="12"/>
  <c r="E35" i="12" s="1"/>
  <c r="AI47" i="12"/>
  <c r="E46" i="12"/>
  <c r="E47" i="12" s="1"/>
  <c r="E51" i="12" s="1"/>
  <c r="AK46" i="12"/>
  <c r="G73" i="3" l="1"/>
  <c r="G75" i="3" s="1"/>
  <c r="AK47" i="12"/>
  <c r="AK51" i="12" s="1"/>
  <c r="F46" i="12"/>
  <c r="F47" i="12" s="1"/>
  <c r="F51" i="12" s="1"/>
  <c r="AK35" i="12"/>
  <c r="F34" i="12"/>
  <c r="F35" i="12" s="1"/>
  <c r="AI41" i="12"/>
  <c r="AI42" i="12" s="1"/>
  <c r="AI50" i="12"/>
  <c r="AI51" i="12"/>
  <c r="E41" i="12"/>
  <c r="E50" i="12"/>
  <c r="AI48" i="12" l="1"/>
  <c r="AI49" i="12" s="1"/>
  <c r="AI3" i="12" s="1"/>
  <c r="AI2" i="12" s="1"/>
  <c r="F41" i="12"/>
  <c r="F50" i="12"/>
  <c r="AK41" i="12"/>
  <c r="AK50" i="12"/>
  <c r="E48" i="12"/>
  <c r="E49" i="12" s="1"/>
  <c r="E42" i="12"/>
  <c r="AK48" i="12" l="1"/>
  <c r="AK49" i="12" s="1"/>
  <c r="AK3" i="12" s="1"/>
  <c r="AK42" i="12"/>
  <c r="F48" i="12"/>
  <c r="F49" i="12" s="1"/>
  <c r="F42" i="12"/>
  <c r="AR31" i="4" l="1"/>
</calcChain>
</file>

<file path=xl/comments1.xml><?xml version="1.0" encoding="utf-8"?>
<comments xmlns="http://schemas.openxmlformats.org/spreadsheetml/2006/main">
  <authors>
    <author>Deji Adeshile</author>
  </authors>
  <commentList>
    <comment ref="C16" authorId="0" shapeId="0">
      <text>
        <r>
          <rPr>
            <b/>
            <sz val="9"/>
            <color indexed="81"/>
            <rFont val="Tahoma"/>
            <family val="2"/>
          </rPr>
          <t>Deji Adeshile:</t>
        </r>
        <r>
          <rPr>
            <sz val="9"/>
            <color indexed="81"/>
            <rFont val="Tahoma"/>
            <family val="2"/>
          </rPr>
          <t xml:space="preserve">
Balance sheet treatement using Agency approach.</t>
        </r>
      </text>
    </comment>
  </commentList>
</comments>
</file>

<file path=xl/sharedStrings.xml><?xml version="1.0" encoding="utf-8"?>
<sst xmlns="http://schemas.openxmlformats.org/spreadsheetml/2006/main" count="1786" uniqueCount="294">
  <si>
    <t>Total</t>
  </si>
  <si>
    <t>NGN</t>
  </si>
  <si>
    <t>Year 1</t>
  </si>
  <si>
    <t>Year 2</t>
  </si>
  <si>
    <t>Year 3</t>
  </si>
  <si>
    <t>Year 4</t>
  </si>
  <si>
    <t>Year 5</t>
  </si>
  <si>
    <t>Unit</t>
  </si>
  <si>
    <t>Number of Shift per day</t>
  </si>
  <si>
    <t>Taxi Fare per trip (NGN)</t>
  </si>
  <si>
    <t>Bus Fare per trip (NGN)</t>
  </si>
  <si>
    <t>Taxi</t>
  </si>
  <si>
    <t>Bus</t>
  </si>
  <si>
    <t>Revenue</t>
  </si>
  <si>
    <t>Number of operating days per week</t>
  </si>
  <si>
    <t>Number of operating week per month</t>
  </si>
  <si>
    <t>Number of operating month per year</t>
  </si>
  <si>
    <t>Assumptions</t>
  </si>
  <si>
    <t>Annual Growth Rate</t>
  </si>
  <si>
    <t>Price</t>
  </si>
  <si>
    <t>Amount</t>
  </si>
  <si>
    <t>Operation Cost</t>
  </si>
  <si>
    <t>Direct Cost</t>
  </si>
  <si>
    <t>Overheads</t>
  </si>
  <si>
    <t>Drivers- Taxi</t>
  </si>
  <si>
    <t>Drivers-  Bus</t>
  </si>
  <si>
    <t>Transport Utility Operating Hours per day (hrs)</t>
  </si>
  <si>
    <t>Human Operating Hours per day/shift (hrs)</t>
  </si>
  <si>
    <t>US$</t>
  </si>
  <si>
    <t>Exchange Rate</t>
  </si>
  <si>
    <t xml:space="preserve">Total </t>
  </si>
  <si>
    <t>Cluster Supervisors- Taxi</t>
  </si>
  <si>
    <t>Cluster Supervisors- Bus</t>
  </si>
  <si>
    <t>Each cluster contains 25 utility</t>
  </si>
  <si>
    <t>Total Personnel</t>
  </si>
  <si>
    <t>Cluster</t>
  </si>
  <si>
    <t>Units</t>
  </si>
  <si>
    <t>Monthly Total Pay</t>
  </si>
  <si>
    <t>Monthly Pay Per Personnel</t>
  </si>
  <si>
    <t>Annual Total Pay</t>
  </si>
  <si>
    <t>CEO</t>
  </si>
  <si>
    <t>ED/ CFO</t>
  </si>
  <si>
    <t>ED/ COO</t>
  </si>
  <si>
    <t>ED/ CCO</t>
  </si>
  <si>
    <t>Others</t>
  </si>
  <si>
    <t>Repairs and Maintenance</t>
  </si>
  <si>
    <t>Frequency per Month</t>
  </si>
  <si>
    <t>Monthly charge Per Unit</t>
  </si>
  <si>
    <t>Monthly Total charge</t>
  </si>
  <si>
    <t>Salaries and Wages</t>
  </si>
  <si>
    <t>Annual  Total Pay</t>
  </si>
  <si>
    <t>Annual Total Charge</t>
  </si>
  <si>
    <t>Remarks</t>
  </si>
  <si>
    <t>Investment Period (year)</t>
  </si>
  <si>
    <t>Depreciation</t>
  </si>
  <si>
    <t>Depreciation `</t>
  </si>
  <si>
    <t>Total Direct Cost</t>
  </si>
  <si>
    <t>Projected Income Statement</t>
  </si>
  <si>
    <t>Number of PAX Per Trip- Taxi</t>
  </si>
  <si>
    <t>Number of PAX Per Trip- Bus</t>
  </si>
  <si>
    <t>Pax</t>
  </si>
  <si>
    <t>Energy and Power</t>
  </si>
  <si>
    <t>Annual Growth Factor</t>
  </si>
  <si>
    <t>Cummulative</t>
  </si>
  <si>
    <t>Construction/ Deployment Period</t>
  </si>
  <si>
    <t>RATE</t>
  </si>
  <si>
    <t>USD</t>
  </si>
  <si>
    <t>REVENUE</t>
  </si>
  <si>
    <t>Transportation Fare</t>
  </si>
  <si>
    <t>TOTAL REVENUE</t>
  </si>
  <si>
    <t>Drivers Salary</t>
  </si>
  <si>
    <t>Bank Charges</t>
  </si>
  <si>
    <t>TOTAL OPERATION AND MAINTENANCE COST</t>
  </si>
  <si>
    <t>ASSET RECOVERY &amp; REPLACEMENT RESERVE</t>
  </si>
  <si>
    <t>Enhancing Public Transportation in the FCT</t>
  </si>
  <si>
    <t>Direct Labour/Wage Cost</t>
  </si>
  <si>
    <t>EARNINGS BEFORE INTEREST AND TAX</t>
  </si>
  <si>
    <t>Hours</t>
  </si>
  <si>
    <t>Timing</t>
  </si>
  <si>
    <t>6am- 2pm</t>
  </si>
  <si>
    <t>Shift</t>
  </si>
  <si>
    <t>2pm - 10pm</t>
  </si>
  <si>
    <t>10pm - 6am</t>
  </si>
  <si>
    <t>QTY</t>
  </si>
  <si>
    <t>Rate</t>
  </si>
  <si>
    <t>Fare - NGN</t>
  </si>
  <si>
    <t>Days in Week</t>
  </si>
  <si>
    <t xml:space="preserve">Days  </t>
  </si>
  <si>
    <t>Fare- NGN</t>
  </si>
  <si>
    <t>Weekly</t>
  </si>
  <si>
    <t>Daily</t>
  </si>
  <si>
    <t>Cars- Deployment and Passanger Efficiency Analysis</t>
  </si>
  <si>
    <t>Monthly</t>
  </si>
  <si>
    <t xml:space="preserve">Days in Month </t>
  </si>
  <si>
    <t>Season</t>
  </si>
  <si>
    <t>Peak</t>
  </si>
  <si>
    <t>6am- 6pm</t>
  </si>
  <si>
    <t>Off peak</t>
  </si>
  <si>
    <t>6pm- 9pm</t>
  </si>
  <si>
    <t>Overnight</t>
  </si>
  <si>
    <t>9pm - 6am</t>
  </si>
  <si>
    <t>No</t>
  </si>
  <si>
    <t>Average Capacity Utilisation</t>
  </si>
  <si>
    <t>Annual</t>
  </si>
  <si>
    <t>Year 6</t>
  </si>
  <si>
    <t>Year 7</t>
  </si>
  <si>
    <t>Year 8</t>
  </si>
  <si>
    <t>Year 9</t>
  </si>
  <si>
    <t>Year 10</t>
  </si>
  <si>
    <t>Repayment</t>
  </si>
  <si>
    <t>Opening Balance</t>
  </si>
  <si>
    <t>Addition</t>
  </si>
  <si>
    <t>Closing Balance</t>
  </si>
  <si>
    <t>Exchange</t>
  </si>
  <si>
    <t>Opening</t>
  </si>
  <si>
    <t>Additions</t>
  </si>
  <si>
    <t xml:space="preserve">Closing </t>
  </si>
  <si>
    <t>Summary Investment and Repayment Schedule- NGN</t>
  </si>
  <si>
    <t>Summary Investment and Repayment Schedule- USD</t>
  </si>
  <si>
    <t>Projected Cash Flow Statement</t>
  </si>
  <si>
    <t>Beginning Cash Balance</t>
  </si>
  <si>
    <t>CASH INFLOWS</t>
  </si>
  <si>
    <t>TOTAL CASH INFLOWS</t>
  </si>
  <si>
    <t>CASH OUTFLOWS</t>
  </si>
  <si>
    <t>INVESTING ACTIVITIES</t>
  </si>
  <si>
    <t>OPERATING ACTIVITIES</t>
  </si>
  <si>
    <t xml:space="preserve">Operating &amp; Maintenance Cost </t>
  </si>
  <si>
    <t>FINANCING ACTIVITIES</t>
  </si>
  <si>
    <t>Loan Interest Payment</t>
  </si>
  <si>
    <t>TOTAL CASH OUTFLOWS</t>
  </si>
  <si>
    <t>NET CASHFLOW</t>
  </si>
  <si>
    <t>Debt Service Coverage Ratio (Principal + Interest)</t>
  </si>
  <si>
    <t>Free Cash Flow Debt</t>
  </si>
  <si>
    <t>Debt (Prinipal + Interest)</t>
  </si>
  <si>
    <t>Enhancement of Public Transportation in the FCT</t>
  </si>
  <si>
    <t>Infrastructure</t>
  </si>
  <si>
    <t>Personnel costs</t>
  </si>
  <si>
    <t>Other operating costs</t>
  </si>
  <si>
    <t>Disposal</t>
  </si>
  <si>
    <t>Closing</t>
  </si>
  <si>
    <t>Revenue Schedule</t>
  </si>
  <si>
    <t>Fleet Inventory</t>
  </si>
  <si>
    <t>Facility Repayment Plan</t>
  </si>
  <si>
    <t>Retail and Recreation (+56%)</t>
  </si>
  <si>
    <t>Supermarket and Pharmacy (+75%)</t>
  </si>
  <si>
    <t>Parks (+43%)</t>
  </si>
  <si>
    <t>Workplaces (+73%)</t>
  </si>
  <si>
    <t>Residential Areas (+19%)</t>
  </si>
  <si>
    <t>Public Transport (+33%)</t>
  </si>
  <si>
    <t>Location</t>
  </si>
  <si>
    <t>Efficiency</t>
  </si>
  <si>
    <t>Available QTY</t>
  </si>
  <si>
    <t>Fleet Allocation Per Location</t>
  </si>
  <si>
    <t>Deployment Efficiency</t>
  </si>
  <si>
    <t>Minimum Daily Trips</t>
  </si>
  <si>
    <t>Bus- Deployment and Passanger Efficiency Analysis</t>
  </si>
  <si>
    <t>PAX Average Occupancy- BUS</t>
  </si>
  <si>
    <t>PAX Average Occupancy- Taxi</t>
  </si>
  <si>
    <t>Average Occupancy Utilisation</t>
  </si>
  <si>
    <t xml:space="preserve">Std Occupancy </t>
  </si>
  <si>
    <t>Off-peak</t>
  </si>
  <si>
    <t>Night</t>
  </si>
  <si>
    <t>Batch</t>
  </si>
  <si>
    <t xml:space="preserve">Sub-Total </t>
  </si>
  <si>
    <t>Cost</t>
  </si>
  <si>
    <t>Brought Forward</t>
  </si>
  <si>
    <t>Current year</t>
  </si>
  <si>
    <t>NBV</t>
  </si>
  <si>
    <t>Beginning</t>
  </si>
  <si>
    <t>Drivers- Bus</t>
  </si>
  <si>
    <t>Repairs &amp; Maintanance</t>
  </si>
  <si>
    <t>Basis</t>
  </si>
  <si>
    <t>NSITF</t>
  </si>
  <si>
    <t>Pension Contribution</t>
  </si>
  <si>
    <t>Board Expenses</t>
  </si>
  <si>
    <t>Printing &amp; Stationary</t>
  </si>
  <si>
    <t>Vehicle Maintenance</t>
  </si>
  <si>
    <t>Maintenance - Buildings</t>
  </si>
  <si>
    <t>Maintenance - Equipment</t>
  </si>
  <si>
    <t>Postage &amp; Communication</t>
  </si>
  <si>
    <t>Government Rates</t>
  </si>
  <si>
    <t>Travelling Expenses</t>
  </si>
  <si>
    <t>Audit Fees</t>
  </si>
  <si>
    <t>Legal &amp; Secretarial Expenses</t>
  </si>
  <si>
    <t>Consultancies &amp; Other Professional Fees</t>
  </si>
  <si>
    <t>Staff Medical Expenses</t>
  </si>
  <si>
    <t>Actual</t>
  </si>
  <si>
    <t>Motor running cost</t>
  </si>
  <si>
    <t>Salary Cost</t>
  </si>
  <si>
    <t>Asset Cost</t>
  </si>
  <si>
    <t>Rent</t>
  </si>
  <si>
    <t>NHIS</t>
  </si>
  <si>
    <t>Salary of total staff</t>
  </si>
  <si>
    <t>N10m per year</t>
  </si>
  <si>
    <t>Operational Fleets</t>
  </si>
  <si>
    <t>Admin Furnitures, Fittings and Equipment</t>
  </si>
  <si>
    <t>Depreciation &amp; Amortisation- Fleets</t>
  </si>
  <si>
    <t>Fleets Insurance</t>
  </si>
  <si>
    <t>Admin Assets Insurance</t>
  </si>
  <si>
    <t>Depreciation &amp; Amortisation- Admin Assets</t>
  </si>
  <si>
    <t>Group Life</t>
  </si>
  <si>
    <t>Furnitures, Fittings and Equipment</t>
  </si>
  <si>
    <t>Asset</t>
  </si>
  <si>
    <t xml:space="preserve">Estimate  </t>
  </si>
  <si>
    <t xml:space="preserve">Equipment cost </t>
  </si>
  <si>
    <t xml:space="preserve">Government Rates </t>
  </si>
  <si>
    <t>Marketing Expenses and Public Relation</t>
  </si>
  <si>
    <t>Stamp Duties etc</t>
  </si>
  <si>
    <t>Asset Repayments- Long term finance</t>
  </si>
  <si>
    <t>Procurement</t>
  </si>
  <si>
    <t xml:space="preserve">Gross Profit </t>
  </si>
  <si>
    <t>NET EARNINGS AFTER INTEREST</t>
  </si>
  <si>
    <t xml:space="preserve">Apportionment of Earnings </t>
  </si>
  <si>
    <t>Tax</t>
  </si>
  <si>
    <t>NET EARNINGS AFTER TAX</t>
  </si>
  <si>
    <t>Dividend</t>
  </si>
  <si>
    <t xml:space="preserve">Number of trips </t>
  </si>
  <si>
    <t xml:space="preserve">Peak </t>
  </si>
  <si>
    <t>Off-Peak</t>
  </si>
  <si>
    <t>Taxi and Bus</t>
  </si>
  <si>
    <t>Human Capital Development (ITF Inclusive)</t>
  </si>
  <si>
    <t>N50m per Member</t>
  </si>
  <si>
    <t>10% annual depreciation</t>
  </si>
  <si>
    <t xml:space="preserve">PROJECTED STATEMENT OF FINANCIAL POSITION </t>
  </si>
  <si>
    <t>ASSETS</t>
  </si>
  <si>
    <t>Current Assets</t>
  </si>
  <si>
    <t xml:space="preserve">      Cash and Cash Equivalent</t>
  </si>
  <si>
    <t xml:space="preserve">       Other Receivables</t>
  </si>
  <si>
    <t xml:space="preserve">       Receivables</t>
  </si>
  <si>
    <t>TOTAL CURRENT ASSETS</t>
  </si>
  <si>
    <t>Non-Current Assets</t>
  </si>
  <si>
    <t>Intangible Assets</t>
  </si>
  <si>
    <t>Investment Impairment</t>
  </si>
  <si>
    <t>Investment- Facility Upgrade</t>
  </si>
  <si>
    <t>Property, Plant &amp; Equipment</t>
  </si>
  <si>
    <t>TOTAL NON-CURRENT ASSETS</t>
  </si>
  <si>
    <t>TOTAL ASSETS</t>
  </si>
  <si>
    <t>LIABILITIES &amp; EQUITY</t>
  </si>
  <si>
    <t>Current Liabilities</t>
  </si>
  <si>
    <t>Trade Payables</t>
  </si>
  <si>
    <t>Loan (Part Assets Financing)</t>
  </si>
  <si>
    <t>Current Cost of Borrowing</t>
  </si>
  <si>
    <t>TOTAL CURRENT LIABILITES</t>
  </si>
  <si>
    <t>Non-current Liabilities</t>
  </si>
  <si>
    <t>Long-term Borrowings - Principal</t>
  </si>
  <si>
    <t>Long-term Borrowings - Capitalised Interest</t>
  </si>
  <si>
    <t>TOTAL NON CURRENT LIABILITIES</t>
  </si>
  <si>
    <t>TOTAL LIABILITIES</t>
  </si>
  <si>
    <t>NET ASSETS</t>
  </si>
  <si>
    <t>Equity</t>
  </si>
  <si>
    <t xml:space="preserve">      Issued Share Capital</t>
  </si>
  <si>
    <t xml:space="preserve">      Share premium</t>
  </si>
  <si>
    <t xml:space="preserve">      Asset Recovery and Replacement Reserve</t>
  </si>
  <si>
    <t>TOTAL EQUITY</t>
  </si>
  <si>
    <t>TOTAL LIABILITIES AND EQUITY</t>
  </si>
  <si>
    <t>Working Capital Ratio</t>
  </si>
  <si>
    <t>Gearing Ratio</t>
  </si>
  <si>
    <t xml:space="preserve">Fleets </t>
  </si>
  <si>
    <t>Tax Payable</t>
  </si>
  <si>
    <t>Fleets Disposal</t>
  </si>
  <si>
    <t>Depreciation Factor</t>
  </si>
  <si>
    <t>Bonds</t>
  </si>
  <si>
    <t>SUMMARY OF FINANCIALS</t>
  </si>
  <si>
    <t>DESCRIPTION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</si>
  <si>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</si>
  <si>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</si>
  <si>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</si>
  <si>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</si>
  <si>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</si>
  <si>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</si>
  <si>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</si>
  <si>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</si>
  <si>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</si>
  <si>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</si>
  <si>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</t>
  </si>
  <si>
    <t>Projected Revenue Generation</t>
  </si>
  <si>
    <t>Less: Direct Cost</t>
  </si>
  <si>
    <t>Gross Profit</t>
  </si>
  <si>
    <t>Operating and Maintenance Cost</t>
  </si>
  <si>
    <t>Net Earnings before Tax</t>
  </si>
  <si>
    <t>Less: Tax</t>
  </si>
  <si>
    <t>Less: Repayment Expense - Long term facility</t>
  </si>
  <si>
    <t>Net Earnings after Tax</t>
  </si>
  <si>
    <t>Discounted Factor</t>
  </si>
  <si>
    <t>Present Value</t>
  </si>
  <si>
    <t>Projected Total Income</t>
  </si>
  <si>
    <t>Total Investment</t>
  </si>
  <si>
    <t>Repayment Plan</t>
  </si>
  <si>
    <t>Inflation</t>
  </si>
  <si>
    <t>6pm- 11pm</t>
  </si>
  <si>
    <t>11pm - 6am</t>
  </si>
  <si>
    <t>Interest</t>
  </si>
  <si>
    <t>SUMMARY OF FINANCIALS $</t>
  </si>
  <si>
    <t>6pm - 9pm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</si>
</sst>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_);_(* \(#,##0\);_(* &quot;-&quot;?_);_(@_)"/>
    <numFmt numFmtId="168" formatCode="0.0%"/>
    <numFmt numFmtId="169" formatCode="_-* #,##0.000000_-;\-* #,##0.000000_-;_-* &quot;-&quot;??_-;_-@_-"/>
    <numFmt numFmtId="170" formatCode="_-* #,##0.00000_-;\-* #,##0.00000_-;_-* &quot;-&quot;??_-;_-@_-"/>
    <numFmt numFmtId="171" formatCode="0.00000"/>
    <numFmt numFmtId="172" formatCode="_(&quot;₦&quot;* #,##0.00_);_(&quot;₦&quot;* \(#,##0.00\);_(&quot;₦&quot;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7"/>
      <name val="Times New Roman"/>
      <family val="1"/>
    </font>
    <font>
      <b/>
      <sz val="7"/>
      <name val="Times New Roman"/>
      <family val="1"/>
    </font>
    <font>
      <b/>
      <u/>
      <sz val="7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u val="singleAccounting"/>
      <sz val="8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u/>
      <sz val="7"/>
      <name val="Times New Roman"/>
      <family val="1"/>
    </font>
    <font>
      <strike/>
      <sz val="7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7"/>
      <color rgb="FFFF0000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0"/>
      <color rgb="FFFFFFFF"/>
      <name val="Century Gothic"/>
      <family val="2"/>
    </font>
    <font>
      <sz val="11"/>
      <name val="Calibri"/>
      <family val="2"/>
    </font>
    <font>
      <b/>
      <sz val="10"/>
      <color rgb="FF333F4F"/>
      <name val="Century Gothic"/>
      <family val="2"/>
    </font>
    <font>
      <sz val="10"/>
      <color rgb="FF1E2328"/>
      <name val="Century Gothic"/>
      <family val="2"/>
    </font>
    <font>
      <sz val="10"/>
      <color rgb="FF333F4F"/>
      <name val="Century Gothic"/>
      <family val="2"/>
    </font>
    <font>
      <sz val="1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rgb="FFD8D8D8"/>
        <bgColor rgb="FFD8D8D8"/>
      </patternFill>
    </fill>
    <fill>
      <patternFill patternType="solid">
        <fgColor rgb="FFF7F7F7"/>
        <bgColor rgb="FFF7F7F7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2">
    <xf numFmtId="0" fontId="0" fillId="0" borderId="0" xfId="0"/>
    <xf numFmtId="0" fontId="2" fillId="0" borderId="0" xfId="0" applyFont="1"/>
    <xf numFmtId="165" fontId="5" fillId="3" borderId="14" xfId="1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/>
    </xf>
    <xf numFmtId="165" fontId="4" fillId="3" borderId="21" xfId="1" applyNumberFormat="1" applyFont="1" applyFill="1" applyBorder="1"/>
    <xf numFmtId="165" fontId="4" fillId="3" borderId="25" xfId="1" applyNumberFormat="1" applyFont="1" applyFill="1" applyBorder="1"/>
    <xf numFmtId="165" fontId="4" fillId="3" borderId="15" xfId="1" applyNumberFormat="1" applyFont="1" applyFill="1" applyBorder="1"/>
    <xf numFmtId="165" fontId="4" fillId="3" borderId="31" xfId="1" applyNumberFormat="1" applyFont="1" applyFill="1" applyBorder="1"/>
    <xf numFmtId="165" fontId="4" fillId="3" borderId="34" xfId="1" applyNumberFormat="1" applyFont="1" applyFill="1" applyBorder="1"/>
    <xf numFmtId="165" fontId="5" fillId="3" borderId="15" xfId="1" applyNumberFormat="1" applyFont="1" applyFill="1" applyBorder="1"/>
    <xf numFmtId="167" fontId="4" fillId="3" borderId="19" xfId="1" applyNumberFormat="1" applyFont="1" applyFill="1" applyBorder="1"/>
    <xf numFmtId="167" fontId="4" fillId="3" borderId="10" xfId="1" applyNumberFormat="1" applyFont="1" applyFill="1" applyBorder="1"/>
    <xf numFmtId="167" fontId="5" fillId="3" borderId="15" xfId="1" applyNumberFormat="1" applyFont="1" applyFill="1" applyBorder="1"/>
    <xf numFmtId="167" fontId="5" fillId="0" borderId="5" xfId="1" applyNumberFormat="1" applyFont="1" applyFill="1" applyBorder="1"/>
    <xf numFmtId="167" fontId="5" fillId="0" borderId="17" xfId="1" applyNumberFormat="1" applyFont="1" applyFill="1" applyBorder="1"/>
    <xf numFmtId="167" fontId="5" fillId="0" borderId="19" xfId="1" applyNumberFormat="1" applyFont="1" applyFill="1" applyBorder="1"/>
    <xf numFmtId="167" fontId="5" fillId="0" borderId="21" xfId="1" applyNumberFormat="1" applyFont="1" applyFill="1" applyBorder="1"/>
    <xf numFmtId="164" fontId="4" fillId="3" borderId="23" xfId="1" applyNumberFormat="1" applyFont="1" applyFill="1" applyBorder="1"/>
    <xf numFmtId="167" fontId="4" fillId="0" borderId="26" xfId="1" applyNumberFormat="1" applyFont="1" applyFill="1" applyBorder="1"/>
    <xf numFmtId="0" fontId="7" fillId="0" borderId="0" xfId="0" applyFont="1"/>
    <xf numFmtId="0" fontId="7" fillId="0" borderId="1" xfId="0" applyFont="1" applyBorder="1"/>
    <xf numFmtId="164" fontId="7" fillId="0" borderId="1" xfId="1" applyNumberFormat="1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164" fontId="7" fillId="0" borderId="0" xfId="0" applyNumberFormat="1" applyFont="1"/>
    <xf numFmtId="164" fontId="7" fillId="0" borderId="0" xfId="1" applyNumberFormat="1" applyFont="1"/>
    <xf numFmtId="0" fontId="8" fillId="0" borderId="0" xfId="0" applyFont="1"/>
    <xf numFmtId="164" fontId="7" fillId="0" borderId="36" xfId="1" applyNumberFormat="1" applyFont="1" applyBorder="1"/>
    <xf numFmtId="0" fontId="9" fillId="0" borderId="0" xfId="0" applyFont="1"/>
    <xf numFmtId="0" fontId="9" fillId="0" borderId="1" xfId="0" applyFont="1" applyBorder="1"/>
    <xf numFmtId="164" fontId="9" fillId="0" borderId="1" xfId="1" applyNumberFormat="1" applyFont="1" applyBorder="1"/>
    <xf numFmtId="43" fontId="9" fillId="0" borderId="1" xfId="1" applyFont="1" applyBorder="1"/>
    <xf numFmtId="43" fontId="9" fillId="0" borderId="0" xfId="1" applyFont="1"/>
    <xf numFmtId="164" fontId="9" fillId="0" borderId="0" xfId="1" applyNumberFormat="1" applyFont="1"/>
    <xf numFmtId="164" fontId="9" fillId="0" borderId="0" xfId="0" applyNumberFormat="1" applyFont="1"/>
    <xf numFmtId="164" fontId="9" fillId="0" borderId="37" xfId="1" applyNumberFormat="1" applyFont="1" applyBorder="1"/>
    <xf numFmtId="164" fontId="9" fillId="0" borderId="42" xfId="1" applyNumberFormat="1" applyFont="1" applyBorder="1"/>
    <xf numFmtId="164" fontId="9" fillId="0" borderId="43" xfId="1" applyNumberFormat="1" applyFont="1" applyBorder="1"/>
    <xf numFmtId="43" fontId="9" fillId="0" borderId="43" xfId="1" applyFont="1" applyBorder="1"/>
    <xf numFmtId="43" fontId="9" fillId="0" borderId="45" xfId="1" applyFont="1" applyBorder="1"/>
    <xf numFmtId="164" fontId="9" fillId="0" borderId="45" xfId="0" applyNumberFormat="1" applyFont="1" applyBorder="1"/>
    <xf numFmtId="164" fontId="9" fillId="0" borderId="46" xfId="0" applyNumberFormat="1" applyFont="1" applyBorder="1"/>
    <xf numFmtId="0" fontId="9" fillId="3" borderId="42" xfId="0" applyFont="1" applyFill="1" applyBorder="1"/>
    <xf numFmtId="0" fontId="9" fillId="3" borderId="1" xfId="0" applyFont="1" applyFill="1" applyBorder="1"/>
    <xf numFmtId="164" fontId="9" fillId="3" borderId="42" xfId="1" applyNumberFormat="1" applyFont="1" applyFill="1" applyBorder="1"/>
    <xf numFmtId="164" fontId="9" fillId="3" borderId="1" xfId="1" applyNumberFormat="1" applyFont="1" applyFill="1" applyBorder="1"/>
    <xf numFmtId="164" fontId="9" fillId="3" borderId="43" xfId="1" applyNumberFormat="1" applyFont="1" applyFill="1" applyBorder="1"/>
    <xf numFmtId="43" fontId="9" fillId="3" borderId="1" xfId="1" applyFont="1" applyFill="1" applyBorder="1"/>
    <xf numFmtId="43" fontId="9" fillId="3" borderId="43" xfId="1" applyFont="1" applyFill="1" applyBorder="1"/>
    <xf numFmtId="164" fontId="9" fillId="3" borderId="44" xfId="0" applyNumberFormat="1" applyFont="1" applyFill="1" applyBorder="1"/>
    <xf numFmtId="43" fontId="9" fillId="3" borderId="45" xfId="1" applyFont="1" applyFill="1" applyBorder="1"/>
    <xf numFmtId="164" fontId="9" fillId="3" borderId="45" xfId="0" applyNumberFormat="1" applyFont="1" applyFill="1" applyBorder="1"/>
    <xf numFmtId="164" fontId="9" fillId="3" borderId="46" xfId="0" applyNumberFormat="1" applyFont="1" applyFill="1" applyBorder="1"/>
    <xf numFmtId="164" fontId="9" fillId="0" borderId="44" xfId="1" applyNumberFormat="1" applyFont="1" applyBorder="1"/>
    <xf numFmtId="164" fontId="9" fillId="3" borderId="44" xfId="1" applyNumberFormat="1" applyFont="1" applyFill="1" applyBorder="1"/>
    <xf numFmtId="164" fontId="9" fillId="0" borderId="47" xfId="1" applyNumberFormat="1" applyFont="1" applyBorder="1"/>
    <xf numFmtId="164" fontId="9" fillId="3" borderId="47" xfId="1" applyNumberFormat="1" applyFont="1" applyFill="1" applyBorder="1"/>
    <xf numFmtId="164" fontId="9" fillId="0" borderId="52" xfId="1" applyNumberFormat="1" applyFont="1" applyBorder="1"/>
    <xf numFmtId="0" fontId="9" fillId="0" borderId="53" xfId="0" applyFont="1" applyBorder="1"/>
    <xf numFmtId="0" fontId="9" fillId="0" borderId="54" xfId="0" applyFont="1" applyBorder="1"/>
    <xf numFmtId="164" fontId="9" fillId="3" borderId="52" xfId="1" applyNumberFormat="1" applyFont="1" applyFill="1" applyBorder="1"/>
    <xf numFmtId="0" fontId="9" fillId="3" borderId="53" xfId="0" applyFont="1" applyFill="1" applyBorder="1"/>
    <xf numFmtId="0" fontId="9" fillId="3" borderId="54" xfId="0" applyFont="1" applyFill="1" applyBorder="1"/>
    <xf numFmtId="164" fontId="9" fillId="0" borderId="48" xfId="1" applyNumberFormat="1" applyFont="1" applyBorder="1"/>
    <xf numFmtId="164" fontId="9" fillId="3" borderId="48" xfId="1" applyNumberFormat="1" applyFont="1" applyFill="1" applyBorder="1"/>
    <xf numFmtId="43" fontId="9" fillId="0" borderId="3" xfId="1" applyFont="1" applyBorder="1"/>
    <xf numFmtId="164" fontId="9" fillId="0" borderId="3" xfId="0" applyNumberFormat="1" applyFont="1" applyBorder="1"/>
    <xf numFmtId="164" fontId="9" fillId="0" borderId="48" xfId="0" applyNumberFormat="1" applyFont="1" applyBorder="1"/>
    <xf numFmtId="43" fontId="9" fillId="3" borderId="3" xfId="1" applyFont="1" applyFill="1" applyBorder="1"/>
    <xf numFmtId="164" fontId="9" fillId="3" borderId="3" xfId="0" applyNumberFormat="1" applyFont="1" applyFill="1" applyBorder="1"/>
    <xf numFmtId="164" fontId="9" fillId="3" borderId="48" xfId="0" applyNumberFormat="1" applyFont="1" applyFill="1" applyBorder="1"/>
    <xf numFmtId="0" fontId="9" fillId="0" borderId="45" xfId="0" applyFont="1" applyBorder="1"/>
    <xf numFmtId="43" fontId="9" fillId="0" borderId="46" xfId="1" applyFont="1" applyBorder="1"/>
    <xf numFmtId="0" fontId="9" fillId="3" borderId="45" xfId="0" applyFont="1" applyFill="1" applyBorder="1"/>
    <xf numFmtId="43" fontId="9" fillId="3" borderId="46" xfId="1" applyFont="1" applyFill="1" applyBorder="1"/>
    <xf numFmtId="0" fontId="10" fillId="0" borderId="9" xfId="0" applyFont="1" applyBorder="1"/>
    <xf numFmtId="0" fontId="9" fillId="0" borderId="9" xfId="0" applyFont="1" applyBorder="1"/>
    <xf numFmtId="0" fontId="9" fillId="0" borderId="29" xfId="0" applyFont="1" applyBorder="1"/>
    <xf numFmtId="164" fontId="9" fillId="3" borderId="47" xfId="0" applyNumberFormat="1" applyFont="1" applyFill="1" applyBorder="1"/>
    <xf numFmtId="0" fontId="10" fillId="0" borderId="29" xfId="0" applyFont="1" applyBorder="1"/>
    <xf numFmtId="0" fontId="9" fillId="3" borderId="44" xfId="0" applyFont="1" applyFill="1" applyBorder="1"/>
    <xf numFmtId="164" fontId="9" fillId="3" borderId="3" xfId="1" applyNumberFormat="1" applyFont="1" applyFill="1" applyBorder="1"/>
    <xf numFmtId="0" fontId="9" fillId="3" borderId="52" xfId="0" applyFont="1" applyFill="1" applyBorder="1"/>
    <xf numFmtId="0" fontId="9" fillId="0" borderId="6" xfId="0" applyFont="1" applyBorder="1"/>
    <xf numFmtId="164" fontId="9" fillId="0" borderId="3" xfId="1" applyNumberFormat="1" applyFont="1" applyBorder="1"/>
    <xf numFmtId="0" fontId="11" fillId="0" borderId="0" xfId="0" applyFont="1"/>
    <xf numFmtId="164" fontId="9" fillId="0" borderId="45" xfId="1" applyNumberFormat="1" applyFont="1" applyBorder="1"/>
    <xf numFmtId="164" fontId="9" fillId="0" borderId="46" xfId="1" applyNumberFormat="1" applyFont="1" applyBorder="1"/>
    <xf numFmtId="164" fontId="9" fillId="0" borderId="53" xfId="1" applyNumberFormat="1" applyFont="1" applyBorder="1"/>
    <xf numFmtId="164" fontId="9" fillId="0" borderId="54" xfId="1" applyNumberFormat="1" applyFont="1" applyBorder="1"/>
    <xf numFmtId="164" fontId="9" fillId="0" borderId="34" xfId="1" applyNumberFormat="1" applyFont="1" applyBorder="1"/>
    <xf numFmtId="164" fontId="9" fillId="0" borderId="28" xfId="1" applyNumberFormat="1" applyFont="1" applyBorder="1"/>
    <xf numFmtId="164" fontId="9" fillId="0" borderId="12" xfId="1" applyNumberFormat="1" applyFont="1" applyBorder="1"/>
    <xf numFmtId="0" fontId="11" fillId="0" borderId="53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164" fontId="9" fillId="0" borderId="41" xfId="0" applyNumberFormat="1" applyFont="1" applyBorder="1"/>
    <xf numFmtId="164" fontId="9" fillId="0" borderId="58" xfId="1" applyNumberFormat="1" applyFont="1" applyBorder="1"/>
    <xf numFmtId="164" fontId="9" fillId="0" borderId="57" xfId="1" applyNumberFormat="1" applyFont="1" applyBorder="1"/>
    <xf numFmtId="0" fontId="9" fillId="0" borderId="19" xfId="0" applyFont="1" applyBorder="1"/>
    <xf numFmtId="0" fontId="9" fillId="0" borderId="32" xfId="0" applyFont="1" applyBorder="1"/>
    <xf numFmtId="164" fontId="9" fillId="0" borderId="32" xfId="1" applyNumberFormat="1" applyFont="1" applyBorder="1"/>
    <xf numFmtId="164" fontId="9" fillId="0" borderId="26" xfId="1" applyNumberFormat="1" applyFont="1" applyBorder="1"/>
    <xf numFmtId="164" fontId="11" fillId="0" borderId="15" xfId="1" applyNumberFormat="1" applyFont="1" applyBorder="1" applyAlignment="1">
      <alignment horizontal="center"/>
    </xf>
    <xf numFmtId="164" fontId="9" fillId="0" borderId="25" xfId="1" applyNumberFormat="1" applyFont="1" applyBorder="1"/>
    <xf numFmtId="0" fontId="11" fillId="0" borderId="15" xfId="0" applyFont="1" applyBorder="1" applyAlignment="1">
      <alignment horizontal="center"/>
    </xf>
    <xf numFmtId="165" fontId="5" fillId="0" borderId="0" xfId="1" applyNumberFormat="1" applyFont="1" applyFill="1" applyBorder="1" applyAlignment="1"/>
    <xf numFmtId="165" fontId="4" fillId="0" borderId="60" xfId="1" applyNumberFormat="1" applyFont="1" applyFill="1" applyBorder="1"/>
    <xf numFmtId="165" fontId="4" fillId="0" borderId="59" xfId="1" applyNumberFormat="1" applyFont="1" applyFill="1" applyBorder="1"/>
    <xf numFmtId="165" fontId="4" fillId="0" borderId="19" xfId="1" applyNumberFormat="1" applyFont="1" applyFill="1" applyBorder="1" applyProtection="1">
      <protection locked="0"/>
    </xf>
    <xf numFmtId="165" fontId="4" fillId="0" borderId="21" xfId="1" applyNumberFormat="1" applyFont="1" applyFill="1" applyBorder="1" applyProtection="1">
      <protection locked="0"/>
    </xf>
    <xf numFmtId="165" fontId="4" fillId="0" borderId="23" xfId="1" applyNumberFormat="1" applyFont="1" applyFill="1" applyBorder="1" applyProtection="1">
      <protection locked="0"/>
    </xf>
    <xf numFmtId="165" fontId="4" fillId="0" borderId="25" xfId="1" applyNumberFormat="1" applyFont="1" applyFill="1" applyBorder="1" applyProtection="1">
      <protection locked="0"/>
    </xf>
    <xf numFmtId="165" fontId="4" fillId="0" borderId="23" xfId="1" applyNumberFormat="1" applyFont="1" applyFill="1" applyBorder="1"/>
    <xf numFmtId="165" fontId="4" fillId="0" borderId="25" xfId="1" applyNumberFormat="1" applyFont="1" applyFill="1" applyBorder="1"/>
    <xf numFmtId="165" fontId="4" fillId="0" borderId="19" xfId="1" applyNumberFormat="1" applyFont="1" applyFill="1" applyBorder="1"/>
    <xf numFmtId="165" fontId="5" fillId="0" borderId="19" xfId="1" applyNumberFormat="1" applyFont="1" applyFill="1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7" fillId="0" borderId="3" xfId="1" applyNumberFormat="1" applyFont="1" applyBorder="1"/>
    <xf numFmtId="0" fontId="8" fillId="0" borderId="53" xfId="0" applyFont="1" applyBorder="1" applyAlignment="1">
      <alignment horizontal="center"/>
    </xf>
    <xf numFmtId="164" fontId="8" fillId="0" borderId="50" xfId="1" applyNumberFormat="1" applyFont="1" applyBorder="1" applyAlignment="1">
      <alignment horizontal="center"/>
    </xf>
    <xf numFmtId="0" fontId="8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/>
    </xf>
    <xf numFmtId="0" fontId="8" fillId="0" borderId="5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/>
    </xf>
    <xf numFmtId="164" fontId="7" fillId="0" borderId="41" xfId="1" applyNumberFormat="1" applyFont="1" applyBorder="1"/>
    <xf numFmtId="164" fontId="7" fillId="0" borderId="37" xfId="1" applyNumberFormat="1" applyFont="1" applyBorder="1"/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/>
    <xf numFmtId="0" fontId="7" fillId="0" borderId="23" xfId="0" applyFont="1" applyBorder="1"/>
    <xf numFmtId="0" fontId="7" fillId="0" borderId="32" xfId="0" applyFont="1" applyBorder="1"/>
    <xf numFmtId="164" fontId="8" fillId="0" borderId="56" xfId="1" applyNumberFormat="1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61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/>
    </xf>
    <xf numFmtId="164" fontId="7" fillId="0" borderId="40" xfId="1" applyNumberFormat="1" applyFont="1" applyBorder="1"/>
    <xf numFmtId="164" fontId="7" fillId="0" borderId="23" xfId="1" applyNumberFormat="1" applyFont="1" applyBorder="1"/>
    <xf numFmtId="164" fontId="7" fillId="0" borderId="32" xfId="1" applyNumberFormat="1" applyFont="1" applyBorder="1"/>
    <xf numFmtId="164" fontId="8" fillId="0" borderId="61" xfId="1" applyNumberFormat="1" applyFont="1" applyBorder="1" applyAlignment="1">
      <alignment horizontal="center"/>
    </xf>
    <xf numFmtId="0" fontId="8" fillId="0" borderId="62" xfId="0" applyFont="1" applyBorder="1" applyAlignment="1">
      <alignment horizontal="center"/>
    </xf>
    <xf numFmtId="164" fontId="8" fillId="0" borderId="15" xfId="1" applyNumberFormat="1" applyFont="1" applyBorder="1" applyAlignment="1">
      <alignment horizontal="center"/>
    </xf>
    <xf numFmtId="0" fontId="7" fillId="0" borderId="60" xfId="0" applyFont="1" applyBorder="1"/>
    <xf numFmtId="164" fontId="7" fillId="0" borderId="39" xfId="1" applyNumberFormat="1" applyFont="1" applyBorder="1"/>
    <xf numFmtId="164" fontId="7" fillId="0" borderId="2" xfId="1" applyNumberFormat="1" applyFont="1" applyBorder="1"/>
    <xf numFmtId="164" fontId="7" fillId="0" borderId="38" xfId="1" applyNumberFormat="1" applyFont="1" applyBorder="1"/>
    <xf numFmtId="164" fontId="7" fillId="0" borderId="60" xfId="1" applyNumberFormat="1" applyFont="1" applyBorder="1"/>
    <xf numFmtId="0" fontId="7" fillId="0" borderId="15" xfId="0" applyFont="1" applyBorder="1"/>
    <xf numFmtId="164" fontId="7" fillId="0" borderId="56" xfId="1" applyNumberFormat="1" applyFont="1" applyBorder="1"/>
    <xf numFmtId="164" fontId="7" fillId="0" borderId="50" xfId="1" applyNumberFormat="1" applyFont="1" applyBorder="1"/>
    <xf numFmtId="164" fontId="7" fillId="0" borderId="61" xfId="1" applyNumberFormat="1" applyFont="1" applyBorder="1"/>
    <xf numFmtId="164" fontId="7" fillId="0" borderId="15" xfId="1" applyNumberFormat="1" applyFont="1" applyBorder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2" fillId="0" borderId="0" xfId="0" applyFont="1"/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left" vertical="center"/>
    </xf>
    <xf numFmtId="164" fontId="8" fillId="0" borderId="50" xfId="0" applyNumberFormat="1" applyFont="1" applyBorder="1" applyAlignment="1">
      <alignment horizontal="center" vertical="center"/>
    </xf>
    <xf numFmtId="164" fontId="8" fillId="0" borderId="50" xfId="1" applyNumberFormat="1" applyFont="1" applyBorder="1" applyAlignment="1">
      <alignment horizontal="center" vertical="center"/>
    </xf>
    <xf numFmtId="164" fontId="8" fillId="0" borderId="61" xfId="1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0" fontId="14" fillId="0" borderId="0" xfId="0" applyFont="1"/>
    <xf numFmtId="164" fontId="9" fillId="0" borderId="63" xfId="0" applyNumberFormat="1" applyFont="1" applyBorder="1"/>
    <xf numFmtId="164" fontId="9" fillId="0" borderId="59" xfId="1" applyNumberFormat="1" applyFont="1" applyBorder="1"/>
    <xf numFmtId="164" fontId="9" fillId="0" borderId="49" xfId="1" applyNumberFormat="1" applyFont="1" applyBorder="1"/>
    <xf numFmtId="164" fontId="9" fillId="0" borderId="56" xfId="1" applyNumberFormat="1" applyFont="1" applyBorder="1"/>
    <xf numFmtId="164" fontId="9" fillId="0" borderId="8" xfId="1" applyNumberFormat="1" applyFont="1" applyBorder="1"/>
    <xf numFmtId="164" fontId="11" fillId="0" borderId="1" xfId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1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9" fillId="0" borderId="32" xfId="0" applyFont="1" applyBorder="1" applyAlignment="1">
      <alignment horizontal="left"/>
    </xf>
    <xf numFmtId="164" fontId="9" fillId="0" borderId="32" xfId="1" applyNumberFormat="1" applyFont="1" applyBorder="1" applyAlignment="1">
      <alignment horizontal="left"/>
    </xf>
    <xf numFmtId="164" fontId="9" fillId="0" borderId="26" xfId="1" applyNumberFormat="1" applyFont="1" applyBorder="1" applyAlignment="1">
      <alignment horizontal="left"/>
    </xf>
    <xf numFmtId="164" fontId="15" fillId="0" borderId="1" xfId="1" applyNumberFormat="1" applyFont="1" applyFill="1" applyBorder="1" applyAlignment="1">
      <alignment horizontal="left"/>
    </xf>
    <xf numFmtId="164" fontId="11" fillId="0" borderId="1" xfId="1" applyNumberFormat="1" applyFont="1" applyFill="1" applyBorder="1" applyAlignment="1">
      <alignment horizontal="left"/>
    </xf>
    <xf numFmtId="164" fontId="9" fillId="0" borderId="1" xfId="1" applyNumberFormat="1" applyFont="1" applyFill="1" applyBorder="1" applyAlignment="1">
      <alignment horizontal="left"/>
    </xf>
    <xf numFmtId="0" fontId="8" fillId="0" borderId="56" xfId="0" applyFont="1" applyBorder="1" applyAlignment="1">
      <alignment horizontal="left" vertic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4" fillId="0" borderId="0" xfId="0" applyFont="1"/>
    <xf numFmtId="0" fontId="5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9" xfId="0" applyFont="1" applyBorder="1" applyAlignment="1">
      <alignment horizontal="left" vertical="center"/>
    </xf>
    <xf numFmtId="166" fontId="4" fillId="0" borderId="13" xfId="0" applyNumberFormat="1" applyFont="1" applyBorder="1" applyAlignment="1">
      <alignment vertical="center"/>
    </xf>
    <xf numFmtId="165" fontId="5" fillId="0" borderId="14" xfId="1" applyNumberFormat="1" applyFont="1" applyFill="1" applyBorder="1" applyAlignment="1">
      <alignment horizontal="center" vertical="center"/>
    </xf>
    <xf numFmtId="165" fontId="5" fillId="0" borderId="15" xfId="1" applyNumberFormat="1" applyFont="1" applyFill="1" applyBorder="1" applyAlignment="1">
      <alignment horizontal="center" vertical="center"/>
    </xf>
    <xf numFmtId="0" fontId="5" fillId="0" borderId="4" xfId="0" applyFont="1" applyBorder="1"/>
    <xf numFmtId="43" fontId="4" fillId="0" borderId="5" xfId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0" fontId="5" fillId="0" borderId="18" xfId="0" applyFont="1" applyBorder="1"/>
    <xf numFmtId="165" fontId="4" fillId="0" borderId="21" xfId="1" applyNumberFormat="1" applyFont="1" applyFill="1" applyBorder="1"/>
    <xf numFmtId="0" fontId="5" fillId="0" borderId="30" xfId="0" applyFont="1" applyBorder="1"/>
    <xf numFmtId="43" fontId="4" fillId="0" borderId="22" xfId="1" applyFont="1" applyFill="1" applyBorder="1"/>
    <xf numFmtId="0" fontId="4" fillId="0" borderId="13" xfId="0" applyFont="1" applyBorder="1"/>
    <xf numFmtId="0" fontId="5" fillId="0" borderId="6" xfId="0" applyFont="1" applyBorder="1"/>
    <xf numFmtId="165" fontId="4" fillId="0" borderId="15" xfId="1" applyNumberFormat="1" applyFont="1" applyFill="1" applyBorder="1"/>
    <xf numFmtId="165" fontId="4" fillId="0" borderId="8" xfId="1" applyNumberFormat="1" applyFont="1" applyFill="1" applyBorder="1"/>
    <xf numFmtId="43" fontId="5" fillId="0" borderId="30" xfId="1" applyFont="1" applyFill="1" applyBorder="1"/>
    <xf numFmtId="43" fontId="4" fillId="0" borderId="30" xfId="1" applyFont="1" applyFill="1" applyBorder="1"/>
    <xf numFmtId="43" fontId="5" fillId="0" borderId="6" xfId="1" applyFont="1" applyFill="1" applyBorder="1"/>
    <xf numFmtId="43" fontId="4" fillId="0" borderId="9" xfId="1" applyFont="1" applyFill="1" applyBorder="1"/>
    <xf numFmtId="165" fontId="4" fillId="0" borderId="10" xfId="1" applyNumberFormat="1" applyFont="1" applyFill="1" applyBorder="1"/>
    <xf numFmtId="165" fontId="4" fillId="0" borderId="31" xfId="1" applyNumberFormat="1" applyFont="1" applyFill="1" applyBorder="1"/>
    <xf numFmtId="0" fontId="5" fillId="0" borderId="22" xfId="0" applyFont="1" applyBorder="1" applyAlignment="1">
      <alignment vertical="center"/>
    </xf>
    <xf numFmtId="165" fontId="4" fillId="0" borderId="32" xfId="1" applyNumberFormat="1" applyFont="1" applyFill="1" applyBorder="1"/>
    <xf numFmtId="165" fontId="4" fillId="0" borderId="34" xfId="1" applyNumberFormat="1" applyFont="1" applyFill="1" applyBorder="1"/>
    <xf numFmtId="0" fontId="4" fillId="0" borderId="22" xfId="0" applyFont="1" applyBorder="1" applyAlignment="1">
      <alignment vertical="center"/>
    </xf>
    <xf numFmtId="165" fontId="5" fillId="0" borderId="15" xfId="1" applyNumberFormat="1" applyFont="1" applyFill="1" applyBorder="1"/>
    <xf numFmtId="167" fontId="5" fillId="0" borderId="15" xfId="1" applyNumberFormat="1" applyFont="1" applyFill="1" applyBorder="1"/>
    <xf numFmtId="0" fontId="4" fillId="0" borderId="18" xfId="0" applyFont="1" applyBorder="1"/>
    <xf numFmtId="167" fontId="4" fillId="0" borderId="19" xfId="1" applyNumberFormat="1" applyFont="1" applyFill="1" applyBorder="1"/>
    <xf numFmtId="0" fontId="4" fillId="0" borderId="9" xfId="0" applyFont="1" applyBorder="1"/>
    <xf numFmtId="167" fontId="4" fillId="0" borderId="10" xfId="1" applyNumberFormat="1" applyFont="1" applyFill="1" applyBorder="1"/>
    <xf numFmtId="167" fontId="5" fillId="0" borderId="8" xfId="1" applyNumberFormat="1" applyFont="1" applyFill="1" applyBorder="1"/>
    <xf numFmtId="0" fontId="6" fillId="0" borderId="18" xfId="0" applyFont="1" applyBorder="1"/>
    <xf numFmtId="0" fontId="4" fillId="0" borderId="30" xfId="0" applyFont="1" applyBorder="1"/>
    <xf numFmtId="164" fontId="4" fillId="0" borderId="23" xfId="1" applyNumberFormat="1" applyFont="1" applyFill="1" applyBorder="1"/>
    <xf numFmtId="164" fontId="4" fillId="0" borderId="25" xfId="1" applyNumberFormat="1" applyFont="1" applyFill="1" applyBorder="1"/>
    <xf numFmtId="167" fontId="4" fillId="0" borderId="28" xfId="1" applyNumberFormat="1" applyFont="1" applyFill="1" applyBorder="1"/>
    <xf numFmtId="9" fontId="4" fillId="0" borderId="0" xfId="2" applyFont="1" applyFill="1"/>
    <xf numFmtId="0" fontId="4" fillId="0" borderId="0" xfId="0" applyFont="1" applyAlignment="1">
      <alignment horizontal="center"/>
    </xf>
    <xf numFmtId="165" fontId="4" fillId="0" borderId="0" xfId="1" applyNumberFormat="1" applyFont="1" applyFill="1"/>
    <xf numFmtId="165" fontId="4" fillId="0" borderId="6" xfId="1" applyNumberFormat="1" applyFont="1" applyFill="1" applyBorder="1"/>
    <xf numFmtId="165" fontId="5" fillId="0" borderId="6" xfId="1" applyNumberFormat="1" applyFont="1" applyFill="1" applyBorder="1"/>
    <xf numFmtId="167" fontId="5" fillId="0" borderId="6" xfId="1" applyNumberFormat="1" applyFont="1" applyFill="1" applyBorder="1"/>
    <xf numFmtId="164" fontId="4" fillId="0" borderId="30" xfId="1" applyNumberFormat="1" applyFont="1" applyFill="1" applyBorder="1"/>
    <xf numFmtId="167" fontId="5" fillId="0" borderId="4" xfId="1" applyNumberFormat="1" applyFont="1" applyFill="1" applyBorder="1"/>
    <xf numFmtId="167" fontId="5" fillId="0" borderId="18" xfId="1" applyNumberFormat="1" applyFont="1" applyFill="1" applyBorder="1"/>
    <xf numFmtId="167" fontId="4" fillId="0" borderId="13" xfId="1" applyNumberFormat="1" applyFont="1" applyFill="1" applyBorder="1"/>
    <xf numFmtId="0" fontId="5" fillId="3" borderId="2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5" fillId="3" borderId="29" xfId="1" applyNumberFormat="1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/>
    </xf>
    <xf numFmtId="43" fontId="4" fillId="3" borderId="5" xfId="1" applyFont="1" applyFill="1" applyBorder="1" applyAlignment="1">
      <alignment horizontal="center"/>
    </xf>
    <xf numFmtId="165" fontId="4" fillId="3" borderId="18" xfId="1" applyNumberFormat="1" applyFont="1" applyFill="1" applyBorder="1"/>
    <xf numFmtId="165" fontId="4" fillId="3" borderId="19" xfId="1" applyNumberFormat="1" applyFont="1" applyFill="1" applyBorder="1"/>
    <xf numFmtId="165" fontId="4" fillId="3" borderId="30" xfId="1" applyNumberFormat="1" applyFont="1" applyFill="1" applyBorder="1"/>
    <xf numFmtId="165" fontId="4" fillId="3" borderId="23" xfId="1" applyNumberFormat="1" applyFont="1" applyFill="1" applyBorder="1"/>
    <xf numFmtId="165" fontId="4" fillId="3" borderId="6" xfId="1" applyNumberFormat="1" applyFont="1" applyFill="1" applyBorder="1"/>
    <xf numFmtId="165" fontId="4" fillId="3" borderId="8" xfId="1" applyNumberFormat="1" applyFont="1" applyFill="1" applyBorder="1"/>
    <xf numFmtId="165" fontId="4" fillId="3" borderId="9" xfId="1" applyNumberFormat="1" applyFont="1" applyFill="1" applyBorder="1"/>
    <xf numFmtId="165" fontId="4" fillId="3" borderId="10" xfId="1" applyNumberFormat="1" applyFont="1" applyFill="1" applyBorder="1"/>
    <xf numFmtId="165" fontId="4" fillId="3" borderId="22" xfId="1" applyNumberFormat="1" applyFont="1" applyFill="1" applyBorder="1"/>
    <xf numFmtId="165" fontId="4" fillId="3" borderId="32" xfId="1" applyNumberFormat="1" applyFont="1" applyFill="1" applyBorder="1"/>
    <xf numFmtId="165" fontId="5" fillId="3" borderId="6" xfId="1" applyNumberFormat="1" applyFont="1" applyFill="1" applyBorder="1"/>
    <xf numFmtId="167" fontId="5" fillId="3" borderId="6" xfId="1" applyNumberFormat="1" applyFont="1" applyFill="1" applyBorder="1"/>
    <xf numFmtId="167" fontId="4" fillId="3" borderId="18" xfId="1" applyNumberFormat="1" applyFont="1" applyFill="1" applyBorder="1"/>
    <xf numFmtId="164" fontId="4" fillId="3" borderId="30" xfId="1" applyNumberFormat="1" applyFont="1" applyFill="1" applyBorder="1"/>
    <xf numFmtId="167" fontId="5" fillId="3" borderId="4" xfId="1" applyNumberFormat="1" applyFont="1" applyFill="1" applyBorder="1"/>
    <xf numFmtId="167" fontId="5" fillId="3" borderId="5" xfId="1" applyNumberFormat="1" applyFont="1" applyFill="1" applyBorder="1"/>
    <xf numFmtId="167" fontId="5" fillId="3" borderId="17" xfId="1" applyNumberFormat="1" applyFont="1" applyFill="1" applyBorder="1"/>
    <xf numFmtId="167" fontId="5" fillId="3" borderId="18" xfId="1" applyNumberFormat="1" applyFont="1" applyFill="1" applyBorder="1"/>
    <xf numFmtId="167" fontId="5" fillId="3" borderId="19" xfId="1" applyNumberFormat="1" applyFont="1" applyFill="1" applyBorder="1"/>
    <xf numFmtId="167" fontId="4" fillId="3" borderId="13" xfId="1" applyNumberFormat="1" applyFont="1" applyFill="1" applyBorder="1"/>
    <xf numFmtId="167" fontId="4" fillId="3" borderId="26" xfId="1" applyNumberFormat="1" applyFont="1" applyFill="1" applyBorder="1"/>
    <xf numFmtId="165" fontId="4" fillId="3" borderId="20" xfId="1" applyNumberFormat="1" applyFont="1" applyFill="1" applyBorder="1"/>
    <xf numFmtId="165" fontId="4" fillId="3" borderId="24" xfId="1" applyNumberFormat="1" applyFont="1" applyFill="1" applyBorder="1"/>
    <xf numFmtId="165" fontId="4" fillId="3" borderId="7" xfId="1" applyNumberFormat="1" applyFont="1" applyFill="1" applyBorder="1"/>
    <xf numFmtId="165" fontId="4" fillId="3" borderId="0" xfId="1" applyNumberFormat="1" applyFont="1" applyFill="1" applyBorder="1"/>
    <xf numFmtId="165" fontId="4" fillId="3" borderId="33" xfId="1" applyNumberFormat="1" applyFont="1" applyFill="1" applyBorder="1"/>
    <xf numFmtId="167" fontId="5" fillId="3" borderId="7" xfId="1" applyNumberFormat="1" applyFont="1" applyFill="1" applyBorder="1"/>
    <xf numFmtId="167" fontId="5" fillId="3" borderId="16" xfId="1" applyNumberFormat="1" applyFont="1" applyFill="1" applyBorder="1"/>
    <xf numFmtId="167" fontId="5" fillId="3" borderId="20" xfId="1" applyNumberFormat="1" applyFont="1" applyFill="1" applyBorder="1"/>
    <xf numFmtId="167" fontId="5" fillId="3" borderId="21" xfId="1" applyNumberFormat="1" applyFont="1" applyFill="1" applyBorder="1"/>
    <xf numFmtId="164" fontId="4" fillId="3" borderId="24" xfId="1" applyNumberFormat="1" applyFont="1" applyFill="1" applyBorder="1"/>
    <xf numFmtId="167" fontId="4" fillId="3" borderId="27" xfId="1" applyNumberFormat="1" applyFont="1" applyFill="1" applyBorder="1"/>
    <xf numFmtId="0" fontId="5" fillId="0" borderId="0" xfId="0" applyFont="1" applyAlignment="1">
      <alignment wrapText="1"/>
    </xf>
    <xf numFmtId="165" fontId="4" fillId="0" borderId="0" xfId="0" applyNumberFormat="1" applyFont="1"/>
    <xf numFmtId="1" fontId="5" fillId="0" borderId="15" xfId="0" applyNumberFormat="1" applyFont="1" applyBorder="1" applyAlignment="1">
      <alignment vertical="center" wrapText="1"/>
    </xf>
    <xf numFmtId="1" fontId="5" fillId="0" borderId="7" xfId="0" applyNumberFormat="1" applyFont="1" applyBorder="1" applyAlignment="1">
      <alignment vertical="center" wrapText="1"/>
    </xf>
    <xf numFmtId="165" fontId="5" fillId="0" borderId="7" xfId="1" applyNumberFormat="1" applyFont="1" applyFill="1" applyBorder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" fontId="5" fillId="0" borderId="19" xfId="0" applyNumberFormat="1" applyFont="1" applyBorder="1" applyAlignment="1">
      <alignment wrapText="1"/>
    </xf>
    <xf numFmtId="1" fontId="5" fillId="0" borderId="5" xfId="0" applyNumberFormat="1" applyFont="1" applyBorder="1" applyAlignment="1">
      <alignment wrapText="1"/>
    </xf>
    <xf numFmtId="165" fontId="5" fillId="0" borderId="4" xfId="1" applyNumberFormat="1" applyFont="1" applyFill="1" applyBorder="1" applyAlignment="1">
      <alignment horizontal="center" wrapText="1"/>
    </xf>
    <xf numFmtId="1" fontId="4" fillId="0" borderId="0" xfId="0" applyNumberFormat="1" applyFont="1"/>
    <xf numFmtId="0" fontId="5" fillId="0" borderId="2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165" fontId="5" fillId="0" borderId="14" xfId="1" applyNumberFormat="1" applyFont="1" applyFill="1" applyBorder="1" applyAlignment="1">
      <alignment horizontal="center" wrapText="1"/>
    </xf>
    <xf numFmtId="165" fontId="5" fillId="0" borderId="14" xfId="1" applyNumberFormat="1" applyFont="1" applyFill="1" applyBorder="1" applyAlignment="1">
      <alignment horizontal="center"/>
    </xf>
    <xf numFmtId="0" fontId="5" fillId="0" borderId="23" xfId="0" applyFont="1" applyBorder="1" applyAlignment="1">
      <alignment wrapText="1"/>
    </xf>
    <xf numFmtId="165" fontId="5" fillId="0" borderId="23" xfId="1" applyNumberFormat="1" applyFont="1" applyFill="1" applyBorder="1"/>
    <xf numFmtId="0" fontId="5" fillId="0" borderId="32" xfId="0" applyFont="1" applyBorder="1" applyAlignment="1">
      <alignment wrapText="1"/>
    </xf>
    <xf numFmtId="165" fontId="5" fillId="0" borderId="32" xfId="1" applyNumberFormat="1" applyFont="1" applyFill="1" applyBorder="1"/>
    <xf numFmtId="0" fontId="4" fillId="0" borderId="3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4" fillId="0" borderId="60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8" fontId="4" fillId="0" borderId="23" xfId="2" applyNumberFormat="1" applyFont="1" applyFill="1" applyBorder="1"/>
    <xf numFmtId="0" fontId="5" fillId="0" borderId="15" xfId="0" applyFont="1" applyBorder="1" applyAlignment="1">
      <alignment wrapText="1"/>
    </xf>
    <xf numFmtId="0" fontId="5" fillId="0" borderId="60" xfId="0" applyFont="1" applyBorder="1" applyAlignment="1">
      <alignment wrapText="1"/>
    </xf>
    <xf numFmtId="165" fontId="5" fillId="0" borderId="60" xfId="1" applyNumberFormat="1" applyFont="1" applyFill="1" applyBorder="1"/>
    <xf numFmtId="0" fontId="4" fillId="0" borderId="19" xfId="0" applyFont="1" applyBorder="1" applyAlignment="1">
      <alignment wrapText="1"/>
    </xf>
    <xf numFmtId="0" fontId="4" fillId="0" borderId="10" xfId="0" applyFont="1" applyBorder="1" applyAlignment="1">
      <alignment horizontal="justify" vertical="top" wrapText="1"/>
    </xf>
    <xf numFmtId="165" fontId="5" fillId="0" borderId="8" xfId="1" applyNumberFormat="1" applyFont="1" applyFill="1" applyBorder="1"/>
    <xf numFmtId="0" fontId="6" fillId="0" borderId="23" xfId="0" applyFont="1" applyBorder="1" applyAlignment="1">
      <alignment wrapText="1"/>
    </xf>
    <xf numFmtId="165" fontId="6" fillId="0" borderId="23" xfId="1" applyNumberFormat="1" applyFont="1" applyFill="1" applyBorder="1"/>
    <xf numFmtId="9" fontId="4" fillId="0" borderId="23" xfId="2" applyFont="1" applyFill="1" applyBorder="1"/>
    <xf numFmtId="9" fontId="4" fillId="0" borderId="30" xfId="1" applyNumberFormat="1" applyFont="1" applyFill="1" applyBorder="1"/>
    <xf numFmtId="168" fontId="4" fillId="0" borderId="23" xfId="2" applyNumberFormat="1" applyFont="1" applyFill="1" applyBorder="1" applyAlignment="1">
      <alignment wrapText="1"/>
    </xf>
    <xf numFmtId="165" fontId="5" fillId="0" borderId="0" xfId="1" applyNumberFormat="1" applyFont="1" applyFill="1"/>
    <xf numFmtId="0" fontId="5" fillId="0" borderId="49" xfId="0" applyFont="1" applyBorder="1" applyAlignment="1">
      <alignment wrapText="1"/>
    </xf>
    <xf numFmtId="0" fontId="5" fillId="0" borderId="56" xfId="0" applyFont="1" applyBorder="1" applyAlignment="1">
      <alignment wrapText="1"/>
    </xf>
    <xf numFmtId="165" fontId="5" fillId="0" borderId="50" xfId="1" applyNumberFormat="1" applyFont="1" applyFill="1" applyBorder="1"/>
    <xf numFmtId="169" fontId="4" fillId="0" borderId="50" xfId="1" applyNumberFormat="1" applyFont="1" applyFill="1" applyBorder="1"/>
    <xf numFmtId="169" fontId="5" fillId="0" borderId="50" xfId="1" applyNumberFormat="1" applyFont="1" applyFill="1" applyBorder="1"/>
    <xf numFmtId="169" fontId="4" fillId="0" borderId="0" xfId="0" applyNumberFormat="1" applyFont="1"/>
    <xf numFmtId="0" fontId="5" fillId="0" borderId="47" xfId="0" applyFont="1" applyBorder="1" applyAlignment="1">
      <alignment wrapText="1"/>
    </xf>
    <xf numFmtId="0" fontId="5" fillId="0" borderId="41" xfId="0" applyFont="1" applyBorder="1" applyAlignment="1">
      <alignment wrapText="1"/>
    </xf>
    <xf numFmtId="165" fontId="5" fillId="0" borderId="3" xfId="1" applyNumberFormat="1" applyFont="1" applyFill="1" applyBorder="1"/>
    <xf numFmtId="165" fontId="4" fillId="0" borderId="3" xfId="1" applyNumberFormat="1" applyFont="1" applyFill="1" applyBorder="1"/>
    <xf numFmtId="0" fontId="4" fillId="0" borderId="3" xfId="0" applyFont="1" applyBorder="1"/>
    <xf numFmtId="0" fontId="5" fillId="0" borderId="42" xfId="0" applyFont="1" applyBorder="1" applyAlignment="1">
      <alignment wrapText="1"/>
    </xf>
    <xf numFmtId="0" fontId="5" fillId="0" borderId="37" xfId="0" applyFont="1" applyBorder="1" applyAlignment="1">
      <alignment wrapText="1"/>
    </xf>
    <xf numFmtId="165" fontId="5" fillId="0" borderId="1" xfId="1" applyNumberFormat="1" applyFont="1" applyFill="1" applyBorder="1"/>
    <xf numFmtId="165" fontId="4" fillId="0" borderId="1" xfId="1" applyNumberFormat="1" applyFont="1" applyFill="1" applyBorder="1"/>
    <xf numFmtId="0" fontId="5" fillId="0" borderId="44" xfId="0" applyFont="1" applyBorder="1" applyAlignment="1">
      <alignment wrapText="1"/>
    </xf>
    <xf numFmtId="0" fontId="5" fillId="0" borderId="58" xfId="0" applyFont="1" applyBorder="1" applyAlignment="1">
      <alignment wrapText="1"/>
    </xf>
    <xf numFmtId="165" fontId="5" fillId="0" borderId="45" xfId="1" applyNumberFormat="1" applyFont="1" applyFill="1" applyBorder="1"/>
    <xf numFmtId="165" fontId="4" fillId="0" borderId="45" xfId="1" applyNumberFormat="1" applyFont="1" applyFill="1" applyBorder="1"/>
    <xf numFmtId="0" fontId="5" fillId="0" borderId="52" xfId="0" applyFont="1" applyBorder="1" applyAlignment="1">
      <alignment wrapText="1"/>
    </xf>
    <xf numFmtId="0" fontId="5" fillId="0" borderId="57" xfId="0" applyFont="1" applyBorder="1" applyAlignment="1">
      <alignment wrapText="1"/>
    </xf>
    <xf numFmtId="165" fontId="5" fillId="0" borderId="53" xfId="1" applyNumberFormat="1" applyFont="1" applyFill="1" applyBorder="1"/>
    <xf numFmtId="170" fontId="4" fillId="0" borderId="53" xfId="1" applyNumberFormat="1" applyFont="1" applyFill="1" applyBorder="1"/>
    <xf numFmtId="169" fontId="4" fillId="0" borderId="53" xfId="1" applyNumberFormat="1" applyFont="1" applyFill="1" applyBorder="1"/>
    <xf numFmtId="0" fontId="4" fillId="0" borderId="0" xfId="0" applyFont="1" applyAlignment="1">
      <alignment wrapText="1"/>
    </xf>
    <xf numFmtId="166" fontId="4" fillId="0" borderId="0" xfId="0" applyNumberFormat="1" applyFont="1"/>
    <xf numFmtId="164" fontId="4" fillId="0" borderId="0" xfId="0" applyNumberFormat="1" applyFont="1"/>
    <xf numFmtId="43" fontId="4" fillId="0" borderId="0" xfId="1" applyFont="1" applyFill="1"/>
    <xf numFmtId="168" fontId="4" fillId="0" borderId="32" xfId="2" applyNumberFormat="1" applyFont="1" applyFill="1" applyBorder="1"/>
    <xf numFmtId="165" fontId="5" fillId="5" borderId="7" xfId="1" applyNumberFormat="1" applyFont="1" applyFill="1" applyBorder="1" applyAlignment="1">
      <alignment vertical="center" wrapText="1"/>
    </xf>
    <xf numFmtId="165" fontId="5" fillId="5" borderId="14" xfId="1" applyNumberFormat="1" applyFont="1" applyFill="1" applyBorder="1" applyAlignment="1">
      <alignment horizontal="center"/>
    </xf>
    <xf numFmtId="165" fontId="5" fillId="5" borderId="23" xfId="1" applyNumberFormat="1" applyFont="1" applyFill="1" applyBorder="1"/>
    <xf numFmtId="165" fontId="4" fillId="5" borderId="23" xfId="1" applyNumberFormat="1" applyFont="1" applyFill="1" applyBorder="1"/>
    <xf numFmtId="165" fontId="5" fillId="5" borderId="15" xfId="1" applyNumberFormat="1" applyFont="1" applyFill="1" applyBorder="1"/>
    <xf numFmtId="165" fontId="5" fillId="5" borderId="60" xfId="1" applyNumberFormat="1" applyFont="1" applyFill="1" applyBorder="1"/>
    <xf numFmtId="165" fontId="6" fillId="5" borderId="23" xfId="1" applyNumberFormat="1" applyFont="1" applyFill="1" applyBorder="1"/>
    <xf numFmtId="165" fontId="4" fillId="5" borderId="32" xfId="1" applyNumberFormat="1" applyFont="1" applyFill="1" applyBorder="1"/>
    <xf numFmtId="165" fontId="5" fillId="3" borderId="6" xfId="1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/>
    </xf>
    <xf numFmtId="167" fontId="4" fillId="3" borderId="9" xfId="1" applyNumberFormat="1" applyFont="1" applyFill="1" applyBorder="1"/>
    <xf numFmtId="165" fontId="4" fillId="0" borderId="5" xfId="1" applyNumberFormat="1" applyFont="1" applyFill="1" applyBorder="1"/>
    <xf numFmtId="165" fontId="4" fillId="3" borderId="5" xfId="1" applyNumberFormat="1" applyFont="1" applyFill="1" applyBorder="1"/>
    <xf numFmtId="165" fontId="4" fillId="3" borderId="30" xfId="1" quotePrefix="1" applyNumberFormat="1" applyFont="1" applyFill="1" applyBorder="1"/>
    <xf numFmtId="43" fontId="4" fillId="0" borderId="35" xfId="1" applyFont="1" applyFill="1" applyBorder="1"/>
    <xf numFmtId="165" fontId="4" fillId="3" borderId="9" xfId="1" quotePrefix="1" applyNumberFormat="1" applyFont="1" applyFill="1" applyBorder="1"/>
    <xf numFmtId="165" fontId="4" fillId="5" borderId="19" xfId="1" applyNumberFormat="1" applyFont="1" applyFill="1" applyBorder="1"/>
    <xf numFmtId="165" fontId="4" fillId="5" borderId="25" xfId="1" applyNumberFormat="1" applyFont="1" applyFill="1" applyBorder="1"/>
    <xf numFmtId="165" fontId="4" fillId="5" borderId="34" xfId="1" applyNumberFormat="1" applyFont="1" applyFill="1" applyBorder="1"/>
    <xf numFmtId="165" fontId="4" fillId="5" borderId="60" xfId="1" applyNumberFormat="1" applyFont="1" applyFill="1" applyBorder="1"/>
    <xf numFmtId="165" fontId="4" fillId="5" borderId="59" xfId="1" applyNumberFormat="1" applyFont="1" applyFill="1" applyBorder="1"/>
    <xf numFmtId="165" fontId="4" fillId="5" borderId="15" xfId="1" applyNumberFormat="1" applyFont="1" applyFill="1" applyBorder="1"/>
    <xf numFmtId="165" fontId="4" fillId="5" borderId="8" xfId="1" applyNumberFormat="1" applyFont="1" applyFill="1" applyBorder="1"/>
    <xf numFmtId="165" fontId="4" fillId="5" borderId="19" xfId="1" applyNumberFormat="1" applyFont="1" applyFill="1" applyBorder="1" applyProtection="1">
      <protection locked="0"/>
    </xf>
    <xf numFmtId="165" fontId="4" fillId="5" borderId="21" xfId="1" applyNumberFormat="1" applyFont="1" applyFill="1" applyBorder="1" applyProtection="1">
      <protection locked="0"/>
    </xf>
    <xf numFmtId="165" fontId="4" fillId="5" borderId="23" xfId="1" applyNumberFormat="1" applyFont="1" applyFill="1" applyBorder="1" applyProtection="1">
      <protection locked="0"/>
    </xf>
    <xf numFmtId="165" fontId="4" fillId="5" borderId="25" xfId="1" applyNumberFormat="1" applyFont="1" applyFill="1" applyBorder="1" applyProtection="1">
      <protection locked="0"/>
    </xf>
    <xf numFmtId="43" fontId="4" fillId="5" borderId="25" xfId="1" applyFont="1" applyFill="1" applyBorder="1"/>
    <xf numFmtId="165" fontId="4" fillId="5" borderId="10" xfId="1" applyNumberFormat="1" applyFont="1" applyFill="1" applyBorder="1"/>
    <xf numFmtId="165" fontId="5" fillId="5" borderId="19" xfId="1" applyNumberFormat="1" applyFont="1" applyFill="1" applyBorder="1"/>
    <xf numFmtId="165" fontId="4" fillId="5" borderId="21" xfId="1" applyNumberFormat="1" applyFont="1" applyFill="1" applyBorder="1"/>
    <xf numFmtId="0" fontId="5" fillId="0" borderId="10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168" fontId="17" fillId="0" borderId="0" xfId="2" applyNumberFormat="1" applyFont="1"/>
    <xf numFmtId="0" fontId="17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168" fontId="17" fillId="0" borderId="1" xfId="2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2" borderId="1" xfId="0" applyFont="1" applyFill="1" applyBorder="1"/>
    <xf numFmtId="0" fontId="17" fillId="0" borderId="1" xfId="0" applyFont="1" applyBorder="1"/>
    <xf numFmtId="164" fontId="17" fillId="0" borderId="1" xfId="1" applyNumberFormat="1" applyFont="1" applyBorder="1"/>
    <xf numFmtId="168" fontId="17" fillId="4" borderId="1" xfId="2" applyNumberFormat="1" applyFont="1" applyFill="1" applyBorder="1"/>
    <xf numFmtId="164" fontId="17" fillId="4" borderId="1" xfId="1" applyNumberFormat="1" applyFont="1" applyFill="1" applyBorder="1"/>
    <xf numFmtId="0" fontId="17" fillId="4" borderId="1" xfId="0" applyFont="1" applyFill="1" applyBorder="1"/>
    <xf numFmtId="9" fontId="17" fillId="4" borderId="1" xfId="0" applyNumberFormat="1" applyFont="1" applyFill="1" applyBorder="1"/>
    <xf numFmtId="164" fontId="17" fillId="4" borderId="1" xfId="0" applyNumberFormat="1" applyFont="1" applyFill="1" applyBorder="1"/>
    <xf numFmtId="168" fontId="17" fillId="2" borderId="1" xfId="2" applyNumberFormat="1" applyFont="1" applyFill="1" applyBorder="1"/>
    <xf numFmtId="9" fontId="17" fillId="0" borderId="1" xfId="0" applyNumberFormat="1" applyFont="1" applyBorder="1"/>
    <xf numFmtId="164" fontId="17" fillId="0" borderId="1" xfId="0" applyNumberFormat="1" applyFont="1" applyBorder="1"/>
    <xf numFmtId="168" fontId="17" fillId="0" borderId="1" xfId="2" applyNumberFormat="1" applyFont="1" applyBorder="1"/>
    <xf numFmtId="164" fontId="16" fillId="0" borderId="1" xfId="0" applyNumberFormat="1" applyFont="1" applyBorder="1"/>
    <xf numFmtId="168" fontId="16" fillId="0" borderId="1" xfId="2" applyNumberFormat="1" applyFont="1" applyBorder="1"/>
    <xf numFmtId="164" fontId="17" fillId="0" borderId="0" xfId="0" applyNumberFormat="1" applyFont="1"/>
    <xf numFmtId="9" fontId="17" fillId="0" borderId="0" xfId="2" applyFont="1"/>
    <xf numFmtId="0" fontId="17" fillId="4" borderId="0" xfId="0" applyFont="1" applyFill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68" fontId="17" fillId="0" borderId="0" xfId="2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168" fontId="17" fillId="0" borderId="0" xfId="2" applyNumberFormat="1" applyFont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17" fillId="0" borderId="0" xfId="0" applyFont="1" applyBorder="1"/>
    <xf numFmtId="166" fontId="4" fillId="0" borderId="29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9" fontId="4" fillId="0" borderId="30" xfId="2" applyFont="1" applyFill="1" applyBorder="1"/>
    <xf numFmtId="165" fontId="4" fillId="0" borderId="0" xfId="1" applyNumberFormat="1" applyFont="1" applyFill="1" applyBorder="1" applyAlignment="1"/>
    <xf numFmtId="165" fontId="4" fillId="5" borderId="7" xfId="1" applyNumberFormat="1" applyFont="1" applyFill="1" applyBorder="1" applyAlignment="1">
      <alignment vertical="center" wrapText="1"/>
    </xf>
    <xf numFmtId="165" fontId="4" fillId="5" borderId="14" xfId="1" applyNumberFormat="1" applyFont="1" applyFill="1" applyBorder="1" applyAlignment="1">
      <alignment horizontal="center"/>
    </xf>
    <xf numFmtId="165" fontId="19" fillId="5" borderId="23" xfId="1" applyNumberFormat="1" applyFont="1" applyFill="1" applyBorder="1"/>
    <xf numFmtId="0" fontId="4" fillId="0" borderId="32" xfId="0" applyFont="1" applyBorder="1" applyAlignment="1">
      <alignment horizontal="justify" vertical="top" wrapText="1"/>
    </xf>
    <xf numFmtId="165" fontId="5" fillId="5" borderId="12" xfId="1" applyNumberFormat="1" applyFont="1" applyFill="1" applyBorder="1" applyAlignment="1">
      <alignment horizontal="center"/>
    </xf>
    <xf numFmtId="165" fontId="5" fillId="0" borderId="12" xfId="1" applyNumberFormat="1" applyFont="1" applyFill="1" applyBorder="1" applyAlignment="1">
      <alignment horizontal="center"/>
    </xf>
    <xf numFmtId="171" fontId="17" fillId="0" borderId="0" xfId="0" applyNumberFormat="1" applyFont="1"/>
    <xf numFmtId="164" fontId="4" fillId="0" borderId="10" xfId="1" applyNumberFormat="1" applyFont="1" applyFill="1" applyBorder="1"/>
    <xf numFmtId="164" fontId="5" fillId="0" borderId="10" xfId="1" applyNumberFormat="1" applyFont="1" applyFill="1" applyBorder="1"/>
    <xf numFmtId="0" fontId="5" fillId="0" borderId="0" xfId="0" applyFont="1" applyFill="1"/>
    <xf numFmtId="165" fontId="5" fillId="0" borderId="0" xfId="0" applyNumberFormat="1" applyFont="1" applyFill="1"/>
    <xf numFmtId="0" fontId="4" fillId="0" borderId="0" xfId="0" applyFont="1" applyFill="1"/>
    <xf numFmtId="164" fontId="5" fillId="0" borderId="0" xfId="0" applyNumberFormat="1" applyFont="1" applyFill="1"/>
    <xf numFmtId="43" fontId="4" fillId="0" borderId="0" xfId="0" applyNumberFormat="1" applyFont="1" applyFill="1"/>
    <xf numFmtId="164" fontId="4" fillId="0" borderId="0" xfId="0" applyNumberFormat="1" applyFont="1" applyFill="1"/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1" fontId="5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6" xfId="0" applyFont="1" applyFill="1" applyBorder="1"/>
    <xf numFmtId="41" fontId="5" fillId="0" borderId="15" xfId="1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41" fontId="20" fillId="0" borderId="15" xfId="1" applyNumberFormat="1" applyFont="1" applyFill="1" applyBorder="1" applyAlignment="1">
      <alignment horizontal="center"/>
    </xf>
    <xf numFmtId="41" fontId="20" fillId="0" borderId="8" xfId="1" applyNumberFormat="1" applyFont="1" applyFill="1" applyBorder="1" applyAlignment="1">
      <alignment horizontal="center"/>
    </xf>
    <xf numFmtId="0" fontId="5" fillId="0" borderId="9" xfId="0" applyFont="1" applyFill="1" applyBorder="1"/>
    <xf numFmtId="0" fontId="4" fillId="0" borderId="9" xfId="0" applyFont="1" applyFill="1" applyBorder="1"/>
    <xf numFmtId="165" fontId="4" fillId="0" borderId="9" xfId="1" applyNumberFormat="1" applyFont="1" applyFill="1" applyBorder="1"/>
    <xf numFmtId="164" fontId="4" fillId="0" borderId="31" xfId="1" applyNumberFormat="1" applyFont="1" applyFill="1" applyBorder="1"/>
    <xf numFmtId="164" fontId="5" fillId="0" borderId="15" xfId="1" applyNumberFormat="1" applyFont="1" applyFill="1" applyBorder="1"/>
    <xf numFmtId="0" fontId="19" fillId="0" borderId="9" xfId="0" applyFont="1" applyFill="1" applyBorder="1"/>
    <xf numFmtId="164" fontId="4" fillId="0" borderId="9" xfId="1" applyNumberFormat="1" applyFont="1" applyFill="1" applyBorder="1"/>
    <xf numFmtId="164" fontId="4" fillId="0" borderId="15" xfId="1" applyNumberFormat="1" applyFont="1" applyFill="1" applyBorder="1"/>
    <xf numFmtId="164" fontId="4" fillId="0" borderId="8" xfId="1" applyNumberFormat="1" applyFont="1" applyFill="1" applyBorder="1"/>
    <xf numFmtId="0" fontId="5" fillId="0" borderId="29" xfId="0" applyFont="1" applyFill="1" applyBorder="1"/>
    <xf numFmtId="164" fontId="5" fillId="0" borderId="14" xfId="1" applyNumberFormat="1" applyFont="1" applyFill="1" applyBorder="1"/>
    <xf numFmtId="2" fontId="4" fillId="0" borderId="0" xfId="0" applyNumberFormat="1" applyFont="1" applyFill="1"/>
    <xf numFmtId="41" fontId="4" fillId="0" borderId="0" xfId="1" applyNumberFormat="1" applyFont="1" applyFill="1"/>
    <xf numFmtId="0" fontId="5" fillId="3" borderId="15" xfId="0" applyFont="1" applyFill="1" applyBorder="1" applyAlignment="1">
      <alignment horizontal="center"/>
    </xf>
    <xf numFmtId="41" fontId="5" fillId="3" borderId="15" xfId="1" applyNumberFormat="1" applyFont="1" applyFill="1" applyBorder="1" applyAlignment="1">
      <alignment horizontal="center"/>
    </xf>
    <xf numFmtId="41" fontId="20" fillId="3" borderId="15" xfId="1" applyNumberFormat="1" applyFont="1" applyFill="1" applyBorder="1" applyAlignment="1">
      <alignment horizontal="center"/>
    </xf>
    <xf numFmtId="41" fontId="20" fillId="3" borderId="8" xfId="1" applyNumberFormat="1" applyFont="1" applyFill="1" applyBorder="1" applyAlignment="1">
      <alignment horizontal="center"/>
    </xf>
    <xf numFmtId="164" fontId="4" fillId="3" borderId="10" xfId="1" applyNumberFormat="1" applyFont="1" applyFill="1" applyBorder="1"/>
    <xf numFmtId="164" fontId="4" fillId="3" borderId="31" xfId="1" applyNumberFormat="1" applyFont="1" applyFill="1" applyBorder="1"/>
    <xf numFmtId="164" fontId="5" fillId="3" borderId="15" xfId="1" applyNumberFormat="1" applyFont="1" applyFill="1" applyBorder="1"/>
    <xf numFmtId="164" fontId="4" fillId="3" borderId="15" xfId="1" applyNumberFormat="1" applyFont="1" applyFill="1" applyBorder="1"/>
    <xf numFmtId="164" fontId="4" fillId="3" borderId="8" xfId="1" applyNumberFormat="1" applyFont="1" applyFill="1" applyBorder="1"/>
    <xf numFmtId="164" fontId="5" fillId="3" borderId="10" xfId="1" applyNumberFormat="1" applyFont="1" applyFill="1" applyBorder="1"/>
    <xf numFmtId="164" fontId="5" fillId="3" borderId="14" xfId="1" applyNumberFormat="1" applyFont="1" applyFill="1" applyBorder="1"/>
    <xf numFmtId="0" fontId="5" fillId="3" borderId="6" xfId="0" applyFont="1" applyFill="1" applyBorder="1"/>
    <xf numFmtId="0" fontId="5" fillId="3" borderId="9" xfId="0" applyFont="1" applyFill="1" applyBorder="1"/>
    <xf numFmtId="3" fontId="4" fillId="3" borderId="9" xfId="0" applyNumberFormat="1" applyFont="1" applyFill="1" applyBorder="1"/>
    <xf numFmtId="164" fontId="4" fillId="3" borderId="9" xfId="1" applyNumberFormat="1" applyFont="1" applyFill="1" applyBorder="1"/>
    <xf numFmtId="164" fontId="5" fillId="0" borderId="0" xfId="1" applyNumberFormat="1" applyFont="1" applyFill="1"/>
    <xf numFmtId="164" fontId="5" fillId="0" borderId="0" xfId="1" applyNumberFormat="1" applyFont="1" applyFill="1" applyAlignment="1">
      <alignment horizontal="center"/>
    </xf>
    <xf numFmtId="164" fontId="5" fillId="0" borderId="6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vertical="center"/>
    </xf>
    <xf numFmtId="164" fontId="5" fillId="0" borderId="6" xfId="1" applyNumberFormat="1" applyFont="1" applyFill="1" applyBorder="1"/>
    <xf numFmtId="164" fontId="5" fillId="0" borderId="9" xfId="1" applyNumberFormat="1" applyFont="1" applyFill="1" applyBorder="1"/>
    <xf numFmtId="164" fontId="5" fillId="0" borderId="29" xfId="1" applyNumberFormat="1" applyFont="1" applyFill="1" applyBorder="1"/>
    <xf numFmtId="164" fontId="4" fillId="0" borderId="0" xfId="1" applyNumberFormat="1" applyFont="1" applyFill="1"/>
    <xf numFmtId="165" fontId="23" fillId="0" borderId="23" xfId="1" applyNumberFormat="1" applyFont="1" applyFill="1" applyBorder="1" applyProtection="1">
      <protection locked="0"/>
    </xf>
    <xf numFmtId="164" fontId="23" fillId="0" borderId="23" xfId="1" applyNumberFormat="1" applyFont="1" applyFill="1" applyBorder="1" applyProtection="1">
      <protection locked="0"/>
    </xf>
    <xf numFmtId="0" fontId="23" fillId="0" borderId="0" xfId="0" applyFont="1"/>
    <xf numFmtId="0" fontId="23" fillId="0" borderId="32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165" fontId="23" fillId="0" borderId="23" xfId="1" applyNumberFormat="1" applyFont="1" applyFill="1" applyBorder="1"/>
    <xf numFmtId="165" fontId="23" fillId="5" borderId="23" xfId="1" applyNumberFormat="1" applyFont="1" applyFill="1" applyBorder="1"/>
    <xf numFmtId="165" fontId="23" fillId="0" borderId="32" xfId="1" applyNumberFormat="1" applyFont="1" applyFill="1" applyBorder="1"/>
    <xf numFmtId="165" fontId="23" fillId="0" borderId="25" xfId="1" applyNumberFormat="1" applyFont="1" applyFill="1" applyBorder="1"/>
    <xf numFmtId="165" fontId="23" fillId="5" borderId="23" xfId="1" applyNumberFormat="1" applyFont="1" applyFill="1" applyBorder="1" applyProtection="1">
      <protection locked="0"/>
    </xf>
    <xf numFmtId="165" fontId="23" fillId="5" borderId="34" xfId="1" applyNumberFormat="1" applyFont="1" applyFill="1" applyBorder="1"/>
    <xf numFmtId="165" fontId="23" fillId="0" borderId="25" xfId="1" applyNumberFormat="1" applyFont="1" applyFill="1" applyBorder="1" applyProtection="1">
      <protection locked="0"/>
    </xf>
    <xf numFmtId="165" fontId="23" fillId="5" borderId="25" xfId="1" applyNumberFormat="1" applyFont="1" applyFill="1" applyBorder="1"/>
    <xf numFmtId="168" fontId="17" fillId="0" borderId="1" xfId="2" applyNumberFormat="1" applyFont="1" applyFill="1" applyBorder="1"/>
    <xf numFmtId="0" fontId="24" fillId="0" borderId="0" xfId="0" applyFont="1"/>
    <xf numFmtId="0" fontId="25" fillId="0" borderId="0" xfId="0" applyFont="1" applyAlignment="1">
      <alignment horizontal="left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left"/>
    </xf>
    <xf numFmtId="0" fontId="25" fillId="0" borderId="0" xfId="0" applyFont="1" applyFill="1"/>
    <xf numFmtId="0" fontId="24" fillId="0" borderId="0" xfId="0" applyFont="1" applyFill="1"/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164" fontId="24" fillId="2" borderId="0" xfId="1" applyNumberFormat="1" applyFont="1" applyFill="1"/>
    <xf numFmtId="164" fontId="24" fillId="0" borderId="0" xfId="1" applyNumberFormat="1" applyFont="1" applyFill="1"/>
    <xf numFmtId="0" fontId="24" fillId="0" borderId="0" xfId="0" applyFont="1" applyAlignment="1">
      <alignment horizontal="center"/>
    </xf>
    <xf numFmtId="0" fontId="24" fillId="0" borderId="0" xfId="0" applyFont="1" applyFill="1" applyAlignment="1">
      <alignment horizontal="left"/>
    </xf>
    <xf numFmtId="0" fontId="24" fillId="0" borderId="0" xfId="0" applyFont="1" applyFill="1" applyAlignment="1">
      <alignment horizontal="center"/>
    </xf>
    <xf numFmtId="0" fontId="24" fillId="2" borderId="0" xfId="0" applyFont="1" applyFill="1"/>
    <xf numFmtId="0" fontId="24" fillId="0" borderId="0" xfId="0" applyFont="1" applyFill="1" applyAlignment="1">
      <alignment wrapText="1"/>
    </xf>
    <xf numFmtId="9" fontId="24" fillId="0" borderId="0" xfId="0" applyNumberFormat="1" applyFont="1"/>
    <xf numFmtId="164" fontId="24" fillId="0" borderId="0" xfId="1" applyNumberFormat="1" applyFont="1"/>
    <xf numFmtId="43" fontId="24" fillId="0" borderId="0" xfId="1" applyFont="1" applyBorder="1"/>
    <xf numFmtId="0" fontId="27" fillId="0" borderId="0" xfId="0" applyFont="1" applyAlignment="1">
      <alignment horizontal="center" wrapText="1"/>
    </xf>
    <xf numFmtId="9" fontId="24" fillId="0" borderId="0" xfId="0" applyNumberFormat="1" applyFont="1" applyFill="1"/>
    <xf numFmtId="168" fontId="24" fillId="0" borderId="0" xfId="0" applyNumberFormat="1" applyFont="1"/>
    <xf numFmtId="9" fontId="24" fillId="2" borderId="0" xfId="0" applyNumberFormat="1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2" fillId="0" borderId="1" xfId="0" applyNumberFormat="1" applyFont="1" applyBorder="1"/>
    <xf numFmtId="9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0" fillId="7" borderId="66" xfId="0" applyFont="1" applyFill="1" applyBorder="1" applyAlignment="1">
      <alignment horizontal="center" vertical="center"/>
    </xf>
    <xf numFmtId="0" fontId="31" fillId="0" borderId="0" xfId="0" applyFont="1" applyAlignment="1"/>
    <xf numFmtId="43" fontId="32" fillId="8" borderId="67" xfId="1" applyFont="1" applyFill="1" applyBorder="1" applyAlignment="1">
      <alignment horizontal="left" vertical="center"/>
    </xf>
    <xf numFmtId="43" fontId="33" fillId="8" borderId="67" xfId="1" applyFont="1" applyFill="1" applyBorder="1" applyAlignment="1">
      <alignment horizontal="left" vertical="center"/>
    </xf>
    <xf numFmtId="43" fontId="31" fillId="0" borderId="0" xfId="1" applyFont="1" applyAlignment="1"/>
    <xf numFmtId="172" fontId="0" fillId="0" borderId="0" xfId="0" applyNumberFormat="1"/>
    <xf numFmtId="43" fontId="4" fillId="0" borderId="10" xfId="1" applyNumberFormat="1" applyFont="1" applyFill="1" applyBorder="1"/>
    <xf numFmtId="9" fontId="2" fillId="0" borderId="1" xfId="0" applyNumberFormat="1" applyFont="1" applyBorder="1"/>
    <xf numFmtId="0" fontId="0" fillId="0" borderId="0" xfId="0" applyFont="1"/>
    <xf numFmtId="0" fontId="30" fillId="7" borderId="66" xfId="0" applyFont="1" applyFill="1" applyBorder="1" applyAlignment="1">
      <alignment horizontal="center" vertical="center"/>
    </xf>
    <xf numFmtId="165" fontId="4" fillId="9" borderId="30" xfId="1" applyNumberFormat="1" applyFont="1" applyFill="1" applyBorder="1"/>
    <xf numFmtId="0" fontId="28" fillId="6" borderId="64" xfId="0" applyFont="1" applyFill="1" applyBorder="1" applyAlignment="1">
      <alignment horizontal="center" vertical="center"/>
    </xf>
    <xf numFmtId="0" fontId="29" fillId="0" borderId="65" xfId="0" applyFont="1" applyBorder="1"/>
    <xf numFmtId="0" fontId="28" fillId="6" borderId="68" xfId="0" applyFont="1" applyFill="1" applyBorder="1" applyAlignment="1">
      <alignment horizontal="center" vertical="center"/>
    </xf>
    <xf numFmtId="0" fontId="28" fillId="6" borderId="69" xfId="0" applyFont="1" applyFill="1" applyBorder="1" applyAlignment="1">
      <alignment horizontal="center" vertical="center"/>
    </xf>
    <xf numFmtId="0" fontId="28" fillId="6" borderId="7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5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4" fontId="5" fillId="5" borderId="7" xfId="1" applyNumberFormat="1" applyFont="1" applyFill="1" applyBorder="1" applyAlignment="1">
      <alignment horizontal="center" vertical="center"/>
    </xf>
    <xf numFmtId="14" fontId="5" fillId="5" borderId="8" xfId="1" applyNumberFormat="1" applyFont="1" applyFill="1" applyBorder="1" applyAlignment="1">
      <alignment horizontal="center" vertical="center"/>
    </xf>
    <xf numFmtId="14" fontId="5" fillId="0" borderId="7" xfId="1" applyNumberFormat="1" applyFont="1" applyFill="1" applyBorder="1" applyAlignment="1">
      <alignment horizontal="center" vertical="center"/>
    </xf>
    <xf numFmtId="14" fontId="5" fillId="0" borderId="8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5" borderId="6" xfId="1" applyNumberFormat="1" applyFont="1" applyFill="1" applyBorder="1" applyAlignment="1">
      <alignment horizontal="center" vertical="center"/>
    </xf>
    <xf numFmtId="165" fontId="5" fillId="0" borderId="5" xfId="1" applyNumberFormat="1" applyFont="1" applyFill="1" applyBorder="1" applyAlignment="1">
      <alignment horizontal="center" wrapText="1"/>
    </xf>
    <xf numFmtId="165" fontId="5" fillId="0" borderId="14" xfId="1" applyNumberFormat="1" applyFont="1" applyFill="1" applyBorder="1" applyAlignment="1">
      <alignment horizontal="center" wrapText="1"/>
    </xf>
    <xf numFmtId="165" fontId="5" fillId="5" borderId="6" xfId="1" applyNumberFormat="1" applyFont="1" applyFill="1" applyBorder="1" applyAlignment="1">
      <alignment horizontal="center" vertical="center" wrapText="1"/>
    </xf>
    <xf numFmtId="165" fontId="5" fillId="5" borderId="7" xfId="1" applyNumberFormat="1" applyFont="1" applyFill="1" applyBorder="1" applyAlignment="1">
      <alignment horizontal="center" vertical="center" wrapText="1"/>
    </xf>
    <xf numFmtId="165" fontId="5" fillId="5" borderId="8" xfId="1" applyNumberFormat="1" applyFont="1" applyFill="1" applyBorder="1" applyAlignment="1">
      <alignment horizontal="center" vertical="center" wrapText="1"/>
    </xf>
    <xf numFmtId="1" fontId="5" fillId="0" borderId="6" xfId="1" applyNumberFormat="1" applyFont="1" applyFill="1" applyBorder="1" applyAlignment="1">
      <alignment horizontal="center"/>
    </xf>
    <xf numFmtId="1" fontId="5" fillId="0" borderId="7" xfId="1" applyNumberFormat="1" applyFont="1" applyFill="1" applyBorder="1" applyAlignment="1">
      <alignment horizontal="center"/>
    </xf>
    <xf numFmtId="1" fontId="5" fillId="0" borderId="8" xfId="1" applyNumberFormat="1" applyFont="1" applyFill="1" applyBorder="1" applyAlignment="1">
      <alignment horizontal="center"/>
    </xf>
    <xf numFmtId="14" fontId="5" fillId="5" borderId="7" xfId="1" applyNumberFormat="1" applyFont="1" applyFill="1" applyBorder="1" applyAlignment="1">
      <alignment horizontal="center"/>
    </xf>
    <xf numFmtId="14" fontId="5" fillId="5" borderId="8" xfId="1" applyNumberFormat="1" applyFont="1" applyFill="1" applyBorder="1" applyAlignment="1">
      <alignment horizontal="center"/>
    </xf>
    <xf numFmtId="1" fontId="5" fillId="0" borderId="16" xfId="1" applyNumberFormat="1" applyFont="1" applyFill="1" applyBorder="1" applyAlignment="1">
      <alignment horizontal="center" vertical="center" wrapText="1"/>
    </xf>
    <xf numFmtId="1" fontId="5" fillId="0" borderId="17" xfId="1" applyNumberFormat="1" applyFont="1" applyFill="1" applyBorder="1" applyAlignment="1">
      <alignment horizontal="center" vertical="center" wrapText="1"/>
    </xf>
    <xf numFmtId="1" fontId="5" fillId="5" borderId="16" xfId="1" applyNumberFormat="1" applyFont="1" applyFill="1" applyBorder="1" applyAlignment="1">
      <alignment horizontal="center" vertical="center" wrapText="1"/>
    </xf>
    <xf numFmtId="1" fontId="5" fillId="5" borderId="17" xfId="1" applyNumberFormat="1" applyFont="1" applyFill="1" applyBorder="1" applyAlignment="1">
      <alignment horizontal="center" vertical="center" wrapText="1"/>
    </xf>
    <xf numFmtId="1" fontId="5" fillId="5" borderId="7" xfId="1" applyNumberFormat="1" applyFont="1" applyFill="1" applyBorder="1" applyAlignment="1">
      <alignment horizontal="center" vertical="center" wrapText="1"/>
    </xf>
    <xf numFmtId="1" fontId="5" fillId="5" borderId="8" xfId="1" applyNumberFormat="1" applyFont="1" applyFill="1" applyBorder="1" applyAlignment="1">
      <alignment horizontal="center" vertical="center" wrapText="1"/>
    </xf>
    <xf numFmtId="1" fontId="5" fillId="0" borderId="6" xfId="1" applyNumberFormat="1" applyFont="1" applyFill="1" applyBorder="1" applyAlignment="1">
      <alignment horizontal="center" vertical="center" wrapText="1"/>
    </xf>
    <xf numFmtId="1" fontId="5" fillId="0" borderId="7" xfId="1" applyNumberFormat="1" applyFont="1" applyFill="1" applyBorder="1" applyAlignment="1">
      <alignment horizontal="center" vertical="center" wrapText="1"/>
    </xf>
    <xf numFmtId="1" fontId="5" fillId="0" borderId="8" xfId="1" applyNumberFormat="1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8" fontId="18" fillId="0" borderId="36" xfId="2" applyNumberFormat="1" applyFont="1" applyBorder="1" applyAlignment="1">
      <alignment horizontal="center" vertical="center" wrapText="1"/>
    </xf>
    <xf numFmtId="168" fontId="18" fillId="0" borderId="37" xfId="2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9" fillId="0" borderId="55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164" fontId="9" fillId="3" borderId="55" xfId="1" applyNumberFormat="1" applyFont="1" applyFill="1" applyBorder="1" applyAlignment="1">
      <alignment horizontal="center"/>
    </xf>
    <xf numFmtId="164" fontId="9" fillId="3" borderId="3" xfId="1" applyNumberFormat="1" applyFont="1" applyFill="1" applyBorder="1" applyAlignment="1">
      <alignment horizontal="center"/>
    </xf>
    <xf numFmtId="0" fontId="9" fillId="3" borderId="49" xfId="0" applyFont="1" applyFill="1" applyBorder="1" applyAlignment="1">
      <alignment horizontal="center"/>
    </xf>
    <xf numFmtId="0" fontId="9" fillId="3" borderId="50" xfId="0" applyFont="1" applyFill="1" applyBorder="1" applyAlignment="1">
      <alignment horizontal="center"/>
    </xf>
    <xf numFmtId="0" fontId="9" fillId="3" borderId="51" xfId="0" applyFont="1" applyFill="1" applyBorder="1" applyAlignment="1">
      <alignment horizontal="center"/>
    </xf>
    <xf numFmtId="0" fontId="9" fillId="2" borderId="49" xfId="0" applyFont="1" applyFill="1" applyBorder="1" applyAlignment="1">
      <alignment horizontal="center"/>
    </xf>
    <xf numFmtId="0" fontId="9" fillId="2" borderId="50" xfId="0" applyFont="1" applyFill="1" applyBorder="1" applyAlignment="1">
      <alignment horizontal="center"/>
    </xf>
    <xf numFmtId="0" fontId="9" fillId="2" borderId="51" xfId="0" applyFont="1" applyFill="1" applyBorder="1" applyAlignment="1">
      <alignment horizont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5" fillId="3" borderId="6" xfId="1" applyNumberFormat="1" applyFont="1" applyFill="1" applyBorder="1" applyAlignment="1">
      <alignment horizontal="center" vertical="center"/>
    </xf>
    <xf numFmtId="0" fontId="5" fillId="3" borderId="7" xfId="1" applyNumberFormat="1" applyFont="1" applyFill="1" applyBorder="1" applyAlignment="1">
      <alignment horizontal="center" vertical="center"/>
    </xf>
    <xf numFmtId="0" fontId="5" fillId="3" borderId="8" xfId="1" applyNumberFormat="1" applyFont="1" applyFill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5" fillId="3" borderId="6" xfId="1" applyNumberFormat="1" applyFont="1" applyFill="1" applyBorder="1" applyAlignment="1">
      <alignment horizontal="center" vertical="center" wrapText="1"/>
    </xf>
    <xf numFmtId="0" fontId="5" fillId="3" borderId="8" xfId="1" applyNumberFormat="1" applyFont="1" applyFill="1" applyBorder="1" applyAlignment="1">
      <alignment horizontal="center" vertical="center" wrapText="1"/>
    </xf>
    <xf numFmtId="14" fontId="5" fillId="3" borderId="6" xfId="1" applyNumberFormat="1" applyFont="1" applyFill="1" applyBorder="1" applyAlignment="1">
      <alignment horizontal="center" vertical="center" wrapText="1"/>
    </xf>
    <xf numFmtId="14" fontId="5" fillId="3" borderId="7" xfId="1" applyNumberFormat="1" applyFont="1" applyFill="1" applyBorder="1" applyAlignment="1">
      <alignment horizontal="center" vertical="center" wrapText="1"/>
    </xf>
    <xf numFmtId="14" fontId="5" fillId="0" borderId="16" xfId="1" applyNumberFormat="1" applyFont="1" applyFill="1" applyBorder="1" applyAlignment="1">
      <alignment horizontal="center" vertical="center"/>
    </xf>
    <xf numFmtId="14" fontId="5" fillId="0" borderId="17" xfId="1" applyNumberFormat="1" applyFont="1" applyFill="1" applyBorder="1" applyAlignment="1">
      <alignment horizontal="center" vertical="center"/>
    </xf>
    <xf numFmtId="14" fontId="5" fillId="3" borderId="6" xfId="1" applyNumberFormat="1" applyFont="1" applyFill="1" applyBorder="1" applyAlignment="1">
      <alignment horizontal="center" vertical="center"/>
    </xf>
    <xf numFmtId="14" fontId="5" fillId="3" borderId="7" xfId="1" applyNumberFormat="1" applyFont="1" applyFill="1" applyBorder="1" applyAlignment="1">
      <alignment horizontal="center" vertical="center"/>
    </xf>
    <xf numFmtId="14" fontId="5" fillId="3" borderId="8" xfId="1" applyNumberFormat="1" applyFont="1" applyFill="1" applyBorder="1" applyAlignment="1">
      <alignment horizontal="center" vertical="center"/>
    </xf>
    <xf numFmtId="14" fontId="5" fillId="0" borderId="6" xfId="1" applyNumberFormat="1" applyFont="1" applyFill="1" applyBorder="1" applyAlignment="1">
      <alignment horizontal="center" vertical="center"/>
    </xf>
    <xf numFmtId="0" fontId="5" fillId="3" borderId="7" xfId="1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3" xfId="4"/>
    <cellStyle name="Normal" xfId="0" builtinId="0"/>
    <cellStyle name="Normal 4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FCTA-%20Transport%20Investment-%20Abridged%20Financials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ji%20Adeshile/Desktop/New%20folder/New%20folder%20(2)/New%20folder/E-Mass%20Transit/3R_Financial%20Model_10%20years_To%20Print_v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Financials"/>
      <sheetName val="Summary of Financials $"/>
      <sheetName val="Parameters and Summary"/>
      <sheetName val="Exchange Rate growth "/>
      <sheetName val="Income Statement"/>
      <sheetName val="Cashflow Statement"/>
      <sheetName val="Fleet Inventory"/>
      <sheetName val="Revenue Schedule"/>
      <sheetName val="Facility Repayment Plan"/>
      <sheetName val="Balance Sheet"/>
      <sheetName val="CAPEX"/>
      <sheetName val="OPEX"/>
    </sheetNames>
    <sheetDataSet>
      <sheetData sheetId="0"/>
      <sheetData sheetId="1"/>
      <sheetData sheetId="2"/>
      <sheetData sheetId="3"/>
      <sheetData sheetId="4">
        <row r="64">
          <cell r="Z64">
            <v>40305378696.682266</v>
          </cell>
        </row>
        <row r="67">
          <cell r="Z67">
            <v>187173876860.60773</v>
          </cell>
          <cell r="AC67">
            <v>192789093166.42596</v>
          </cell>
          <cell r="AF67">
            <v>198572765961.41873</v>
          </cell>
          <cell r="AI67">
            <v>204529948940.26132</v>
          </cell>
          <cell r="AL67">
            <v>210665847408.46918</v>
          </cell>
        </row>
      </sheetData>
      <sheetData sheetId="5"/>
      <sheetData sheetId="6"/>
      <sheetData sheetId="7"/>
      <sheetData sheetId="8">
        <row r="27">
          <cell r="C27" t="str">
            <v>NGN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KPI"/>
      <sheetName val="Financial Highlights"/>
      <sheetName val="CAPEX"/>
      <sheetName val="Balance_Sheet "/>
      <sheetName val="Procuremnt,Distribitn&amp;Recovery"/>
      <sheetName val="Procurement_Ratio&amp;Graph"/>
      <sheetName val="Balance Sheet Ratio&amp;Graph"/>
      <sheetName val="Income Statement"/>
      <sheetName val="CashFlow "/>
      <sheetName val="GDP"/>
      <sheetName val="Market_Coverage Analysis"/>
      <sheetName val="Govt Subsidies "/>
      <sheetName val="Job creation"/>
      <sheetName val="Required Funding_@StartUp"/>
      <sheetName val="Investment Financing"/>
      <sheetName val="Loan Analysis"/>
      <sheetName val="Loa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3">
          <cell r="J103">
            <v>79077676436.943192</v>
          </cell>
        </row>
        <row r="113">
          <cell r="L113">
            <v>79077676436.943192</v>
          </cell>
        </row>
        <row r="125">
          <cell r="I125">
            <v>79077676436.943192</v>
          </cell>
          <cell r="K125">
            <v>79077676436.943192</v>
          </cell>
        </row>
      </sheetData>
      <sheetData sheetId="6" refreshError="1"/>
      <sheetData sheetId="7" refreshError="1"/>
      <sheetData sheetId="8" refreshError="1"/>
      <sheetData sheetId="9" refreshError="1">
        <row r="14">
          <cell r="C14" t="str">
            <v>Government Intervention Grant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C6" t="str">
            <v>Equity Financing</v>
          </cell>
        </row>
      </sheetData>
      <sheetData sheetId="16" refreshError="1"/>
      <sheetData sheetId="17" refreshError="1">
        <row r="7">
          <cell r="D7">
            <v>0</v>
          </cell>
        </row>
        <row r="8">
          <cell r="V8">
            <v>0</v>
          </cell>
          <cell r="X8">
            <v>0</v>
          </cell>
          <cell r="Z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N24"/>
  <sheetViews>
    <sheetView topLeftCell="C1" zoomScale="60" zoomScaleNormal="60" workbookViewId="0">
      <selection activeCell="E36" sqref="E36"/>
    </sheetView>
  </sheetViews>
  <sheetFormatPr defaultRowHeight="14.5" x14ac:dyDescent="0.35"/>
  <cols>
    <col min="3" max="3" width="41.08984375" bestFit="1" customWidth="1"/>
    <col min="4" max="7" width="19.36328125" bestFit="1" customWidth="1"/>
    <col min="8" max="12" width="21.26953125" bestFit="1" customWidth="1"/>
    <col min="13" max="13" width="20.36328125" bestFit="1" customWidth="1"/>
    <col min="14" max="14" width="22.7265625" customWidth="1"/>
  </cols>
  <sheetData>
    <row r="5" spans="3:14" x14ac:dyDescent="0.35">
      <c r="C5" s="572" t="s">
        <v>262</v>
      </c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</row>
    <row r="6" spans="3:14" x14ac:dyDescent="0.35">
      <c r="C6" s="561" t="s">
        <v>263</v>
      </c>
      <c r="D6" s="561" t="s">
        <v>264</v>
      </c>
      <c r="E6" s="561" t="s">
        <v>265</v>
      </c>
      <c r="F6" s="561" t="s">
        <v>266</v>
      </c>
      <c r="G6" s="561" t="s">
        <v>267</v>
      </c>
      <c r="H6" s="561" t="s">
        <v>268</v>
      </c>
      <c r="I6" s="561" t="s">
        <v>269</v>
      </c>
      <c r="J6" s="561" t="s">
        <v>270</v>
      </c>
      <c r="K6" s="561" t="s">
        <v>271</v>
      </c>
      <c r="L6" s="561" t="s">
        <v>272</v>
      </c>
      <c r="M6" s="561" t="s">
        <v>273</v>
      </c>
      <c r="N6" s="561" t="s">
        <v>274</v>
      </c>
    </row>
    <row r="7" spans="3:14" x14ac:dyDescent="0.35">
      <c r="C7" s="562" t="s">
        <v>275</v>
      </c>
      <c r="D7" s="563">
        <f>'Income Statement'!K14</f>
        <v>30653209512</v>
      </c>
      <c r="E7" s="563">
        <f>'Income Statement'!N14</f>
        <v>64371739975.199997</v>
      </c>
      <c r="F7" s="563">
        <f>'Income Statement'!Q14</f>
        <v>123787541254.86</v>
      </c>
      <c r="G7" s="563">
        <f>'Income Statement'!T14</f>
        <v>173302557756.80402</v>
      </c>
      <c r="H7" s="563">
        <f>'Income Statement'!W14</f>
        <v>227459607055.80527</v>
      </c>
      <c r="I7" s="563">
        <f>'Income Statement'!Z14</f>
        <v>338832587408.59552</v>
      </c>
      <c r="J7" s="563">
        <f>'Income Statement'!AC14</f>
        <v>250774216779.02533</v>
      </c>
      <c r="K7" s="563">
        <f>'Income Statement'!AF14</f>
        <v>263312927617.97659</v>
      </c>
      <c r="L7" s="563">
        <f>'Income Statement'!AI14</f>
        <v>276478573998.87549</v>
      </c>
      <c r="M7" s="563">
        <f>'Income Statement'!AL14</f>
        <v>390302502698.81927</v>
      </c>
      <c r="N7" s="563">
        <f t="shared" ref="N7:N18" si="0">SUM(D7:M7)</f>
        <v>2139275464057.9617</v>
      </c>
    </row>
    <row r="8" spans="3:14" x14ac:dyDescent="0.35">
      <c r="C8" s="562" t="s">
        <v>276</v>
      </c>
      <c r="D8" s="563">
        <f>'Income Statement'!K29</f>
        <v>27379561342.592003</v>
      </c>
      <c r="E8" s="563">
        <f>'Income Statement'!N29</f>
        <v>41652758819.443199</v>
      </c>
      <c r="F8" s="563">
        <f>'Income Statement'!Q29</f>
        <v>63578396043.97953</v>
      </c>
      <c r="G8" s="563">
        <f>'Income Statement'!T29</f>
        <v>87696596990.969498</v>
      </c>
      <c r="H8" s="563">
        <f>'Income Statement'!W29</f>
        <v>114226618032.65846</v>
      </c>
      <c r="I8" s="563">
        <f>'Income Statement'!Z29</f>
        <v>114806401632.65846</v>
      </c>
      <c r="J8" s="563">
        <f>'Income Statement'!AC29</f>
        <v>115444163592.65846</v>
      </c>
      <c r="K8" s="563">
        <f>'Income Statement'!AF29</f>
        <v>116145701748.65846</v>
      </c>
      <c r="L8" s="563">
        <f>'Income Statement'!AI29</f>
        <v>116917393720.25847</v>
      </c>
      <c r="M8" s="563">
        <f>'Income Statement'!AL29</f>
        <v>117766254889.01848</v>
      </c>
      <c r="N8" s="563">
        <f t="shared" si="0"/>
        <v>915613846812.8949</v>
      </c>
    </row>
    <row r="9" spans="3:14" x14ac:dyDescent="0.35">
      <c r="C9" s="562" t="s">
        <v>277</v>
      </c>
      <c r="D9" s="563">
        <f>'Income Statement'!K31</f>
        <v>3273648169.4079971</v>
      </c>
      <c r="E9" s="563">
        <f>'Income Statement'!N31</f>
        <v>22718981155.756798</v>
      </c>
      <c r="F9" s="563">
        <f>'Income Statement'!Q31</f>
        <v>60209145210.88047</v>
      </c>
      <c r="G9" s="563">
        <f>'Income Statement'!T31</f>
        <v>85605960765.834518</v>
      </c>
      <c r="H9" s="563">
        <f>'Income Statement'!W31</f>
        <v>113232989023.1468</v>
      </c>
      <c r="I9" s="563">
        <f>'Income Statement'!Z31</f>
        <v>224026185775.93707</v>
      </c>
      <c r="J9" s="563">
        <f>'Income Statement'!AC31</f>
        <v>135330053186.36687</v>
      </c>
      <c r="K9" s="563">
        <f>'Income Statement'!AF31</f>
        <v>147167225869.31812</v>
      </c>
      <c r="L9" s="563">
        <f>'Income Statement'!AI31</f>
        <v>159561180278.617</v>
      </c>
      <c r="M9" s="563">
        <f>'Income Statement'!AL31</f>
        <v>272536247809.80078</v>
      </c>
      <c r="N9" s="563">
        <f t="shared" si="0"/>
        <v>1223661617245.0664</v>
      </c>
    </row>
    <row r="10" spans="3:14" x14ac:dyDescent="0.35">
      <c r="C10" s="562" t="s">
        <v>278</v>
      </c>
      <c r="D10" s="563">
        <f>'Income Statement'!K63</f>
        <v>5276706160.2325954</v>
      </c>
      <c r="E10" s="563">
        <f>'Income Statement'!N63</f>
        <v>8171087877.6467171</v>
      </c>
      <c r="F10" s="563">
        <f>'Income Statement'!Q63</f>
        <v>15090475834.581047</v>
      </c>
      <c r="G10" s="563">
        <f>'Income Statement'!T63</f>
        <v>24188113928.875755</v>
      </c>
      <c r="H10" s="563">
        <f>'Income Statement'!W63</f>
        <v>35248345833.096359</v>
      </c>
      <c r="I10" s="563">
        <f>'Income Statement'!Z63</f>
        <v>51893012583.96312</v>
      </c>
      <c r="J10" s="563">
        <f>'Income Statement'!AC63</f>
        <v>46102183322.410011</v>
      </c>
      <c r="K10" s="563">
        <f>'Income Statement'!AF63</f>
        <v>37756276204.145119</v>
      </c>
      <c r="L10" s="563">
        <f>'Income Statement'!AI63</f>
        <v>30804391745.255737</v>
      </c>
      <c r="M10" s="563">
        <f>'Income Statement'!AL63</f>
        <v>28862270197.046661</v>
      </c>
      <c r="N10" s="563">
        <f t="shared" si="0"/>
        <v>283392863687.25305</v>
      </c>
    </row>
    <row r="11" spans="3:14" x14ac:dyDescent="0.35">
      <c r="C11" s="562" t="s">
        <v>279</v>
      </c>
      <c r="D11" s="564">
        <f>'Income Statement'!K64</f>
        <v>-2003057990.8245983</v>
      </c>
      <c r="E11" s="563">
        <f>'Income Statement'!N64</f>
        <v>14547893278.110081</v>
      </c>
      <c r="F11" s="563">
        <f>'Income Statement'!Q64</f>
        <v>45118669376.299423</v>
      </c>
      <c r="G11" s="563">
        <f>'Income Statement'!T64</f>
        <v>61417846836.958763</v>
      </c>
      <c r="H11" s="563">
        <f>'Income Statement'!W64</f>
        <v>77984643190.050446</v>
      </c>
      <c r="I11" s="563">
        <f>'Income Statement'!Z64</f>
        <v>172133173191.97394</v>
      </c>
      <c r="J11" s="563">
        <f>'Income Statement'!AC64</f>
        <v>89227869863.956848</v>
      </c>
      <c r="K11" s="563">
        <f>'Income Statement'!AF64</f>
        <v>109410949665.173</v>
      </c>
      <c r="L11" s="563">
        <f>'Income Statement'!AI64</f>
        <v>128756788533.36127</v>
      </c>
      <c r="M11" s="563">
        <f>'Income Statement'!AL64</f>
        <v>243673977612.75412</v>
      </c>
      <c r="N11" s="563">
        <f t="shared" si="0"/>
        <v>940268753557.81323</v>
      </c>
    </row>
    <row r="12" spans="3:14" x14ac:dyDescent="0.35">
      <c r="C12" s="562" t="s">
        <v>280</v>
      </c>
      <c r="D12" s="563">
        <f>'Income Statement'!K70</f>
        <v>0</v>
      </c>
      <c r="E12" s="563">
        <f>'Income Statement'!N70</f>
        <v>4800804781.7763271</v>
      </c>
      <c r="F12" s="563">
        <f>'Income Statement'!Q70</f>
        <v>14889160894.17881</v>
      </c>
      <c r="G12" s="563">
        <f>'Income Statement'!T70</f>
        <v>20267889456.196392</v>
      </c>
      <c r="H12" s="563">
        <f>'Income Statement'!W70</f>
        <v>25734932252.716648</v>
      </c>
      <c r="I12" s="563">
        <f>'Income Statement'!Z70</f>
        <v>56803947153.351402</v>
      </c>
      <c r="J12" s="563">
        <f>'Income Statement'!AC70</f>
        <v>29445197055.105762</v>
      </c>
      <c r="K12" s="563">
        <f>'Income Statement'!AF70</f>
        <v>36105613389.507095</v>
      </c>
      <c r="L12" s="563">
        <f>'Income Statement'!AI70</f>
        <v>42489740216.009224</v>
      </c>
      <c r="M12" s="563">
        <f>'Income Statement'!AL70</f>
        <v>80412412612.208862</v>
      </c>
      <c r="N12" s="563">
        <f t="shared" si="0"/>
        <v>310949697811.05054</v>
      </c>
    </row>
    <row r="13" spans="3:14" x14ac:dyDescent="0.35">
      <c r="C13" s="562" t="s">
        <v>281</v>
      </c>
      <c r="D13" s="563"/>
      <c r="E13" s="563"/>
      <c r="F13" s="563"/>
      <c r="G13" s="563"/>
      <c r="H13" s="563"/>
      <c r="I13" s="563">
        <f>'[1]Income Statement'!Z67</f>
        <v>187173876860.60773</v>
      </c>
      <c r="J13" s="563">
        <f>'[1]Income Statement'!AC67</f>
        <v>192789093166.42596</v>
      </c>
      <c r="K13" s="563">
        <f>'[1]Income Statement'!AF67</f>
        <v>198572765961.41873</v>
      </c>
      <c r="L13" s="563">
        <f>'[1]Income Statement'!AI67</f>
        <v>204529948940.26132</v>
      </c>
      <c r="M13" s="563">
        <f>'[1]Income Statement'!AL67</f>
        <v>210665847408.46918</v>
      </c>
      <c r="N13" s="563">
        <f t="shared" si="0"/>
        <v>993731532337.18286</v>
      </c>
    </row>
    <row r="14" spans="3:14" s="569" customFormat="1" x14ac:dyDescent="0.35">
      <c r="C14" s="562" t="s">
        <v>282</v>
      </c>
      <c r="D14" s="564">
        <f>'Income Statement'!K71</f>
        <v>-2003057990.8245983</v>
      </c>
      <c r="E14" s="563">
        <f>'Income Statement'!N71</f>
        <v>9747088496.3337536</v>
      </c>
      <c r="F14" s="563">
        <f>'Income Statement'!Q71</f>
        <v>30229508482.120613</v>
      </c>
      <c r="G14" s="563">
        <f>'Income Statement'!T71</f>
        <v>41149957380.762375</v>
      </c>
      <c r="H14" s="563">
        <f>'Income Statement'!W71</f>
        <v>52249710937.333801</v>
      </c>
      <c r="I14" s="563">
        <f>'Income Statement'!Z71</f>
        <v>115329226038.62253</v>
      </c>
      <c r="J14" s="563">
        <f>'Income Statement'!AC71</f>
        <v>59782672808.851089</v>
      </c>
      <c r="K14" s="563">
        <f>'Income Statement'!AF71</f>
        <v>73305336275.665909</v>
      </c>
      <c r="L14" s="563">
        <f>'Income Statement'!AI71</f>
        <v>86267048317.352051</v>
      </c>
      <c r="M14" s="563">
        <f>'Income Statement'!AL67</f>
        <v>243673977612.75412</v>
      </c>
      <c r="N14" s="563">
        <f>SUM(D14:M14)</f>
        <v>709731468358.97168</v>
      </c>
    </row>
    <row r="15" spans="3:14" x14ac:dyDescent="0.35">
      <c r="C15" s="562" t="s">
        <v>283</v>
      </c>
      <c r="D15" s="565">
        <v>0.90900000000000003</v>
      </c>
      <c r="E15" s="565">
        <v>0.82599999999999996</v>
      </c>
      <c r="F15" s="565">
        <v>0.751</v>
      </c>
      <c r="G15" s="565">
        <v>0.68300000000000005</v>
      </c>
      <c r="H15" s="565">
        <v>0.621</v>
      </c>
      <c r="I15" s="565">
        <v>0.56399999999999995</v>
      </c>
      <c r="J15" s="565">
        <v>0.51300000000000001</v>
      </c>
      <c r="K15" s="565">
        <v>0.46700000000000003</v>
      </c>
      <c r="L15" s="565">
        <v>0.42399999999999999</v>
      </c>
      <c r="M15" s="565">
        <v>0.38600000000000001</v>
      </c>
      <c r="N15" s="565"/>
    </row>
    <row r="16" spans="3:14" x14ac:dyDescent="0.35">
      <c r="C16" s="562" t="s">
        <v>284</v>
      </c>
      <c r="D16" s="564">
        <f>D15*D14</f>
        <v>-1820779713.65956</v>
      </c>
      <c r="E16" s="563">
        <f t="shared" ref="E16:M16" si="1">E15*E14</f>
        <v>8051095097.9716797</v>
      </c>
      <c r="F16" s="563">
        <f t="shared" si="1"/>
        <v>22702360870.072582</v>
      </c>
      <c r="G16" s="563">
        <f t="shared" si="1"/>
        <v>28105420891.060703</v>
      </c>
      <c r="H16" s="563">
        <f t="shared" si="1"/>
        <v>32447070492.08429</v>
      </c>
      <c r="I16" s="563">
        <f t="shared" si="1"/>
        <v>65045683485.783096</v>
      </c>
      <c r="J16" s="563">
        <f t="shared" si="1"/>
        <v>30668511150.940609</v>
      </c>
      <c r="K16" s="563">
        <f t="shared" si="1"/>
        <v>34233592040.735981</v>
      </c>
      <c r="L16" s="563">
        <f t="shared" si="1"/>
        <v>36577228486.557266</v>
      </c>
      <c r="M16" s="563">
        <f t="shared" si="1"/>
        <v>94058155358.523087</v>
      </c>
      <c r="N16" s="563">
        <f t="shared" si="0"/>
        <v>350068338160.06976</v>
      </c>
    </row>
    <row r="17" spans="3:14" x14ac:dyDescent="0.35">
      <c r="C17" s="562"/>
      <c r="D17" s="563"/>
      <c r="E17" s="563"/>
      <c r="F17" s="563"/>
      <c r="G17" s="563"/>
      <c r="H17" s="563"/>
      <c r="I17" s="563"/>
      <c r="J17" s="563"/>
      <c r="K17" s="563"/>
      <c r="L17" s="563"/>
      <c r="M17" s="563"/>
      <c r="N17" s="563"/>
    </row>
    <row r="18" spans="3:14" x14ac:dyDescent="0.35">
      <c r="C18" s="562" t="s">
        <v>285</v>
      </c>
      <c r="D18" s="563">
        <f>D7</f>
        <v>30653209512</v>
      </c>
      <c r="E18" s="563">
        <f t="shared" ref="E18:M18" si="2">E7</f>
        <v>64371739975.199997</v>
      </c>
      <c r="F18" s="563">
        <f t="shared" si="2"/>
        <v>123787541254.86</v>
      </c>
      <c r="G18" s="563">
        <f t="shared" si="2"/>
        <v>173302557756.80402</v>
      </c>
      <c r="H18" s="563">
        <f t="shared" si="2"/>
        <v>227459607055.80527</v>
      </c>
      <c r="I18" s="563">
        <f t="shared" si="2"/>
        <v>338832587408.59552</v>
      </c>
      <c r="J18" s="563">
        <f t="shared" si="2"/>
        <v>250774216779.02533</v>
      </c>
      <c r="K18" s="563">
        <f t="shared" si="2"/>
        <v>263312927617.97659</v>
      </c>
      <c r="L18" s="563">
        <f t="shared" si="2"/>
        <v>276478573998.87549</v>
      </c>
      <c r="M18" s="563">
        <f t="shared" si="2"/>
        <v>390302502698.81927</v>
      </c>
      <c r="N18" s="563">
        <f t="shared" si="0"/>
        <v>2139275464057.9617</v>
      </c>
    </row>
    <row r="19" spans="3:14" x14ac:dyDescent="0.35">
      <c r="C19" s="562" t="s">
        <v>286</v>
      </c>
      <c r="D19" s="563">
        <f>'Facility Repayment Plan'!C29</f>
        <v>161457830387.20001</v>
      </c>
      <c r="E19" s="563">
        <f>'Facility Repayment Plan'!D29</f>
        <v>177603613425.92001</v>
      </c>
      <c r="F19" s="563">
        <f>'Facility Repayment Plan'!E29</f>
        <v>195363974768.51202</v>
      </c>
      <c r="G19" s="563">
        <f>'Facility Repayment Plan'!F29</f>
        <v>214900372245.36328</v>
      </c>
      <c r="H19" s="563">
        <f>'Facility Repayment Plan'!G29</f>
        <v>236390409469.8996</v>
      </c>
      <c r="I19" s="563"/>
      <c r="J19" s="563"/>
      <c r="K19" s="563"/>
      <c r="L19" s="563"/>
      <c r="M19" s="563"/>
      <c r="N19" s="563">
        <f>SUM(D19:M19)</f>
        <v>985716200296.89502</v>
      </c>
    </row>
    <row r="20" spans="3:14" x14ac:dyDescent="0.35">
      <c r="C20" s="562" t="s">
        <v>287</v>
      </c>
      <c r="D20" s="563">
        <f>'[1]Facility Repayment Plan'!C30</f>
        <v>0</v>
      </c>
      <c r="E20" s="563">
        <f>'[1]Facility Repayment Plan'!D30</f>
        <v>0</v>
      </c>
      <c r="F20" s="563">
        <f>'[1]Facility Repayment Plan'!E30</f>
        <v>0</v>
      </c>
      <c r="G20" s="563">
        <f>'[1]Facility Repayment Plan'!F30</f>
        <v>0</v>
      </c>
      <c r="H20" s="563">
        <f>'[1]Facility Repayment Plan'!G30</f>
        <v>0</v>
      </c>
      <c r="I20" s="563">
        <f>I13</f>
        <v>187173876860.60773</v>
      </c>
      <c r="J20" s="563">
        <f t="shared" ref="J20:M20" si="3">J13</f>
        <v>192789093166.42596</v>
      </c>
      <c r="K20" s="563">
        <f t="shared" si="3"/>
        <v>198572765961.41873</v>
      </c>
      <c r="L20" s="563">
        <f t="shared" si="3"/>
        <v>204529948940.26132</v>
      </c>
      <c r="M20" s="563">
        <f t="shared" si="3"/>
        <v>210665847408.46918</v>
      </c>
      <c r="N20" s="563">
        <f>SUM(D20:M20)</f>
        <v>993731532337.18286</v>
      </c>
    </row>
    <row r="21" spans="3:14" ht="16" customHeight="1" x14ac:dyDescent="0.35">
      <c r="C21" s="574"/>
      <c r="D21" s="575"/>
      <c r="E21" s="575"/>
      <c r="F21" s="575"/>
      <c r="G21" s="575"/>
      <c r="H21" s="575"/>
      <c r="I21" s="575"/>
      <c r="J21" s="575"/>
      <c r="K21" s="575"/>
      <c r="L21" s="575"/>
      <c r="M21" s="575"/>
      <c r="N21" s="576"/>
    </row>
    <row r="23" spans="3:14" x14ac:dyDescent="0.35">
      <c r="D23" s="566"/>
    </row>
    <row r="24" spans="3:14" x14ac:dyDescent="0.35">
      <c r="D24" s="566"/>
    </row>
  </sheetData>
  <mergeCells count="2">
    <mergeCell ref="C5:N5"/>
    <mergeCell ref="C21:N21"/>
  </mergeCells>
  <pageMargins left="0.25" right="0.25" top="0.75" bottom="0.75" header="0.3" footer="0.3"/>
  <pageSetup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4"/>
  <sheetViews>
    <sheetView zoomScale="50" zoomScaleNormal="50" workbookViewId="0">
      <selection activeCell="M18" sqref="M18"/>
    </sheetView>
  </sheetViews>
  <sheetFormatPr defaultRowHeight="14.5" x14ac:dyDescent="0.35"/>
  <cols>
    <col min="3" max="3" width="41.08984375" bestFit="1" customWidth="1"/>
    <col min="4" max="7" width="19.36328125" bestFit="1" customWidth="1"/>
    <col min="8" max="12" width="21.26953125" bestFit="1" customWidth="1"/>
    <col min="13" max="13" width="20.36328125" bestFit="1" customWidth="1"/>
    <col min="14" max="14" width="22.7265625" customWidth="1"/>
  </cols>
  <sheetData>
    <row r="5" spans="3:14" x14ac:dyDescent="0.35">
      <c r="C5" s="572" t="s">
        <v>292</v>
      </c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</row>
    <row r="6" spans="3:14" x14ac:dyDescent="0.35">
      <c r="C6" s="570" t="s">
        <v>263</v>
      </c>
      <c r="D6" s="570" t="s">
        <v>264</v>
      </c>
      <c r="E6" s="570" t="s">
        <v>265</v>
      </c>
      <c r="F6" s="570" t="s">
        <v>266</v>
      </c>
      <c r="G6" s="570" t="s">
        <v>267</v>
      </c>
      <c r="H6" s="570" t="s">
        <v>268</v>
      </c>
      <c r="I6" s="570" t="s">
        <v>269</v>
      </c>
      <c r="J6" s="570" t="s">
        <v>270</v>
      </c>
      <c r="K6" s="570" t="s">
        <v>271</v>
      </c>
      <c r="L6" s="570" t="s">
        <v>272</v>
      </c>
      <c r="M6" s="570" t="s">
        <v>273</v>
      </c>
      <c r="N6" s="570" t="s">
        <v>274</v>
      </c>
    </row>
    <row r="7" spans="3:14" x14ac:dyDescent="0.35">
      <c r="C7" s="562" t="s">
        <v>275</v>
      </c>
      <c r="D7" s="563">
        <f>('Income Statement'!K14)/952.639</f>
        <v>32177151.588377129</v>
      </c>
      <c r="E7" s="563">
        <f>('Income Statement'!N14)/1047.9029</f>
        <v>61429107.577810876</v>
      </c>
      <c r="F7" s="563">
        <f>('Income Statement'!Q14)/1152.69319</f>
        <v>107389843.4802586</v>
      </c>
      <c r="G7" s="563">
        <f>('Income Statement'!T14)/1267.962509</f>
        <v>136677982.61123821</v>
      </c>
      <c r="H7" s="563">
        <f>('Income Statement'!W14)/1394.7587599</f>
        <v>163081683.7975001</v>
      </c>
      <c r="I7" s="563">
        <f>('Income Statement'!Z14)/1534.23463589</f>
        <v>220847958.63837391</v>
      </c>
      <c r="J7" s="563">
        <f>('Income Statement'!AC14)/1687.658099479</f>
        <v>148593021.80722633</v>
      </c>
      <c r="K7" s="563">
        <f>('Income Statement'!AF14)/1856.4239094269</f>
        <v>141838793.5432615</v>
      </c>
      <c r="L7" s="563">
        <f>('Income Statement'!AI14)/2042.06630036959</f>
        <v>135391575.65493146</v>
      </c>
      <c r="M7" s="563">
        <f>('Income Statement'!AL14)/2246.27293040655</f>
        <v>173755600.85130832</v>
      </c>
      <c r="N7" s="563">
        <f t="shared" ref="N7:N18" si="0">SUM(D7:M7)</f>
        <v>1321182719.5502865</v>
      </c>
    </row>
    <row r="8" spans="3:14" x14ac:dyDescent="0.35">
      <c r="C8" s="562" t="s">
        <v>276</v>
      </c>
      <c r="D8" s="563">
        <f>('Income Statement'!K29)/952.639</f>
        <v>28740752.102939311</v>
      </c>
      <c r="E8" s="563">
        <f>('Income Statement'!N29)/1047.9029</f>
        <v>39748681.695072316</v>
      </c>
      <c r="F8" s="563">
        <f>('Income Statement'!Q29)/1152.69319</f>
        <v>55156390.785981409</v>
      </c>
      <c r="G8" s="563">
        <f>('Income Statement'!T29)/1267.962509</f>
        <v>69163399.050444216</v>
      </c>
      <c r="H8" s="563">
        <f>('Income Statement'!W29)/1394.7587599</f>
        <v>81897042.9272286</v>
      </c>
      <c r="I8" s="563">
        <f>('Income Statement'!Z29)/1534.23463589</f>
        <v>74829754.815214381</v>
      </c>
      <c r="J8" s="563">
        <f>('Income Statement'!AC29)/1687.658099479</f>
        <v>68404947.440656006</v>
      </c>
      <c r="K8" s="563">
        <f>('Income Statement'!AF29)/1856.4239094269</f>
        <v>62564213.463784762</v>
      </c>
      <c r="L8" s="563">
        <f>('Income Statement'!AI29)/2042.06630036959</f>
        <v>57254455.302992716</v>
      </c>
      <c r="M8" s="563">
        <f>('Income Statement'!AL29)/2246.27293040655</f>
        <v>52427402.42954541</v>
      </c>
      <c r="N8" s="563">
        <f t="shared" si="0"/>
        <v>590187040.01385915</v>
      </c>
    </row>
    <row r="9" spans="3:14" x14ac:dyDescent="0.35">
      <c r="C9" s="562" t="s">
        <v>277</v>
      </c>
      <c r="D9" s="563">
        <f>('Income Statement'!K31)/952.639</f>
        <v>3436399.4854378174</v>
      </c>
      <c r="E9" s="563">
        <f>('Income Statement'!N31)/1047.9029</f>
        <v>21680425.88273856</v>
      </c>
      <c r="F9" s="563">
        <f>('Income Statement'!Q31)/1152.69319</f>
        <v>52233452.694277182</v>
      </c>
      <c r="G9" s="563">
        <f>('Income Statement'!T31)/1267.962509</f>
        <v>67514583.560793981</v>
      </c>
      <c r="H9" s="563">
        <f>('Income Statement'!W31)/1394.7587599</f>
        <v>81184640.870271519</v>
      </c>
      <c r="I9" s="563">
        <f>('Income Statement'!Z31)/1534.23463589</f>
        <v>146018203.82315955</v>
      </c>
      <c r="J9" s="563">
        <f>('Income Statement'!AC31)/1687.658099479</f>
        <v>80188074.366570324</v>
      </c>
      <c r="K9" s="563">
        <f>('Income Statement'!AF31)/1856.4239094269</f>
        <v>79274580.079476729</v>
      </c>
      <c r="L9" s="563">
        <f>('Income Statement'!AI31)/2042.06630036959</f>
        <v>78137120.351938725</v>
      </c>
      <c r="M9" s="563">
        <f>('Income Statement'!AL31)/2246.27293040655</f>
        <v>121328198.4217629</v>
      </c>
      <c r="N9" s="563">
        <f t="shared" si="0"/>
        <v>730995679.53642738</v>
      </c>
    </row>
    <row r="10" spans="3:14" x14ac:dyDescent="0.35">
      <c r="C10" s="562" t="s">
        <v>278</v>
      </c>
      <c r="D10" s="563">
        <f>('Income Statement'!K63)/952.639</f>
        <v>5539040.6651759958</v>
      </c>
      <c r="E10" s="563">
        <f>('Income Statement'!N63)/1047.9029</f>
        <v>7797562.0428636251</v>
      </c>
      <c r="F10" s="563">
        <f>('Income Statement'!Q63)/1152.69319</f>
        <v>13091493.873214472</v>
      </c>
      <c r="G10" s="563">
        <f>('Income Statement'!T63)/1267.962509</f>
        <v>19076363.659957197</v>
      </c>
      <c r="H10" s="563">
        <f>('Income Statement'!W63)/1394.7587599</f>
        <v>25272001.758657925</v>
      </c>
      <c r="I10" s="563">
        <f>('Income Statement'!Z63)/1534.23463589</f>
        <v>33823387.485878445</v>
      </c>
      <c r="J10" s="563">
        <f>('Income Statement'!AC63)/1687.658099479</f>
        <v>27317253.024556499</v>
      </c>
      <c r="K10" s="563">
        <f>('Income Statement'!AF63)/1856.4239094269</f>
        <v>20338176.00194608</v>
      </c>
      <c r="L10" s="563">
        <f>('Income Statement'!AI63)/2042.06630036959</f>
        <v>15084912.639555573</v>
      </c>
      <c r="M10" s="563">
        <f>('Income Statement'!AL63)/2246.27293040655</f>
        <v>12848959.628348863</v>
      </c>
      <c r="N10" s="563">
        <f t="shared" si="0"/>
        <v>180189150.78015468</v>
      </c>
    </row>
    <row r="11" spans="3:14" x14ac:dyDescent="0.35">
      <c r="C11" s="562" t="s">
        <v>279</v>
      </c>
      <c r="D11" s="564">
        <f>('Income Statement'!K64)/952.639</f>
        <v>-2102641.1797381779</v>
      </c>
      <c r="E11" s="563">
        <f>('Income Statement'!N64)/1047.9029</f>
        <v>13882863.839874934</v>
      </c>
      <c r="F11" s="563">
        <f>('Income Statement'!Q64)/1152.69319</f>
        <v>39141958.821062714</v>
      </c>
      <c r="G11" s="563">
        <f>('Income Statement'!T64)/1267.962509</f>
        <v>48438219.900836788</v>
      </c>
      <c r="H11" s="563">
        <f>('Income Statement'!W64)/1394.7587599</f>
        <v>55912639.111613594</v>
      </c>
      <c r="I11" s="563">
        <f>('Income Statement'!Z64)/1534.23463589</f>
        <v>112194816.33728108</v>
      </c>
      <c r="J11" s="563">
        <f>('Income Statement'!AC64)/1687.658099479</f>
        <v>52870821.342013828</v>
      </c>
      <c r="K11" s="563">
        <f>('Income Statement'!AF64)/1856.4239094269</f>
        <v>58936404.077530652</v>
      </c>
      <c r="L11" s="563">
        <f>('Income Statement'!AI64)/2042.06630036959</f>
        <v>63052207.712383151</v>
      </c>
      <c r="M11" s="563">
        <f>('Income Statement'!AL64)/2246.27293040655</f>
        <v>108479238.79341404</v>
      </c>
      <c r="N11" s="563">
        <f t="shared" si="0"/>
        <v>550806528.75627255</v>
      </c>
    </row>
    <row r="12" spans="3:14" x14ac:dyDescent="0.35">
      <c r="C12" s="562" t="s">
        <v>280</v>
      </c>
      <c r="D12" s="563">
        <f>('Income Statement'!K70)/952.639</f>
        <v>0</v>
      </c>
      <c r="E12" s="563">
        <f>('Income Statement'!N70)/1047.9029</f>
        <v>4581345.0671587288</v>
      </c>
      <c r="F12" s="563">
        <f>('Income Statement'!Q70)/1152.69319</f>
        <v>12916846.410950694</v>
      </c>
      <c r="G12" s="563">
        <f>('Income Statement'!T70)/1267.962509</f>
        <v>15984612.567276141</v>
      </c>
      <c r="H12" s="563">
        <f>('Income Statement'!W70)/1394.7587599</f>
        <v>18451170.906832486</v>
      </c>
      <c r="I12" s="563">
        <f>('Income Statement'!Z70)/1534.23463589</f>
        <v>37024289.391302757</v>
      </c>
      <c r="J12" s="563">
        <f>('Income Statement'!AC70)/1687.658099479</f>
        <v>17447371.042864565</v>
      </c>
      <c r="K12" s="563">
        <f>('Income Statement'!AF70)/1856.4239094269</f>
        <v>19449013.345585119</v>
      </c>
      <c r="L12" s="563">
        <f>('Income Statement'!AI70)/2042.06630036959</f>
        <v>20807228.545086443</v>
      </c>
      <c r="M12" s="563">
        <f>('Income Statement'!AL70)/2246.27293040655</f>
        <v>35798148.801826634</v>
      </c>
      <c r="N12" s="563">
        <f t="shared" si="0"/>
        <v>182460026.07888356</v>
      </c>
    </row>
    <row r="13" spans="3:14" x14ac:dyDescent="0.35">
      <c r="C13" s="562" t="s">
        <v>281</v>
      </c>
      <c r="D13" s="563">
        <v>0</v>
      </c>
      <c r="E13" s="563">
        <v>0</v>
      </c>
      <c r="F13" s="563">
        <v>0</v>
      </c>
      <c r="G13" s="563">
        <v>0</v>
      </c>
      <c r="H13" s="563">
        <v>0</v>
      </c>
      <c r="I13" s="563">
        <f>D19</f>
        <v>169484800</v>
      </c>
      <c r="J13" s="563">
        <f t="shared" ref="J13:M13" si="1">E19</f>
        <v>169484800</v>
      </c>
      <c r="K13" s="563">
        <f t="shared" si="1"/>
        <v>169484800</v>
      </c>
      <c r="L13" s="563">
        <f t="shared" si="1"/>
        <v>169484800</v>
      </c>
      <c r="M13" s="563">
        <f t="shared" si="1"/>
        <v>169484800</v>
      </c>
      <c r="N13" s="563">
        <f t="shared" si="0"/>
        <v>847424000</v>
      </c>
    </row>
    <row r="14" spans="3:14" s="569" customFormat="1" x14ac:dyDescent="0.35">
      <c r="C14" s="562" t="s">
        <v>282</v>
      </c>
      <c r="D14" s="564">
        <f>('Income Statement'!K71)/952.639</f>
        <v>-2102641.1797381779</v>
      </c>
      <c r="E14" s="563">
        <f>('Income Statement'!N71)/1047.9029</f>
        <v>9301518.7727162056</v>
      </c>
      <c r="F14" s="563">
        <f>('Income Statement'!Q71)/1152.69319</f>
        <v>26225112.410112016</v>
      </c>
      <c r="G14" s="563">
        <f>('Income Statement'!T71)/1267.962509</f>
        <v>32453607.333560649</v>
      </c>
      <c r="H14" s="563">
        <f>('Income Statement'!W71)/1394.7587599</f>
        <v>37461468.204781108</v>
      </c>
      <c r="I14" s="563">
        <f>('Income Statement'!Z71)/1534.23463589</f>
        <v>75170526.945978314</v>
      </c>
      <c r="J14" s="563">
        <f>('Income Statement'!AC71)/1687.658099479</f>
        <v>35423450.29914926</v>
      </c>
      <c r="K14" s="563">
        <f>('Income Statement'!AF71)/1856.4239094269</f>
        <v>39487390.731945537</v>
      </c>
      <c r="L14" s="563">
        <f>('Income Statement'!AI71)/2042.06630036959</f>
        <v>42244979.167296708</v>
      </c>
      <c r="M14" s="563">
        <f>('Income Statement'!AL67)/2246.27293040655</f>
        <v>108479238.79341404</v>
      </c>
      <c r="N14" s="563">
        <f>SUM(D14:M14)</f>
        <v>404144651.47921568</v>
      </c>
    </row>
    <row r="15" spans="3:14" x14ac:dyDescent="0.35">
      <c r="C15" s="562" t="s">
        <v>283</v>
      </c>
      <c r="D15" s="565">
        <v>0.90900000000000003</v>
      </c>
      <c r="E15" s="565">
        <v>0.82599999999999996</v>
      </c>
      <c r="F15" s="565">
        <v>0.751</v>
      </c>
      <c r="G15" s="565">
        <v>0.68300000000000005</v>
      </c>
      <c r="H15" s="565">
        <v>0.621</v>
      </c>
      <c r="I15" s="565">
        <v>0.56399999999999995</v>
      </c>
      <c r="J15" s="565">
        <v>0.51300000000000001</v>
      </c>
      <c r="K15" s="565">
        <v>0.46700000000000003</v>
      </c>
      <c r="L15" s="565">
        <v>0.42399999999999999</v>
      </c>
      <c r="M15" s="565">
        <v>0.38600000000000001</v>
      </c>
      <c r="N15" s="565"/>
    </row>
    <row r="16" spans="3:14" x14ac:dyDescent="0.35">
      <c r="C16" s="562" t="s">
        <v>284</v>
      </c>
      <c r="D16" s="564">
        <f>(D15*D14)/952.639</f>
        <v>-2006.3222609844902</v>
      </c>
      <c r="E16" s="563">
        <f>(E15*E14)/1047.9029</f>
        <v>7331.8381944200992</v>
      </c>
      <c r="F16" s="563">
        <f>(F15*F14)/1152.69319</f>
        <v>17086.12455669502</v>
      </c>
      <c r="G16" s="563">
        <f>(G15*G14)/1267.962509</f>
        <v>17481.442591156232</v>
      </c>
      <c r="H16" s="563">
        <f>(H15*H14)/1394.7587599</f>
        <v>16679.27990417281</v>
      </c>
      <c r="I16" s="563">
        <f>(I15*I14)/1534.23463589</f>
        <v>27633.437680109466</v>
      </c>
      <c r="J16" s="563">
        <f>(J15*J14)/1687.658099479</f>
        <v>10767.720078535778</v>
      </c>
      <c r="K16" s="563">
        <f>(K15*K14)/1856.4239094269</f>
        <v>9933.405499776929</v>
      </c>
      <c r="L16" s="563">
        <f>(L15*L14)/2042.06630036959</f>
        <v>8771.4444744972061</v>
      </c>
      <c r="M16" s="563">
        <f>(M15*M14)/2246.27293040655</f>
        <v>18641.09459159946</v>
      </c>
      <c r="N16" s="563">
        <f t="shared" si="0"/>
        <v>132319.46530997852</v>
      </c>
    </row>
    <row r="17" spans="3:14" x14ac:dyDescent="0.35">
      <c r="C17" s="562"/>
      <c r="D17" s="563">
        <v>0</v>
      </c>
      <c r="E17" s="563">
        <v>0</v>
      </c>
      <c r="F17" s="563">
        <v>0</v>
      </c>
      <c r="G17" s="563">
        <v>0</v>
      </c>
      <c r="H17" s="563">
        <v>0</v>
      </c>
      <c r="I17" s="563">
        <v>0</v>
      </c>
      <c r="J17" s="563">
        <v>0</v>
      </c>
      <c r="K17" s="563">
        <v>0</v>
      </c>
      <c r="L17" s="563">
        <v>0</v>
      </c>
      <c r="M17" s="563">
        <v>0</v>
      </c>
      <c r="N17" s="563"/>
    </row>
    <row r="18" spans="3:14" x14ac:dyDescent="0.35">
      <c r="C18" s="562" t="s">
        <v>285</v>
      </c>
      <c r="D18" s="563">
        <f>(D7)/952.639</f>
        <v>33776.857328302882</v>
      </c>
      <c r="E18" s="563">
        <f>(E7)/1047.9029</f>
        <v>58620.992057385156</v>
      </c>
      <c r="F18" s="563">
        <f>(F7)/1152.69319</f>
        <v>93164.290733997113</v>
      </c>
      <c r="G18" s="563">
        <f>(G7)/1267.962509</f>
        <v>107793.3942376826</v>
      </c>
      <c r="H18" s="563">
        <f>(H7)/1394.7587599</f>
        <v>116924.65284046147</v>
      </c>
      <c r="I18" s="563">
        <f>(I7)/1534.23463589</f>
        <v>143946.66465749632</v>
      </c>
      <c r="J18" s="563">
        <f>(J7)/1687.658099479</f>
        <v>88046.875047202207</v>
      </c>
      <c r="K18" s="563">
        <f>(K7)/1856.4239094269</f>
        <v>76404.313057489519</v>
      </c>
      <c r="L18" s="563">
        <f>(L7)/2042.06630036959</f>
        <v>66301.26339699504</v>
      </c>
      <c r="M18" s="563">
        <f>(M7)/2246.27293040655</f>
        <v>77352.844571679219</v>
      </c>
      <c r="N18" s="563">
        <f t="shared" si="0"/>
        <v>862332.14792869147</v>
      </c>
    </row>
    <row r="19" spans="3:14" x14ac:dyDescent="0.35">
      <c r="C19" s="562" t="s">
        <v>286</v>
      </c>
      <c r="D19" s="563">
        <f>('Facility Repayment Plan'!C29)/952.639</f>
        <v>169484800</v>
      </c>
      <c r="E19" s="563">
        <f>('Facility Repayment Plan'!D29)/1047.9029</f>
        <v>169484800</v>
      </c>
      <c r="F19" s="563">
        <f>('Facility Repayment Plan'!E29)/1152.69319</f>
        <v>169484800</v>
      </c>
      <c r="G19" s="563">
        <f>('Facility Repayment Plan'!F29)/1267.962509</f>
        <v>169484800</v>
      </c>
      <c r="H19" s="563">
        <f>('Facility Repayment Plan'!G29)/1394.7587599</f>
        <v>169484800</v>
      </c>
      <c r="I19" s="563">
        <v>0</v>
      </c>
      <c r="J19" s="563">
        <v>0</v>
      </c>
      <c r="K19" s="563">
        <v>0</v>
      </c>
      <c r="L19" s="563">
        <v>0</v>
      </c>
      <c r="M19" s="563">
        <v>0</v>
      </c>
      <c r="N19" s="563">
        <f>SUM(D19:M19)</f>
        <v>847424000</v>
      </c>
    </row>
    <row r="20" spans="3:14" x14ac:dyDescent="0.35">
      <c r="C20" s="562" t="s">
        <v>287</v>
      </c>
      <c r="D20" s="563">
        <f>'[1]Facility Repayment Plan'!C30</f>
        <v>0</v>
      </c>
      <c r="E20" s="563">
        <f>'[1]Facility Repayment Plan'!D30</f>
        <v>0</v>
      </c>
      <c r="F20" s="563">
        <f>'[1]Facility Repayment Plan'!E30</f>
        <v>0</v>
      </c>
      <c r="G20" s="563">
        <f>'[1]Facility Repayment Plan'!F30</f>
        <v>0</v>
      </c>
      <c r="H20" s="563">
        <f>'[1]Facility Repayment Plan'!G30</f>
        <v>0</v>
      </c>
      <c r="I20" s="563">
        <f>I13</f>
        <v>169484800</v>
      </c>
      <c r="J20" s="563">
        <f t="shared" ref="J20:M20" si="2">J13</f>
        <v>169484800</v>
      </c>
      <c r="K20" s="563">
        <f t="shared" si="2"/>
        <v>169484800</v>
      </c>
      <c r="L20" s="563">
        <f t="shared" si="2"/>
        <v>169484800</v>
      </c>
      <c r="M20" s="563">
        <f t="shared" si="2"/>
        <v>169484800</v>
      </c>
      <c r="N20" s="563">
        <f>SUM(D20:M20)</f>
        <v>847424000</v>
      </c>
    </row>
    <row r="21" spans="3:14" ht="16" customHeight="1" x14ac:dyDescent="0.35">
      <c r="C21" s="574"/>
      <c r="D21" s="575"/>
      <c r="E21" s="575"/>
      <c r="F21" s="575"/>
      <c r="G21" s="575"/>
      <c r="H21" s="575"/>
      <c r="I21" s="575"/>
      <c r="J21" s="575"/>
      <c r="K21" s="575"/>
      <c r="L21" s="575"/>
      <c r="M21" s="575"/>
      <c r="N21" s="576"/>
    </row>
    <row r="23" spans="3:14" x14ac:dyDescent="0.35">
      <c r="D23" s="566"/>
    </row>
    <row r="24" spans="3:14" x14ac:dyDescent="0.35">
      <c r="D24" s="566"/>
    </row>
  </sheetData>
  <mergeCells count="2">
    <mergeCell ref="C5:N5"/>
    <mergeCell ref="C21:N21"/>
  </mergeCells>
  <pageMargins left="0.7" right="0.7" top="0.75" bottom="0.75" header="0.3" footer="0.3"/>
  <pageSetup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93"/>
  <sheetViews>
    <sheetView topLeftCell="C13" zoomScale="60" zoomScaleNormal="60" workbookViewId="0">
      <selection activeCell="F25" sqref="F25"/>
    </sheetView>
  </sheetViews>
  <sheetFormatPr defaultRowHeight="14" x14ac:dyDescent="0.3"/>
  <cols>
    <col min="1" max="1" width="8.7265625" style="530"/>
    <col min="2" max="2" width="14.453125" style="530" bestFit="1" customWidth="1"/>
    <col min="3" max="3" width="41.81640625" style="533" bestFit="1" customWidth="1"/>
    <col min="4" max="4" width="9.36328125" style="533" customWidth="1"/>
    <col min="5" max="5" width="8.54296875" style="530" bestFit="1" customWidth="1"/>
    <col min="6" max="7" width="16.26953125" style="530" bestFit="1" customWidth="1"/>
    <col min="8" max="8" width="19.54296875" style="530" customWidth="1"/>
    <col min="9" max="9" width="20.6328125" style="530" bestFit="1" customWidth="1"/>
    <col min="10" max="10" width="20.26953125" style="530" bestFit="1" customWidth="1"/>
    <col min="11" max="11" width="18.453125" style="532" bestFit="1" customWidth="1"/>
    <col min="12" max="12" width="22.08984375" style="530" bestFit="1" customWidth="1"/>
    <col min="13" max="13" width="24.1796875" style="530" bestFit="1" customWidth="1"/>
    <col min="14" max="16384" width="8.7265625" style="530"/>
  </cols>
  <sheetData>
    <row r="2" spans="2:15" x14ac:dyDescent="0.3">
      <c r="F2" s="530" t="s">
        <v>2</v>
      </c>
      <c r="G2" s="530" t="s">
        <v>3</v>
      </c>
      <c r="H2" s="530" t="s">
        <v>4</v>
      </c>
      <c r="I2" s="530" t="s">
        <v>5</v>
      </c>
      <c r="J2" s="530" t="s">
        <v>6</v>
      </c>
      <c r="K2" s="530" t="s">
        <v>104</v>
      </c>
      <c r="L2" s="530" t="s">
        <v>105</v>
      </c>
      <c r="M2" s="530" t="s">
        <v>106</v>
      </c>
      <c r="N2" s="530" t="s">
        <v>107</v>
      </c>
      <c r="O2" s="530" t="s">
        <v>108</v>
      </c>
    </row>
    <row r="3" spans="2:15" x14ac:dyDescent="0.3">
      <c r="C3" s="531" t="s">
        <v>17</v>
      </c>
      <c r="D3" s="531"/>
    </row>
    <row r="4" spans="2:15" x14ac:dyDescent="0.3">
      <c r="C4" s="533" t="s">
        <v>26</v>
      </c>
      <c r="E4" s="530">
        <v>24</v>
      </c>
    </row>
    <row r="5" spans="2:15" x14ac:dyDescent="0.3">
      <c r="C5" s="533" t="s">
        <v>27</v>
      </c>
      <c r="E5" s="530">
        <v>8</v>
      </c>
    </row>
    <row r="6" spans="2:15" x14ac:dyDescent="0.3">
      <c r="C6" s="533" t="s">
        <v>8</v>
      </c>
      <c r="E6" s="530">
        <v>3</v>
      </c>
      <c r="G6" s="534"/>
      <c r="H6" s="535"/>
    </row>
    <row r="7" spans="2:15" x14ac:dyDescent="0.3">
      <c r="G7" s="534"/>
      <c r="H7" s="535"/>
    </row>
    <row r="8" spans="2:15" x14ac:dyDescent="0.3">
      <c r="B8" s="536"/>
      <c r="C8" s="537" t="s">
        <v>216</v>
      </c>
      <c r="D8" s="537"/>
      <c r="E8" s="536"/>
      <c r="G8" s="535"/>
      <c r="H8" s="535"/>
    </row>
    <row r="9" spans="2:15" x14ac:dyDescent="0.3">
      <c r="B9" s="536"/>
      <c r="C9" s="537" t="s">
        <v>11</v>
      </c>
      <c r="D9" s="537"/>
      <c r="E9" s="536"/>
      <c r="G9" s="535"/>
      <c r="H9" s="535"/>
    </row>
    <row r="10" spans="2:15" x14ac:dyDescent="0.3">
      <c r="C10" s="445" t="s">
        <v>95</v>
      </c>
      <c r="D10" s="445" t="s">
        <v>96</v>
      </c>
      <c r="E10" s="538">
        <v>15</v>
      </c>
      <c r="G10" s="535"/>
      <c r="H10" s="535"/>
    </row>
    <row r="11" spans="2:15" x14ac:dyDescent="0.3">
      <c r="C11" s="445" t="s">
        <v>97</v>
      </c>
      <c r="D11" s="445" t="s">
        <v>98</v>
      </c>
      <c r="E11" s="539">
        <v>3</v>
      </c>
      <c r="G11" s="535"/>
      <c r="H11" s="535"/>
    </row>
    <row r="12" spans="2:15" x14ac:dyDescent="0.3">
      <c r="C12" s="445" t="s">
        <v>99</v>
      </c>
      <c r="D12" s="445" t="s">
        <v>100</v>
      </c>
      <c r="E12" s="539">
        <v>1</v>
      </c>
    </row>
    <row r="13" spans="2:15" x14ac:dyDescent="0.3">
      <c r="C13" s="540"/>
      <c r="D13" s="540"/>
      <c r="E13" s="539"/>
    </row>
    <row r="14" spans="2:15" x14ac:dyDescent="0.3">
      <c r="C14" s="540"/>
      <c r="D14" s="540"/>
      <c r="E14" s="539"/>
    </row>
    <row r="15" spans="2:15" x14ac:dyDescent="0.3">
      <c r="C15" s="541" t="s">
        <v>12</v>
      </c>
      <c r="D15" s="541"/>
      <c r="E15" s="539"/>
    </row>
    <row r="16" spans="2:15" x14ac:dyDescent="0.3">
      <c r="C16" s="445" t="s">
        <v>95</v>
      </c>
      <c r="D16" s="445" t="s">
        <v>96</v>
      </c>
      <c r="E16" s="539">
        <v>7</v>
      </c>
    </row>
    <row r="17" spans="3:15" x14ac:dyDescent="0.3">
      <c r="C17" s="445" t="s">
        <v>97</v>
      </c>
      <c r="D17" s="445" t="s">
        <v>98</v>
      </c>
      <c r="E17" s="539">
        <v>3</v>
      </c>
    </row>
    <row r="18" spans="3:15" x14ac:dyDescent="0.3">
      <c r="C18" s="445" t="s">
        <v>99</v>
      </c>
      <c r="D18" s="445" t="s">
        <v>100</v>
      </c>
      <c r="E18" s="539">
        <v>0</v>
      </c>
    </row>
    <row r="21" spans="3:15" x14ac:dyDescent="0.3">
      <c r="C21" s="533" t="s">
        <v>14</v>
      </c>
      <c r="E21" s="530">
        <v>6</v>
      </c>
    </row>
    <row r="22" spans="3:15" x14ac:dyDescent="0.3">
      <c r="C22" s="533" t="s">
        <v>15</v>
      </c>
      <c r="E22" s="530">
        <v>4</v>
      </c>
    </row>
    <row r="23" spans="3:15" x14ac:dyDescent="0.3">
      <c r="C23" s="533" t="s">
        <v>16</v>
      </c>
      <c r="E23" s="530">
        <v>12</v>
      </c>
    </row>
    <row r="24" spans="3:15" x14ac:dyDescent="0.3">
      <c r="C24" s="533" t="s">
        <v>9</v>
      </c>
      <c r="E24" s="542">
        <v>1500</v>
      </c>
      <c r="F24" s="530">
        <v>1500</v>
      </c>
      <c r="G24" s="530">
        <f>F24*1.05</f>
        <v>1575</v>
      </c>
      <c r="H24" s="530">
        <f>G24*1.05</f>
        <v>1653.75</v>
      </c>
      <c r="I24" s="530">
        <f t="shared" ref="I24:O24" si="0">H24*1.05</f>
        <v>1736.4375</v>
      </c>
      <c r="J24" s="530">
        <f t="shared" si="0"/>
        <v>1823.2593750000001</v>
      </c>
      <c r="K24" s="530">
        <f t="shared" si="0"/>
        <v>1914.4223437500002</v>
      </c>
      <c r="L24" s="530">
        <f t="shared" si="0"/>
        <v>2010.1434609375003</v>
      </c>
      <c r="M24" s="530">
        <f t="shared" si="0"/>
        <v>2110.6506339843754</v>
      </c>
      <c r="N24" s="530">
        <f t="shared" si="0"/>
        <v>2216.1831656835943</v>
      </c>
      <c r="O24" s="530">
        <f t="shared" si="0"/>
        <v>2326.9923239677742</v>
      </c>
    </row>
    <row r="25" spans="3:15" x14ac:dyDescent="0.3">
      <c r="E25" s="543"/>
      <c r="F25" s="535"/>
    </row>
    <row r="26" spans="3:15" x14ac:dyDescent="0.3">
      <c r="E26" s="543"/>
      <c r="F26" s="535"/>
    </row>
    <row r="27" spans="3:15" x14ac:dyDescent="0.3">
      <c r="E27" s="543"/>
      <c r="F27" s="535"/>
    </row>
    <row r="28" spans="3:15" x14ac:dyDescent="0.3">
      <c r="E28" s="543"/>
      <c r="F28" s="535"/>
    </row>
    <row r="29" spans="3:15" x14ac:dyDescent="0.3">
      <c r="E29" s="543"/>
      <c r="F29" s="535"/>
    </row>
    <row r="30" spans="3:15" x14ac:dyDescent="0.3">
      <c r="C30" s="531" t="s">
        <v>58</v>
      </c>
      <c r="E30" s="543"/>
      <c r="F30" s="535"/>
    </row>
    <row r="31" spans="3:15" x14ac:dyDescent="0.3">
      <c r="C31" s="445" t="s">
        <v>95</v>
      </c>
      <c r="D31" s="445" t="s">
        <v>96</v>
      </c>
      <c r="E31" s="530">
        <v>1</v>
      </c>
    </row>
    <row r="32" spans="3:15" x14ac:dyDescent="0.3">
      <c r="C32" s="445" t="s">
        <v>97</v>
      </c>
      <c r="D32" s="445" t="s">
        <v>98</v>
      </c>
      <c r="E32" s="530">
        <v>1</v>
      </c>
    </row>
    <row r="33" spans="3:6" x14ac:dyDescent="0.3">
      <c r="C33" s="445" t="s">
        <v>99</v>
      </c>
      <c r="D33" s="445" t="s">
        <v>100</v>
      </c>
      <c r="E33" s="530">
        <v>1</v>
      </c>
    </row>
    <row r="34" spans="3:6" x14ac:dyDescent="0.3">
      <c r="C34" s="445"/>
      <c r="D34" s="445"/>
    </row>
    <row r="35" spans="3:6" x14ac:dyDescent="0.3">
      <c r="C35" s="531" t="s">
        <v>59</v>
      </c>
    </row>
    <row r="36" spans="3:6" x14ac:dyDescent="0.3">
      <c r="C36" s="445" t="s">
        <v>95</v>
      </c>
      <c r="D36" s="445" t="s">
        <v>96</v>
      </c>
      <c r="E36" s="530">
        <v>37</v>
      </c>
    </row>
    <row r="37" spans="3:6" x14ac:dyDescent="0.3">
      <c r="C37" s="445" t="s">
        <v>97</v>
      </c>
      <c r="D37" s="445" t="s">
        <v>289</v>
      </c>
      <c r="E37" s="530">
        <v>25</v>
      </c>
    </row>
    <row r="38" spans="3:6" x14ac:dyDescent="0.3">
      <c r="C38" s="445" t="s">
        <v>99</v>
      </c>
      <c r="D38" s="445" t="s">
        <v>290</v>
      </c>
      <c r="E38" s="530">
        <v>0</v>
      </c>
    </row>
    <row r="41" spans="3:6" x14ac:dyDescent="0.3">
      <c r="C41" s="531" t="s">
        <v>153</v>
      </c>
    </row>
    <row r="42" spans="3:6" x14ac:dyDescent="0.3">
      <c r="C42" s="531" t="s">
        <v>219</v>
      </c>
      <c r="D42" s="530"/>
    </row>
    <row r="43" spans="3:6" x14ac:dyDescent="0.3">
      <c r="C43" s="537" t="s">
        <v>149</v>
      </c>
      <c r="D43" s="544" t="s">
        <v>217</v>
      </c>
      <c r="E43" s="544" t="s">
        <v>218</v>
      </c>
      <c r="F43" s="544" t="s">
        <v>161</v>
      </c>
    </row>
    <row r="44" spans="3:6" x14ac:dyDescent="0.3">
      <c r="C44" s="533" t="s">
        <v>143</v>
      </c>
      <c r="D44" s="529">
        <v>1</v>
      </c>
      <c r="E44" s="529">
        <v>0.75</v>
      </c>
      <c r="F44" s="529">
        <v>0.1</v>
      </c>
    </row>
    <row r="45" spans="3:6" x14ac:dyDescent="0.3">
      <c r="C45" s="533" t="s">
        <v>144</v>
      </c>
      <c r="D45" s="529">
        <f>D44</f>
        <v>1</v>
      </c>
      <c r="E45" s="529">
        <f>E44</f>
        <v>0.75</v>
      </c>
      <c r="F45" s="529">
        <f>F44</f>
        <v>0.1</v>
      </c>
    </row>
    <row r="46" spans="3:6" x14ac:dyDescent="0.3">
      <c r="C46" s="533" t="s">
        <v>145</v>
      </c>
      <c r="D46" s="529">
        <f t="shared" ref="D46:F49" si="1">D45</f>
        <v>1</v>
      </c>
      <c r="E46" s="529">
        <f t="shared" si="1"/>
        <v>0.75</v>
      </c>
      <c r="F46" s="529">
        <f t="shared" si="1"/>
        <v>0.1</v>
      </c>
    </row>
    <row r="47" spans="3:6" x14ac:dyDescent="0.3">
      <c r="C47" s="533" t="s">
        <v>146</v>
      </c>
      <c r="D47" s="529">
        <f t="shared" si="1"/>
        <v>1</v>
      </c>
      <c r="E47" s="529">
        <f t="shared" si="1"/>
        <v>0.75</v>
      </c>
      <c r="F47" s="529">
        <f t="shared" si="1"/>
        <v>0.1</v>
      </c>
    </row>
    <row r="48" spans="3:6" x14ac:dyDescent="0.3">
      <c r="C48" s="533" t="s">
        <v>147</v>
      </c>
      <c r="D48" s="529">
        <f t="shared" si="1"/>
        <v>1</v>
      </c>
      <c r="E48" s="529">
        <f t="shared" si="1"/>
        <v>0.75</v>
      </c>
      <c r="F48" s="529">
        <f t="shared" si="1"/>
        <v>0.1</v>
      </c>
    </row>
    <row r="49" spans="3:15" x14ac:dyDescent="0.3">
      <c r="C49" s="533" t="s">
        <v>148</v>
      </c>
      <c r="D49" s="529">
        <f t="shared" si="1"/>
        <v>1</v>
      </c>
      <c r="E49" s="529">
        <f t="shared" si="1"/>
        <v>0.75</v>
      </c>
      <c r="F49" s="529">
        <f t="shared" si="1"/>
        <v>0.1</v>
      </c>
    </row>
    <row r="50" spans="3:15" x14ac:dyDescent="0.3">
      <c r="D50" s="545"/>
      <c r="E50" s="535"/>
      <c r="F50" s="535"/>
    </row>
    <row r="51" spans="3:15" x14ac:dyDescent="0.3">
      <c r="C51" s="531" t="s">
        <v>12</v>
      </c>
      <c r="D51" s="545"/>
      <c r="E51" s="535"/>
      <c r="F51" s="535"/>
    </row>
    <row r="52" spans="3:15" x14ac:dyDescent="0.3">
      <c r="C52" s="531" t="s">
        <v>149</v>
      </c>
      <c r="D52" s="546" t="s">
        <v>217</v>
      </c>
      <c r="E52" s="546" t="s">
        <v>218</v>
      </c>
      <c r="F52" s="546" t="s">
        <v>161</v>
      </c>
    </row>
    <row r="53" spans="3:15" x14ac:dyDescent="0.3">
      <c r="C53" s="533" t="s">
        <v>143</v>
      </c>
      <c r="D53" s="529">
        <v>1</v>
      </c>
      <c r="E53" s="529">
        <v>0.75</v>
      </c>
      <c r="F53" s="529">
        <v>0</v>
      </c>
    </row>
    <row r="54" spans="3:15" x14ac:dyDescent="0.3">
      <c r="C54" s="533" t="s">
        <v>144</v>
      </c>
      <c r="D54" s="529">
        <f>D53</f>
        <v>1</v>
      </c>
      <c r="E54" s="529">
        <f>E53</f>
        <v>0.75</v>
      </c>
      <c r="F54" s="529">
        <f>F53</f>
        <v>0</v>
      </c>
    </row>
    <row r="55" spans="3:15" x14ac:dyDescent="0.3">
      <c r="C55" s="533" t="s">
        <v>145</v>
      </c>
      <c r="D55" s="529">
        <f t="shared" ref="D55:F55" si="2">D54</f>
        <v>1</v>
      </c>
      <c r="E55" s="529">
        <f t="shared" si="2"/>
        <v>0.75</v>
      </c>
      <c r="F55" s="529">
        <f t="shared" si="2"/>
        <v>0</v>
      </c>
    </row>
    <row r="56" spans="3:15" x14ac:dyDescent="0.3">
      <c r="C56" s="533" t="s">
        <v>146</v>
      </c>
      <c r="D56" s="529">
        <f t="shared" ref="D56:F56" si="3">D55</f>
        <v>1</v>
      </c>
      <c r="E56" s="529">
        <f t="shared" si="3"/>
        <v>0.75</v>
      </c>
      <c r="F56" s="529">
        <f t="shared" si="3"/>
        <v>0</v>
      </c>
    </row>
    <row r="57" spans="3:15" x14ac:dyDescent="0.3">
      <c r="C57" s="533" t="s">
        <v>147</v>
      </c>
      <c r="D57" s="529">
        <f t="shared" ref="D57:F57" si="4">D56</f>
        <v>1</v>
      </c>
      <c r="E57" s="529">
        <f t="shared" si="4"/>
        <v>0.75</v>
      </c>
      <c r="F57" s="529">
        <f t="shared" si="4"/>
        <v>0</v>
      </c>
    </row>
    <row r="58" spans="3:15" x14ac:dyDescent="0.3">
      <c r="C58" s="533" t="s">
        <v>148</v>
      </c>
      <c r="D58" s="529">
        <f t="shared" ref="D58:F58" si="5">D57</f>
        <v>1</v>
      </c>
      <c r="E58" s="529">
        <f t="shared" si="5"/>
        <v>0.75</v>
      </c>
      <c r="F58" s="529">
        <f t="shared" si="5"/>
        <v>0</v>
      </c>
    </row>
    <row r="60" spans="3:15" x14ac:dyDescent="0.3">
      <c r="F60" s="530">
        <v>1</v>
      </c>
      <c r="G60" s="530">
        <v>2</v>
      </c>
      <c r="H60" s="530">
        <v>3</v>
      </c>
      <c r="I60" s="530">
        <v>4</v>
      </c>
      <c r="J60" s="530">
        <v>5</v>
      </c>
      <c r="K60" s="532">
        <v>6</v>
      </c>
      <c r="L60" s="530">
        <v>7</v>
      </c>
      <c r="M60" s="530">
        <v>8</v>
      </c>
      <c r="N60" s="530">
        <v>9</v>
      </c>
      <c r="O60" s="530">
        <v>10</v>
      </c>
    </row>
    <row r="61" spans="3:15" x14ac:dyDescent="0.3">
      <c r="C61" s="533" t="s">
        <v>10</v>
      </c>
      <c r="E61" s="547">
        <v>500</v>
      </c>
      <c r="F61" s="530">
        <v>500</v>
      </c>
      <c r="G61" s="530">
        <f>F61*1.05</f>
        <v>525</v>
      </c>
      <c r="H61" s="530">
        <f>G61*1.05</f>
        <v>551.25</v>
      </c>
      <c r="I61" s="530">
        <f t="shared" ref="I61:O61" si="6">H61*1.05</f>
        <v>578.8125</v>
      </c>
      <c r="J61" s="530">
        <f t="shared" si="6"/>
        <v>607.75312500000007</v>
      </c>
      <c r="K61" s="530">
        <f t="shared" si="6"/>
        <v>638.14078125000015</v>
      </c>
      <c r="L61" s="530">
        <f t="shared" si="6"/>
        <v>670.04782031250022</v>
      </c>
      <c r="M61" s="530">
        <f t="shared" si="6"/>
        <v>703.55021132812522</v>
      </c>
      <c r="N61" s="530">
        <f t="shared" si="6"/>
        <v>738.72772189453156</v>
      </c>
      <c r="O61" s="530">
        <f t="shared" si="6"/>
        <v>775.66410798925813</v>
      </c>
    </row>
    <row r="62" spans="3:15" s="535" customFormat="1" x14ac:dyDescent="0.3">
      <c r="C62" s="545"/>
      <c r="D62" s="545"/>
      <c r="K62" s="548"/>
    </row>
    <row r="63" spans="3:15" s="535" customFormat="1" x14ac:dyDescent="0.3">
      <c r="C63" s="545"/>
      <c r="D63" s="545"/>
      <c r="K63" s="548"/>
    </row>
    <row r="64" spans="3:15" s="535" customFormat="1" x14ac:dyDescent="0.3">
      <c r="C64" s="545"/>
      <c r="D64" s="545"/>
      <c r="K64" s="548"/>
    </row>
    <row r="65" spans="3:19" x14ac:dyDescent="0.3">
      <c r="C65" s="533" t="s">
        <v>18</v>
      </c>
      <c r="E65" s="549">
        <v>0.1</v>
      </c>
      <c r="N65" s="544"/>
      <c r="O65" s="544"/>
      <c r="P65" s="544"/>
      <c r="Q65" s="544"/>
      <c r="R65" s="544"/>
      <c r="S65" s="544"/>
    </row>
    <row r="66" spans="3:19" x14ac:dyDescent="0.3">
      <c r="C66" s="533" t="s">
        <v>53</v>
      </c>
      <c r="E66" s="550">
        <v>5</v>
      </c>
      <c r="N66" s="544"/>
      <c r="O66" s="544"/>
      <c r="P66" s="544"/>
      <c r="Q66" s="544"/>
      <c r="R66" s="544"/>
      <c r="S66" s="544"/>
    </row>
    <row r="67" spans="3:19" x14ac:dyDescent="0.3">
      <c r="E67" s="550"/>
      <c r="N67" s="544"/>
      <c r="O67" s="544"/>
      <c r="P67" s="544"/>
      <c r="Q67" s="544"/>
      <c r="R67" s="544"/>
      <c r="S67" s="544"/>
    </row>
    <row r="68" spans="3:19" x14ac:dyDescent="0.3">
      <c r="C68" s="533" t="s">
        <v>55</v>
      </c>
      <c r="E68" s="549">
        <v>0.1</v>
      </c>
      <c r="N68" s="544"/>
      <c r="O68" s="544"/>
      <c r="P68" s="544"/>
      <c r="Q68" s="544"/>
      <c r="R68" s="544"/>
      <c r="S68" s="544"/>
    </row>
    <row r="69" spans="3:19" x14ac:dyDescent="0.3">
      <c r="E69" s="549"/>
      <c r="N69" s="544"/>
      <c r="O69" s="544"/>
      <c r="P69" s="544"/>
      <c r="Q69" s="544"/>
      <c r="R69" s="544"/>
      <c r="S69" s="544"/>
    </row>
    <row r="70" spans="3:19" ht="28" x14ac:dyDescent="0.3">
      <c r="C70" s="533" t="s">
        <v>29</v>
      </c>
      <c r="E70" s="551">
        <v>952.63900000000001</v>
      </c>
      <c r="F70" s="552" t="s">
        <v>222</v>
      </c>
      <c r="N70" s="544"/>
      <c r="O70" s="544"/>
      <c r="P70" s="544"/>
      <c r="Q70" s="544"/>
      <c r="R70" s="544"/>
      <c r="S70" s="544"/>
    </row>
    <row r="71" spans="3:19" x14ac:dyDescent="0.3">
      <c r="N71" s="544"/>
      <c r="O71" s="544"/>
      <c r="P71" s="544"/>
      <c r="Q71" s="544"/>
      <c r="R71" s="544"/>
      <c r="S71" s="544"/>
    </row>
    <row r="72" spans="3:19" x14ac:dyDescent="0.3">
      <c r="N72" s="544"/>
      <c r="O72" s="544"/>
      <c r="P72" s="544"/>
      <c r="Q72" s="544"/>
      <c r="R72" s="544"/>
      <c r="S72" s="544"/>
    </row>
    <row r="73" spans="3:19" x14ac:dyDescent="0.3">
      <c r="C73" s="537" t="s">
        <v>157</v>
      </c>
      <c r="D73" s="537"/>
      <c r="E73" s="553"/>
      <c r="N73" s="544"/>
      <c r="O73" s="544"/>
      <c r="P73" s="544"/>
      <c r="Q73" s="544"/>
      <c r="R73" s="544"/>
      <c r="S73" s="544"/>
    </row>
    <row r="74" spans="3:19" x14ac:dyDescent="0.3">
      <c r="C74" s="533" t="s">
        <v>143</v>
      </c>
      <c r="E74" s="554">
        <v>1</v>
      </c>
      <c r="N74" s="544"/>
      <c r="O74" s="544"/>
      <c r="P74" s="544"/>
      <c r="Q74" s="544"/>
      <c r="R74" s="544"/>
      <c r="S74" s="544"/>
    </row>
    <row r="75" spans="3:19" x14ac:dyDescent="0.3">
      <c r="C75" s="533" t="s">
        <v>144</v>
      </c>
      <c r="E75" s="554">
        <v>1</v>
      </c>
      <c r="N75" s="544"/>
      <c r="O75" s="544"/>
      <c r="P75" s="544"/>
      <c r="Q75" s="544"/>
      <c r="R75" s="544"/>
      <c r="S75" s="544"/>
    </row>
    <row r="76" spans="3:19" x14ac:dyDescent="0.3">
      <c r="C76" s="533" t="s">
        <v>145</v>
      </c>
      <c r="E76" s="554">
        <v>1</v>
      </c>
      <c r="N76" s="544"/>
      <c r="O76" s="544"/>
      <c r="P76" s="544"/>
      <c r="Q76" s="544"/>
      <c r="R76" s="544"/>
      <c r="S76" s="544"/>
    </row>
    <row r="77" spans="3:19" x14ac:dyDescent="0.3">
      <c r="C77" s="533" t="s">
        <v>146</v>
      </c>
      <c r="E77" s="554">
        <v>1</v>
      </c>
      <c r="N77" s="544"/>
      <c r="O77" s="544"/>
      <c r="P77" s="544"/>
      <c r="Q77" s="544"/>
      <c r="R77" s="544"/>
      <c r="S77" s="544"/>
    </row>
    <row r="78" spans="3:19" x14ac:dyDescent="0.3">
      <c r="C78" s="533" t="s">
        <v>147</v>
      </c>
      <c r="E78" s="554">
        <v>1</v>
      </c>
      <c r="N78" s="544"/>
      <c r="O78" s="544"/>
      <c r="P78" s="544"/>
      <c r="Q78" s="544"/>
      <c r="R78" s="544"/>
      <c r="S78" s="544"/>
    </row>
    <row r="79" spans="3:19" x14ac:dyDescent="0.3">
      <c r="C79" s="533" t="s">
        <v>148</v>
      </c>
      <c r="E79" s="554">
        <v>1</v>
      </c>
      <c r="N79" s="544"/>
      <c r="O79" s="544"/>
      <c r="P79" s="544"/>
      <c r="Q79" s="544"/>
      <c r="R79" s="544"/>
      <c r="S79" s="544"/>
    </row>
    <row r="80" spans="3:19" x14ac:dyDescent="0.3">
      <c r="E80" s="554"/>
      <c r="N80" s="544"/>
      <c r="O80" s="544"/>
      <c r="P80" s="544"/>
      <c r="Q80" s="544"/>
      <c r="R80" s="544"/>
      <c r="S80" s="544"/>
    </row>
    <row r="81" spans="3:19" x14ac:dyDescent="0.3">
      <c r="C81" s="537" t="s">
        <v>156</v>
      </c>
      <c r="D81" s="537"/>
      <c r="E81" s="555"/>
      <c r="N81" s="544"/>
      <c r="O81" s="544"/>
      <c r="P81" s="544"/>
      <c r="Q81" s="544"/>
      <c r="R81" s="544"/>
      <c r="S81" s="544"/>
    </row>
    <row r="82" spans="3:19" x14ac:dyDescent="0.3">
      <c r="C82" s="533" t="s">
        <v>143</v>
      </c>
      <c r="E82" s="554">
        <v>0.7</v>
      </c>
      <c r="N82" s="544"/>
      <c r="O82" s="544"/>
      <c r="P82" s="544"/>
      <c r="Q82" s="544"/>
      <c r="R82" s="544"/>
      <c r="S82" s="544"/>
    </row>
    <row r="83" spans="3:19" x14ac:dyDescent="0.3">
      <c r="C83" s="533" t="s">
        <v>144</v>
      </c>
      <c r="E83" s="554">
        <v>0.68600000000000005</v>
      </c>
      <c r="N83" s="544"/>
      <c r="O83" s="544"/>
      <c r="P83" s="544"/>
      <c r="Q83" s="544"/>
      <c r="R83" s="544"/>
      <c r="S83" s="544"/>
    </row>
    <row r="84" spans="3:19" x14ac:dyDescent="0.3">
      <c r="C84" s="533" t="s">
        <v>145</v>
      </c>
      <c r="E84" s="554">
        <v>0.6</v>
      </c>
      <c r="N84" s="544"/>
      <c r="O84" s="544"/>
      <c r="P84" s="544"/>
      <c r="Q84" s="544"/>
      <c r="R84" s="544"/>
      <c r="S84" s="544"/>
    </row>
    <row r="85" spans="3:19" x14ac:dyDescent="0.3">
      <c r="C85" s="533" t="s">
        <v>146</v>
      </c>
      <c r="E85" s="554">
        <v>0.72</v>
      </c>
      <c r="N85" s="544"/>
      <c r="O85" s="544"/>
      <c r="P85" s="544"/>
      <c r="Q85" s="544"/>
      <c r="R85" s="544"/>
      <c r="S85" s="544"/>
    </row>
    <row r="86" spans="3:19" x14ac:dyDescent="0.3">
      <c r="C86" s="533" t="s">
        <v>147</v>
      </c>
      <c r="E86" s="554">
        <v>0.67100000000000004</v>
      </c>
      <c r="N86" s="544"/>
      <c r="O86" s="544"/>
      <c r="P86" s="544"/>
      <c r="Q86" s="544"/>
      <c r="R86" s="544"/>
      <c r="S86" s="544"/>
    </row>
    <row r="87" spans="3:19" x14ac:dyDescent="0.3">
      <c r="C87" s="533" t="s">
        <v>148</v>
      </c>
      <c r="E87" s="554">
        <v>0.72</v>
      </c>
      <c r="N87" s="544"/>
      <c r="O87" s="544"/>
      <c r="P87" s="544"/>
      <c r="Q87" s="544"/>
      <c r="R87" s="544"/>
      <c r="S87" s="544"/>
    </row>
    <row r="88" spans="3:19" x14ac:dyDescent="0.3">
      <c r="E88" s="555"/>
      <c r="N88" s="544"/>
      <c r="O88" s="544"/>
      <c r="P88" s="544"/>
      <c r="Q88" s="544"/>
      <c r="R88" s="544"/>
      <c r="S88" s="544"/>
    </row>
    <row r="89" spans="3:19" x14ac:dyDescent="0.3">
      <c r="E89" s="549"/>
      <c r="N89" s="544"/>
      <c r="O89" s="544"/>
      <c r="P89" s="544"/>
      <c r="Q89" s="544"/>
      <c r="R89" s="544"/>
      <c r="S89" s="544"/>
    </row>
    <row r="90" spans="3:19" x14ac:dyDescent="0.3">
      <c r="E90" s="549"/>
      <c r="N90" s="544"/>
      <c r="O90" s="544"/>
      <c r="P90" s="544"/>
      <c r="Q90" s="544"/>
      <c r="R90" s="544"/>
      <c r="S90" s="544"/>
    </row>
    <row r="91" spans="3:19" x14ac:dyDescent="0.3">
      <c r="C91" s="533" t="s">
        <v>209</v>
      </c>
    </row>
    <row r="92" spans="3:19" x14ac:dyDescent="0.3">
      <c r="C92" s="533" t="s">
        <v>11</v>
      </c>
      <c r="E92" s="530">
        <v>2000</v>
      </c>
    </row>
    <row r="93" spans="3:19" x14ac:dyDescent="0.3">
      <c r="C93" s="533" t="s">
        <v>12</v>
      </c>
      <c r="E93" s="530">
        <v>400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14"/>
  <sheetViews>
    <sheetView zoomScale="60" zoomScaleNormal="60" workbookViewId="0">
      <selection activeCell="D10" sqref="D10:M10"/>
    </sheetView>
  </sheetViews>
  <sheetFormatPr defaultRowHeight="14" x14ac:dyDescent="0.3"/>
  <cols>
    <col min="1" max="2" width="8.7265625" style="1"/>
    <col min="3" max="3" width="17.08984375" style="1" bestFit="1" customWidth="1"/>
    <col min="4" max="4" width="7.6328125" style="1" bestFit="1" customWidth="1"/>
    <col min="5" max="13" width="9.08984375" style="1" bestFit="1" customWidth="1"/>
    <col min="14" max="16384" width="8.7265625" style="1"/>
  </cols>
  <sheetData>
    <row r="3" spans="3:13" x14ac:dyDescent="0.3">
      <c r="D3" s="556" t="s">
        <v>2</v>
      </c>
      <c r="E3" s="556" t="s">
        <v>3</v>
      </c>
      <c r="F3" s="556" t="s">
        <v>4</v>
      </c>
      <c r="G3" s="556" t="s">
        <v>5</v>
      </c>
      <c r="H3" s="556" t="s">
        <v>6</v>
      </c>
      <c r="I3" s="556" t="s">
        <v>104</v>
      </c>
      <c r="J3" s="556" t="s">
        <v>105</v>
      </c>
      <c r="K3" s="556" t="s">
        <v>106</v>
      </c>
      <c r="L3" s="556" t="s">
        <v>107</v>
      </c>
      <c r="M3" s="556" t="s">
        <v>108</v>
      </c>
    </row>
    <row r="4" spans="3:13" x14ac:dyDescent="0.3">
      <c r="D4" s="557" t="s">
        <v>1</v>
      </c>
      <c r="E4" s="557" t="s">
        <v>1</v>
      </c>
      <c r="F4" s="557" t="s">
        <v>1</v>
      </c>
      <c r="G4" s="557" t="s">
        <v>1</v>
      </c>
      <c r="H4" s="557" t="s">
        <v>1</v>
      </c>
      <c r="I4" s="557" t="s">
        <v>1</v>
      </c>
      <c r="J4" s="557" t="s">
        <v>1</v>
      </c>
      <c r="K4" s="557" t="s">
        <v>1</v>
      </c>
      <c r="L4" s="557" t="s">
        <v>1</v>
      </c>
      <c r="M4" s="557" t="s">
        <v>1</v>
      </c>
    </row>
    <row r="5" spans="3:13" x14ac:dyDescent="0.3">
      <c r="C5" s="1" t="s">
        <v>260</v>
      </c>
      <c r="D5" s="559"/>
      <c r="E5" s="560">
        <v>1.1000000000000001</v>
      </c>
      <c r="F5" s="560">
        <v>1.1000000000000001</v>
      </c>
      <c r="G5" s="560">
        <v>1.1000000000000001</v>
      </c>
      <c r="H5" s="560">
        <v>1.1000000000000001</v>
      </c>
      <c r="I5" s="560">
        <v>1.1000000000000001</v>
      </c>
      <c r="J5" s="560">
        <v>1.1000000000000001</v>
      </c>
      <c r="K5" s="560">
        <v>1.1000000000000001</v>
      </c>
      <c r="L5" s="560">
        <v>1.1000000000000001</v>
      </c>
      <c r="M5" s="560">
        <v>1.1000000000000001</v>
      </c>
    </row>
    <row r="6" spans="3:13" x14ac:dyDescent="0.3">
      <c r="C6" s="1" t="s">
        <v>113</v>
      </c>
      <c r="D6" s="558">
        <f>'Parameters and Summary'!E70</f>
        <v>952.63900000000001</v>
      </c>
      <c r="E6" s="558">
        <f>D6*E5</f>
        <v>1047.9029</v>
      </c>
      <c r="F6" s="558">
        <f t="shared" ref="F6:M6" si="0">E6*F5</f>
        <v>1152.6931900000002</v>
      </c>
      <c r="G6" s="558">
        <f t="shared" si="0"/>
        <v>1267.9625090000004</v>
      </c>
      <c r="H6" s="558">
        <f t="shared" si="0"/>
        <v>1394.7587599000005</v>
      </c>
      <c r="I6" s="558">
        <f t="shared" si="0"/>
        <v>1534.2346358900006</v>
      </c>
      <c r="J6" s="558">
        <f t="shared" si="0"/>
        <v>1687.6580994790008</v>
      </c>
      <c r="K6" s="558">
        <f t="shared" si="0"/>
        <v>1856.423909426901</v>
      </c>
      <c r="L6" s="558">
        <f t="shared" si="0"/>
        <v>2042.0663003695913</v>
      </c>
      <c r="M6" s="558">
        <f t="shared" si="0"/>
        <v>2246.2729304065506</v>
      </c>
    </row>
    <row r="10" spans="3:13" x14ac:dyDescent="0.3">
      <c r="D10" s="558">
        <v>952.63900000000001</v>
      </c>
      <c r="E10" s="558">
        <v>1047.9029</v>
      </c>
      <c r="F10" s="558">
        <v>1152.6931900000002</v>
      </c>
      <c r="G10" s="558">
        <v>1267.9625090000004</v>
      </c>
      <c r="H10" s="558">
        <v>1394.7587599000005</v>
      </c>
      <c r="I10" s="558">
        <v>1534.2346358900006</v>
      </c>
      <c r="J10" s="558">
        <v>1687.6580994790008</v>
      </c>
      <c r="K10" s="558">
        <v>1856.423909426901</v>
      </c>
      <c r="L10" s="558">
        <v>2042.0663003695913</v>
      </c>
      <c r="M10" s="558">
        <v>2246.2729304065506</v>
      </c>
    </row>
    <row r="14" spans="3:13" x14ac:dyDescent="0.3">
      <c r="C14" s="1" t="s">
        <v>288</v>
      </c>
      <c r="D14" s="568">
        <v>0.05</v>
      </c>
      <c r="E14" s="568">
        <v>0.05</v>
      </c>
      <c r="F14" s="568">
        <v>0.05</v>
      </c>
      <c r="G14" s="568">
        <v>0.05</v>
      </c>
      <c r="H14" s="568">
        <v>0.05</v>
      </c>
      <c r="I14" s="568">
        <v>0.05</v>
      </c>
      <c r="J14" s="568">
        <v>0.05</v>
      </c>
      <c r="K14" s="568">
        <v>0.05</v>
      </c>
      <c r="L14" s="568">
        <v>0.05</v>
      </c>
      <c r="M14" s="568">
        <v>0.05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N77"/>
  <sheetViews>
    <sheetView zoomScale="90" zoomScaleNormal="90" workbookViewId="0">
      <pane xSplit="3" ySplit="7" topLeftCell="V31" activePane="bottomRight" state="frozen"/>
      <selection pane="topRight" activeCell="E1" sqref="E1"/>
      <selection pane="bottomLeft" activeCell="A8" sqref="A8"/>
      <selection pane="bottomRight" activeCell="AL68" sqref="AL68"/>
    </sheetView>
  </sheetViews>
  <sheetFormatPr defaultColWidth="9.1796875" defaultRowHeight="7" x14ac:dyDescent="0.15"/>
  <cols>
    <col min="1" max="1" width="4.54296875" style="224" bestFit="1" customWidth="1"/>
    <col min="2" max="2" width="3" style="224" customWidth="1"/>
    <col min="3" max="3" width="29.7265625" style="224" bestFit="1" customWidth="1"/>
    <col min="4" max="4" width="3.6328125" style="224" bestFit="1" customWidth="1"/>
    <col min="5" max="5" width="11.90625" style="265" bestFit="1" customWidth="1"/>
    <col min="6" max="6" width="4.81640625" style="265" bestFit="1" customWidth="1"/>
    <col min="7" max="7" width="9.453125" style="265" bestFit="1" customWidth="1"/>
    <col min="8" max="8" width="4.26953125" style="266" bestFit="1" customWidth="1"/>
    <col min="9" max="9" width="4.81640625" style="265" bestFit="1" customWidth="1"/>
    <col min="10" max="10" width="4" style="266" bestFit="1" customWidth="1"/>
    <col min="11" max="11" width="10.1796875" style="266" bestFit="1" customWidth="1"/>
    <col min="12" max="12" width="4.81640625" style="265" bestFit="1" customWidth="1"/>
    <col min="13" max="13" width="7.7265625" style="266" customWidth="1"/>
    <col min="14" max="14" width="10.1796875" style="266" bestFit="1" customWidth="1"/>
    <col min="15" max="15" width="4.81640625" style="265" bestFit="1" customWidth="1"/>
    <col min="16" max="16" width="7.7265625" style="266" bestFit="1" customWidth="1"/>
    <col min="17" max="17" width="10.1796875" style="224" bestFit="1" customWidth="1"/>
    <col min="18" max="18" width="4.81640625" style="265" bestFit="1" customWidth="1"/>
    <col min="19" max="19" width="8.453125" style="224" bestFit="1" customWidth="1"/>
    <col min="20" max="20" width="10.90625" style="224" bestFit="1" customWidth="1"/>
    <col min="21" max="21" width="4.81640625" style="265" bestFit="1" customWidth="1"/>
    <col min="22" max="22" width="8.453125" style="224" bestFit="1" customWidth="1"/>
    <col min="23" max="23" width="10.90625" style="224" bestFit="1" customWidth="1"/>
    <col min="24" max="24" width="4.81640625" style="265" bestFit="1" customWidth="1"/>
    <col min="25" max="25" width="8.453125" style="224" bestFit="1" customWidth="1"/>
    <col min="26" max="26" width="11.36328125" style="224" customWidth="1"/>
    <col min="27" max="27" width="4.81640625" style="265" bestFit="1" customWidth="1"/>
    <col min="28" max="28" width="8.90625" style="224" bestFit="1" customWidth="1"/>
    <col min="29" max="29" width="11.7265625" style="224" bestFit="1" customWidth="1"/>
    <col min="30" max="30" width="4.81640625" style="265" bestFit="1" customWidth="1"/>
    <col min="31" max="31" width="8.453125" style="224" bestFit="1" customWidth="1"/>
    <col min="32" max="32" width="11.7265625" style="224" bestFit="1" customWidth="1"/>
    <col min="33" max="33" width="4.81640625" style="265" bestFit="1" customWidth="1"/>
    <col min="34" max="34" width="9.08984375" style="224" bestFit="1" customWidth="1"/>
    <col min="35" max="35" width="11.54296875" style="224" bestFit="1" customWidth="1"/>
    <col min="36" max="36" width="4.81640625" style="265" bestFit="1" customWidth="1"/>
    <col min="37" max="37" width="9.08984375" style="224" bestFit="1" customWidth="1"/>
    <col min="38" max="38" width="11.36328125" style="224" bestFit="1" customWidth="1"/>
    <col min="39" max="39" width="4.81640625" style="265" bestFit="1" customWidth="1"/>
    <col min="40" max="40" width="8.90625" style="224" bestFit="1" customWidth="1"/>
    <col min="41" max="256" width="9.1796875" style="224"/>
    <col min="257" max="257" width="1.453125" style="224" bestFit="1" customWidth="1"/>
    <col min="258" max="258" width="6.1796875" style="224" customWidth="1"/>
    <col min="259" max="259" width="35.54296875" style="224" customWidth="1"/>
    <col min="260" max="260" width="5.7265625" style="224" customWidth="1"/>
    <col min="261" max="261" width="11.26953125" style="224" bestFit="1" customWidth="1"/>
    <col min="262" max="262" width="4.81640625" style="224" bestFit="1" customWidth="1"/>
    <col min="263" max="263" width="9.453125" style="224" bestFit="1" customWidth="1"/>
    <col min="264" max="264" width="4.08984375" style="224" bestFit="1" customWidth="1"/>
    <col min="265" max="265" width="4.81640625" style="224" bestFit="1" customWidth="1"/>
    <col min="266" max="266" width="4" style="224" bestFit="1" customWidth="1"/>
    <col min="267" max="267" width="10.26953125" style="224" bestFit="1" customWidth="1"/>
    <col min="268" max="268" width="4.81640625" style="224" bestFit="1" customWidth="1"/>
    <col min="269" max="269" width="8.453125" style="224" bestFit="1" customWidth="1"/>
    <col min="270" max="270" width="10.26953125" style="224" bestFit="1" customWidth="1"/>
    <col min="271" max="271" width="4.81640625" style="224" bestFit="1" customWidth="1"/>
    <col min="272" max="272" width="8.453125" style="224" bestFit="1" customWidth="1"/>
    <col min="273" max="273" width="10.26953125" style="224" bestFit="1" customWidth="1"/>
    <col min="274" max="274" width="4.81640625" style="224" bestFit="1" customWidth="1"/>
    <col min="275" max="275" width="8.453125" style="224" bestFit="1" customWidth="1"/>
    <col min="276" max="276" width="10.26953125" style="224" bestFit="1" customWidth="1"/>
    <col min="277" max="277" width="4.81640625" style="224" bestFit="1" customWidth="1"/>
    <col min="278" max="278" width="8.453125" style="224" bestFit="1" customWidth="1"/>
    <col min="279" max="279" width="10.26953125" style="224" bestFit="1" customWidth="1"/>
    <col min="280" max="280" width="4.81640625" style="224" bestFit="1" customWidth="1"/>
    <col min="281" max="281" width="8.453125" style="224" bestFit="1" customWidth="1"/>
    <col min="282" max="282" width="10.26953125" style="224" bestFit="1" customWidth="1"/>
    <col min="283" max="283" width="4.81640625" style="224" bestFit="1" customWidth="1"/>
    <col min="284" max="284" width="8.453125" style="224" bestFit="1" customWidth="1"/>
    <col min="285" max="285" width="10.26953125" style="224" bestFit="1" customWidth="1"/>
    <col min="286" max="286" width="4.81640625" style="224" bestFit="1" customWidth="1"/>
    <col min="287" max="287" width="8.453125" style="224" bestFit="1" customWidth="1"/>
    <col min="288" max="288" width="10.26953125" style="224" bestFit="1" customWidth="1"/>
    <col min="289" max="289" width="4.81640625" style="224" bestFit="1" customWidth="1"/>
    <col min="290" max="290" width="8.453125" style="224" bestFit="1" customWidth="1"/>
    <col min="291" max="291" width="10.26953125" style="224" bestFit="1" customWidth="1"/>
    <col min="292" max="292" width="4.81640625" style="224" bestFit="1" customWidth="1"/>
    <col min="293" max="293" width="8.453125" style="224" bestFit="1" customWidth="1"/>
    <col min="294" max="294" width="10.7265625" style="224" bestFit="1" customWidth="1"/>
    <col min="295" max="295" width="4.81640625" style="224" bestFit="1" customWidth="1"/>
    <col min="296" max="296" width="8.453125" style="224" bestFit="1" customWidth="1"/>
    <col min="297" max="512" width="9.1796875" style="224"/>
    <col min="513" max="513" width="1.453125" style="224" bestFit="1" customWidth="1"/>
    <col min="514" max="514" width="6.1796875" style="224" customWidth="1"/>
    <col min="515" max="515" width="35.54296875" style="224" customWidth="1"/>
    <col min="516" max="516" width="5.7265625" style="224" customWidth="1"/>
    <col min="517" max="517" width="11.26953125" style="224" bestFit="1" customWidth="1"/>
    <col min="518" max="518" width="4.81640625" style="224" bestFit="1" customWidth="1"/>
    <col min="519" max="519" width="9.453125" style="224" bestFit="1" customWidth="1"/>
    <col min="520" max="520" width="4.08984375" style="224" bestFit="1" customWidth="1"/>
    <col min="521" max="521" width="4.81640625" style="224" bestFit="1" customWidth="1"/>
    <col min="522" max="522" width="4" style="224" bestFit="1" customWidth="1"/>
    <col min="523" max="523" width="10.26953125" style="224" bestFit="1" customWidth="1"/>
    <col min="524" max="524" width="4.81640625" style="224" bestFit="1" customWidth="1"/>
    <col min="525" max="525" width="8.453125" style="224" bestFit="1" customWidth="1"/>
    <col min="526" max="526" width="10.26953125" style="224" bestFit="1" customWidth="1"/>
    <col min="527" max="527" width="4.81640625" style="224" bestFit="1" customWidth="1"/>
    <col min="528" max="528" width="8.453125" style="224" bestFit="1" customWidth="1"/>
    <col min="529" max="529" width="10.26953125" style="224" bestFit="1" customWidth="1"/>
    <col min="530" max="530" width="4.81640625" style="224" bestFit="1" customWidth="1"/>
    <col min="531" max="531" width="8.453125" style="224" bestFit="1" customWidth="1"/>
    <col min="532" max="532" width="10.26953125" style="224" bestFit="1" customWidth="1"/>
    <col min="533" max="533" width="4.81640625" style="224" bestFit="1" customWidth="1"/>
    <col min="534" max="534" width="8.453125" style="224" bestFit="1" customWidth="1"/>
    <col min="535" max="535" width="10.26953125" style="224" bestFit="1" customWidth="1"/>
    <col min="536" max="536" width="4.81640625" style="224" bestFit="1" customWidth="1"/>
    <col min="537" max="537" width="8.453125" style="224" bestFit="1" customWidth="1"/>
    <col min="538" max="538" width="10.26953125" style="224" bestFit="1" customWidth="1"/>
    <col min="539" max="539" width="4.81640625" style="224" bestFit="1" customWidth="1"/>
    <col min="540" max="540" width="8.453125" style="224" bestFit="1" customWidth="1"/>
    <col min="541" max="541" width="10.26953125" style="224" bestFit="1" customWidth="1"/>
    <col min="542" max="542" width="4.81640625" style="224" bestFit="1" customWidth="1"/>
    <col min="543" max="543" width="8.453125" style="224" bestFit="1" customWidth="1"/>
    <col min="544" max="544" width="10.26953125" style="224" bestFit="1" customWidth="1"/>
    <col min="545" max="545" width="4.81640625" style="224" bestFit="1" customWidth="1"/>
    <col min="546" max="546" width="8.453125" style="224" bestFit="1" customWidth="1"/>
    <col min="547" max="547" width="10.26953125" style="224" bestFit="1" customWidth="1"/>
    <col min="548" max="548" width="4.81640625" style="224" bestFit="1" customWidth="1"/>
    <col min="549" max="549" width="8.453125" style="224" bestFit="1" customWidth="1"/>
    <col min="550" max="550" width="10.7265625" style="224" bestFit="1" customWidth="1"/>
    <col min="551" max="551" width="4.81640625" style="224" bestFit="1" customWidth="1"/>
    <col min="552" max="552" width="8.453125" style="224" bestFit="1" customWidth="1"/>
    <col min="553" max="768" width="9.1796875" style="224"/>
    <col min="769" max="769" width="1.453125" style="224" bestFit="1" customWidth="1"/>
    <col min="770" max="770" width="6.1796875" style="224" customWidth="1"/>
    <col min="771" max="771" width="35.54296875" style="224" customWidth="1"/>
    <col min="772" max="772" width="5.7265625" style="224" customWidth="1"/>
    <col min="773" max="773" width="11.26953125" style="224" bestFit="1" customWidth="1"/>
    <col min="774" max="774" width="4.81640625" style="224" bestFit="1" customWidth="1"/>
    <col min="775" max="775" width="9.453125" style="224" bestFit="1" customWidth="1"/>
    <col min="776" max="776" width="4.08984375" style="224" bestFit="1" customWidth="1"/>
    <col min="777" max="777" width="4.81640625" style="224" bestFit="1" customWidth="1"/>
    <col min="778" max="778" width="4" style="224" bestFit="1" customWidth="1"/>
    <col min="779" max="779" width="10.26953125" style="224" bestFit="1" customWidth="1"/>
    <col min="780" max="780" width="4.81640625" style="224" bestFit="1" customWidth="1"/>
    <col min="781" max="781" width="8.453125" style="224" bestFit="1" customWidth="1"/>
    <col min="782" max="782" width="10.26953125" style="224" bestFit="1" customWidth="1"/>
    <col min="783" max="783" width="4.81640625" style="224" bestFit="1" customWidth="1"/>
    <col min="784" max="784" width="8.453125" style="224" bestFit="1" customWidth="1"/>
    <col min="785" max="785" width="10.26953125" style="224" bestFit="1" customWidth="1"/>
    <col min="786" max="786" width="4.81640625" style="224" bestFit="1" customWidth="1"/>
    <col min="787" max="787" width="8.453125" style="224" bestFit="1" customWidth="1"/>
    <col min="788" max="788" width="10.26953125" style="224" bestFit="1" customWidth="1"/>
    <col min="789" max="789" width="4.81640625" style="224" bestFit="1" customWidth="1"/>
    <col min="790" max="790" width="8.453125" style="224" bestFit="1" customWidth="1"/>
    <col min="791" max="791" width="10.26953125" style="224" bestFit="1" customWidth="1"/>
    <col min="792" max="792" width="4.81640625" style="224" bestFit="1" customWidth="1"/>
    <col min="793" max="793" width="8.453125" style="224" bestFit="1" customWidth="1"/>
    <col min="794" max="794" width="10.26953125" style="224" bestFit="1" customWidth="1"/>
    <col min="795" max="795" width="4.81640625" style="224" bestFit="1" customWidth="1"/>
    <col min="796" max="796" width="8.453125" style="224" bestFit="1" customWidth="1"/>
    <col min="797" max="797" width="10.26953125" style="224" bestFit="1" customWidth="1"/>
    <col min="798" max="798" width="4.81640625" style="224" bestFit="1" customWidth="1"/>
    <col min="799" max="799" width="8.453125" style="224" bestFit="1" customWidth="1"/>
    <col min="800" max="800" width="10.26953125" style="224" bestFit="1" customWidth="1"/>
    <col min="801" max="801" width="4.81640625" style="224" bestFit="1" customWidth="1"/>
    <col min="802" max="802" width="8.453125" style="224" bestFit="1" customWidth="1"/>
    <col min="803" max="803" width="10.26953125" style="224" bestFit="1" customWidth="1"/>
    <col min="804" max="804" width="4.81640625" style="224" bestFit="1" customWidth="1"/>
    <col min="805" max="805" width="8.453125" style="224" bestFit="1" customWidth="1"/>
    <col min="806" max="806" width="10.7265625" style="224" bestFit="1" customWidth="1"/>
    <col min="807" max="807" width="4.81640625" style="224" bestFit="1" customWidth="1"/>
    <col min="808" max="808" width="8.453125" style="224" bestFit="1" customWidth="1"/>
    <col min="809" max="1024" width="9.1796875" style="224"/>
    <col min="1025" max="1025" width="1.453125" style="224" bestFit="1" customWidth="1"/>
    <col min="1026" max="1026" width="6.1796875" style="224" customWidth="1"/>
    <col min="1027" max="1027" width="35.54296875" style="224" customWidth="1"/>
    <col min="1028" max="1028" width="5.7265625" style="224" customWidth="1"/>
    <col min="1029" max="1029" width="11.26953125" style="224" bestFit="1" customWidth="1"/>
    <col min="1030" max="1030" width="4.81640625" style="224" bestFit="1" customWidth="1"/>
    <col min="1031" max="1031" width="9.453125" style="224" bestFit="1" customWidth="1"/>
    <col min="1032" max="1032" width="4.08984375" style="224" bestFit="1" customWidth="1"/>
    <col min="1033" max="1033" width="4.81640625" style="224" bestFit="1" customWidth="1"/>
    <col min="1034" max="1034" width="4" style="224" bestFit="1" customWidth="1"/>
    <col min="1035" max="1035" width="10.26953125" style="224" bestFit="1" customWidth="1"/>
    <col min="1036" max="1036" width="4.81640625" style="224" bestFit="1" customWidth="1"/>
    <col min="1037" max="1037" width="8.453125" style="224" bestFit="1" customWidth="1"/>
    <col min="1038" max="1038" width="10.26953125" style="224" bestFit="1" customWidth="1"/>
    <col min="1039" max="1039" width="4.81640625" style="224" bestFit="1" customWidth="1"/>
    <col min="1040" max="1040" width="8.453125" style="224" bestFit="1" customWidth="1"/>
    <col min="1041" max="1041" width="10.26953125" style="224" bestFit="1" customWidth="1"/>
    <col min="1042" max="1042" width="4.81640625" style="224" bestFit="1" customWidth="1"/>
    <col min="1043" max="1043" width="8.453125" style="224" bestFit="1" customWidth="1"/>
    <col min="1044" max="1044" width="10.26953125" style="224" bestFit="1" customWidth="1"/>
    <col min="1045" max="1045" width="4.81640625" style="224" bestFit="1" customWidth="1"/>
    <col min="1046" max="1046" width="8.453125" style="224" bestFit="1" customWidth="1"/>
    <col min="1047" max="1047" width="10.26953125" style="224" bestFit="1" customWidth="1"/>
    <col min="1048" max="1048" width="4.81640625" style="224" bestFit="1" customWidth="1"/>
    <col min="1049" max="1049" width="8.453125" style="224" bestFit="1" customWidth="1"/>
    <col min="1050" max="1050" width="10.26953125" style="224" bestFit="1" customWidth="1"/>
    <col min="1051" max="1051" width="4.81640625" style="224" bestFit="1" customWidth="1"/>
    <col min="1052" max="1052" width="8.453125" style="224" bestFit="1" customWidth="1"/>
    <col min="1053" max="1053" width="10.26953125" style="224" bestFit="1" customWidth="1"/>
    <col min="1054" max="1054" width="4.81640625" style="224" bestFit="1" customWidth="1"/>
    <col min="1055" max="1055" width="8.453125" style="224" bestFit="1" customWidth="1"/>
    <col min="1056" max="1056" width="10.26953125" style="224" bestFit="1" customWidth="1"/>
    <col min="1057" max="1057" width="4.81640625" style="224" bestFit="1" customWidth="1"/>
    <col min="1058" max="1058" width="8.453125" style="224" bestFit="1" customWidth="1"/>
    <col min="1059" max="1059" width="10.26953125" style="224" bestFit="1" customWidth="1"/>
    <col min="1060" max="1060" width="4.81640625" style="224" bestFit="1" customWidth="1"/>
    <col min="1061" max="1061" width="8.453125" style="224" bestFit="1" customWidth="1"/>
    <col min="1062" max="1062" width="10.7265625" style="224" bestFit="1" customWidth="1"/>
    <col min="1063" max="1063" width="4.81640625" style="224" bestFit="1" customWidth="1"/>
    <col min="1064" max="1064" width="8.453125" style="224" bestFit="1" customWidth="1"/>
    <col min="1065" max="1280" width="9.1796875" style="224"/>
    <col min="1281" max="1281" width="1.453125" style="224" bestFit="1" customWidth="1"/>
    <col min="1282" max="1282" width="6.1796875" style="224" customWidth="1"/>
    <col min="1283" max="1283" width="35.54296875" style="224" customWidth="1"/>
    <col min="1284" max="1284" width="5.7265625" style="224" customWidth="1"/>
    <col min="1285" max="1285" width="11.26953125" style="224" bestFit="1" customWidth="1"/>
    <col min="1286" max="1286" width="4.81640625" style="224" bestFit="1" customWidth="1"/>
    <col min="1287" max="1287" width="9.453125" style="224" bestFit="1" customWidth="1"/>
    <col min="1288" max="1288" width="4.08984375" style="224" bestFit="1" customWidth="1"/>
    <col min="1289" max="1289" width="4.81640625" style="224" bestFit="1" customWidth="1"/>
    <col min="1290" max="1290" width="4" style="224" bestFit="1" customWidth="1"/>
    <col min="1291" max="1291" width="10.26953125" style="224" bestFit="1" customWidth="1"/>
    <col min="1292" max="1292" width="4.81640625" style="224" bestFit="1" customWidth="1"/>
    <col min="1293" max="1293" width="8.453125" style="224" bestFit="1" customWidth="1"/>
    <col min="1294" max="1294" width="10.26953125" style="224" bestFit="1" customWidth="1"/>
    <col min="1295" max="1295" width="4.81640625" style="224" bestFit="1" customWidth="1"/>
    <col min="1296" max="1296" width="8.453125" style="224" bestFit="1" customWidth="1"/>
    <col min="1297" max="1297" width="10.26953125" style="224" bestFit="1" customWidth="1"/>
    <col min="1298" max="1298" width="4.81640625" style="224" bestFit="1" customWidth="1"/>
    <col min="1299" max="1299" width="8.453125" style="224" bestFit="1" customWidth="1"/>
    <col min="1300" max="1300" width="10.26953125" style="224" bestFit="1" customWidth="1"/>
    <col min="1301" max="1301" width="4.81640625" style="224" bestFit="1" customWidth="1"/>
    <col min="1302" max="1302" width="8.453125" style="224" bestFit="1" customWidth="1"/>
    <col min="1303" max="1303" width="10.26953125" style="224" bestFit="1" customWidth="1"/>
    <col min="1304" max="1304" width="4.81640625" style="224" bestFit="1" customWidth="1"/>
    <col min="1305" max="1305" width="8.453125" style="224" bestFit="1" customWidth="1"/>
    <col min="1306" max="1306" width="10.26953125" style="224" bestFit="1" customWidth="1"/>
    <col min="1307" max="1307" width="4.81640625" style="224" bestFit="1" customWidth="1"/>
    <col min="1308" max="1308" width="8.453125" style="224" bestFit="1" customWidth="1"/>
    <col min="1309" max="1309" width="10.26953125" style="224" bestFit="1" customWidth="1"/>
    <col min="1310" max="1310" width="4.81640625" style="224" bestFit="1" customWidth="1"/>
    <col min="1311" max="1311" width="8.453125" style="224" bestFit="1" customWidth="1"/>
    <col min="1312" max="1312" width="10.26953125" style="224" bestFit="1" customWidth="1"/>
    <col min="1313" max="1313" width="4.81640625" style="224" bestFit="1" customWidth="1"/>
    <col min="1314" max="1314" width="8.453125" style="224" bestFit="1" customWidth="1"/>
    <col min="1315" max="1315" width="10.26953125" style="224" bestFit="1" customWidth="1"/>
    <col min="1316" max="1316" width="4.81640625" style="224" bestFit="1" customWidth="1"/>
    <col min="1317" max="1317" width="8.453125" style="224" bestFit="1" customWidth="1"/>
    <col min="1318" max="1318" width="10.7265625" style="224" bestFit="1" customWidth="1"/>
    <col min="1319" max="1319" width="4.81640625" style="224" bestFit="1" customWidth="1"/>
    <col min="1320" max="1320" width="8.453125" style="224" bestFit="1" customWidth="1"/>
    <col min="1321" max="1536" width="9.1796875" style="224"/>
    <col min="1537" max="1537" width="1.453125" style="224" bestFit="1" customWidth="1"/>
    <col min="1538" max="1538" width="6.1796875" style="224" customWidth="1"/>
    <col min="1539" max="1539" width="35.54296875" style="224" customWidth="1"/>
    <col min="1540" max="1540" width="5.7265625" style="224" customWidth="1"/>
    <col min="1541" max="1541" width="11.26953125" style="224" bestFit="1" customWidth="1"/>
    <col min="1542" max="1542" width="4.81640625" style="224" bestFit="1" customWidth="1"/>
    <col min="1543" max="1543" width="9.453125" style="224" bestFit="1" customWidth="1"/>
    <col min="1544" max="1544" width="4.08984375" style="224" bestFit="1" customWidth="1"/>
    <col min="1545" max="1545" width="4.81640625" style="224" bestFit="1" customWidth="1"/>
    <col min="1546" max="1546" width="4" style="224" bestFit="1" customWidth="1"/>
    <col min="1547" max="1547" width="10.26953125" style="224" bestFit="1" customWidth="1"/>
    <col min="1548" max="1548" width="4.81640625" style="224" bestFit="1" customWidth="1"/>
    <col min="1549" max="1549" width="8.453125" style="224" bestFit="1" customWidth="1"/>
    <col min="1550" max="1550" width="10.26953125" style="224" bestFit="1" customWidth="1"/>
    <col min="1551" max="1551" width="4.81640625" style="224" bestFit="1" customWidth="1"/>
    <col min="1552" max="1552" width="8.453125" style="224" bestFit="1" customWidth="1"/>
    <col min="1553" max="1553" width="10.26953125" style="224" bestFit="1" customWidth="1"/>
    <col min="1554" max="1554" width="4.81640625" style="224" bestFit="1" customWidth="1"/>
    <col min="1555" max="1555" width="8.453125" style="224" bestFit="1" customWidth="1"/>
    <col min="1556" max="1556" width="10.26953125" style="224" bestFit="1" customWidth="1"/>
    <col min="1557" max="1557" width="4.81640625" style="224" bestFit="1" customWidth="1"/>
    <col min="1558" max="1558" width="8.453125" style="224" bestFit="1" customWidth="1"/>
    <col min="1559" max="1559" width="10.26953125" style="224" bestFit="1" customWidth="1"/>
    <col min="1560" max="1560" width="4.81640625" style="224" bestFit="1" customWidth="1"/>
    <col min="1561" max="1561" width="8.453125" style="224" bestFit="1" customWidth="1"/>
    <col min="1562" max="1562" width="10.26953125" style="224" bestFit="1" customWidth="1"/>
    <col min="1563" max="1563" width="4.81640625" style="224" bestFit="1" customWidth="1"/>
    <col min="1564" max="1564" width="8.453125" style="224" bestFit="1" customWidth="1"/>
    <col min="1565" max="1565" width="10.26953125" style="224" bestFit="1" customWidth="1"/>
    <col min="1566" max="1566" width="4.81640625" style="224" bestFit="1" customWidth="1"/>
    <col min="1567" max="1567" width="8.453125" style="224" bestFit="1" customWidth="1"/>
    <col min="1568" max="1568" width="10.26953125" style="224" bestFit="1" customWidth="1"/>
    <col min="1569" max="1569" width="4.81640625" style="224" bestFit="1" customWidth="1"/>
    <col min="1570" max="1570" width="8.453125" style="224" bestFit="1" customWidth="1"/>
    <col min="1571" max="1571" width="10.26953125" style="224" bestFit="1" customWidth="1"/>
    <col min="1572" max="1572" width="4.81640625" style="224" bestFit="1" customWidth="1"/>
    <col min="1573" max="1573" width="8.453125" style="224" bestFit="1" customWidth="1"/>
    <col min="1574" max="1574" width="10.7265625" style="224" bestFit="1" customWidth="1"/>
    <col min="1575" max="1575" width="4.81640625" style="224" bestFit="1" customWidth="1"/>
    <col min="1576" max="1576" width="8.453125" style="224" bestFit="1" customWidth="1"/>
    <col min="1577" max="1792" width="9.1796875" style="224"/>
    <col min="1793" max="1793" width="1.453125" style="224" bestFit="1" customWidth="1"/>
    <col min="1794" max="1794" width="6.1796875" style="224" customWidth="1"/>
    <col min="1795" max="1795" width="35.54296875" style="224" customWidth="1"/>
    <col min="1796" max="1796" width="5.7265625" style="224" customWidth="1"/>
    <col min="1797" max="1797" width="11.26953125" style="224" bestFit="1" customWidth="1"/>
    <col min="1798" max="1798" width="4.81640625" style="224" bestFit="1" customWidth="1"/>
    <col min="1799" max="1799" width="9.453125" style="224" bestFit="1" customWidth="1"/>
    <col min="1800" max="1800" width="4.08984375" style="224" bestFit="1" customWidth="1"/>
    <col min="1801" max="1801" width="4.81640625" style="224" bestFit="1" customWidth="1"/>
    <col min="1802" max="1802" width="4" style="224" bestFit="1" customWidth="1"/>
    <col min="1803" max="1803" width="10.26953125" style="224" bestFit="1" customWidth="1"/>
    <col min="1804" max="1804" width="4.81640625" style="224" bestFit="1" customWidth="1"/>
    <col min="1805" max="1805" width="8.453125" style="224" bestFit="1" customWidth="1"/>
    <col min="1806" max="1806" width="10.26953125" style="224" bestFit="1" customWidth="1"/>
    <col min="1807" max="1807" width="4.81640625" style="224" bestFit="1" customWidth="1"/>
    <col min="1808" max="1808" width="8.453125" style="224" bestFit="1" customWidth="1"/>
    <col min="1809" max="1809" width="10.26953125" style="224" bestFit="1" customWidth="1"/>
    <col min="1810" max="1810" width="4.81640625" style="224" bestFit="1" customWidth="1"/>
    <col min="1811" max="1811" width="8.453125" style="224" bestFit="1" customWidth="1"/>
    <col min="1812" max="1812" width="10.26953125" style="224" bestFit="1" customWidth="1"/>
    <col min="1813" max="1813" width="4.81640625" style="224" bestFit="1" customWidth="1"/>
    <col min="1814" max="1814" width="8.453125" style="224" bestFit="1" customWidth="1"/>
    <col min="1815" max="1815" width="10.26953125" style="224" bestFit="1" customWidth="1"/>
    <col min="1816" max="1816" width="4.81640625" style="224" bestFit="1" customWidth="1"/>
    <col min="1817" max="1817" width="8.453125" style="224" bestFit="1" customWidth="1"/>
    <col min="1818" max="1818" width="10.26953125" style="224" bestFit="1" customWidth="1"/>
    <col min="1819" max="1819" width="4.81640625" style="224" bestFit="1" customWidth="1"/>
    <col min="1820" max="1820" width="8.453125" style="224" bestFit="1" customWidth="1"/>
    <col min="1821" max="1821" width="10.26953125" style="224" bestFit="1" customWidth="1"/>
    <col min="1822" max="1822" width="4.81640625" style="224" bestFit="1" customWidth="1"/>
    <col min="1823" max="1823" width="8.453125" style="224" bestFit="1" customWidth="1"/>
    <col min="1824" max="1824" width="10.26953125" style="224" bestFit="1" customWidth="1"/>
    <col min="1825" max="1825" width="4.81640625" style="224" bestFit="1" customWidth="1"/>
    <col min="1826" max="1826" width="8.453125" style="224" bestFit="1" customWidth="1"/>
    <col min="1827" max="1827" width="10.26953125" style="224" bestFit="1" customWidth="1"/>
    <col min="1828" max="1828" width="4.81640625" style="224" bestFit="1" customWidth="1"/>
    <col min="1829" max="1829" width="8.453125" style="224" bestFit="1" customWidth="1"/>
    <col min="1830" max="1830" width="10.7265625" style="224" bestFit="1" customWidth="1"/>
    <col min="1831" max="1831" width="4.81640625" style="224" bestFit="1" customWidth="1"/>
    <col min="1832" max="1832" width="8.453125" style="224" bestFit="1" customWidth="1"/>
    <col min="1833" max="2048" width="9.1796875" style="224"/>
    <col min="2049" max="2049" width="1.453125" style="224" bestFit="1" customWidth="1"/>
    <col min="2050" max="2050" width="6.1796875" style="224" customWidth="1"/>
    <col min="2051" max="2051" width="35.54296875" style="224" customWidth="1"/>
    <col min="2052" max="2052" width="5.7265625" style="224" customWidth="1"/>
    <col min="2053" max="2053" width="11.26953125" style="224" bestFit="1" customWidth="1"/>
    <col min="2054" max="2054" width="4.81640625" style="224" bestFit="1" customWidth="1"/>
    <col min="2055" max="2055" width="9.453125" style="224" bestFit="1" customWidth="1"/>
    <col min="2056" max="2056" width="4.08984375" style="224" bestFit="1" customWidth="1"/>
    <col min="2057" max="2057" width="4.81640625" style="224" bestFit="1" customWidth="1"/>
    <col min="2058" max="2058" width="4" style="224" bestFit="1" customWidth="1"/>
    <col min="2059" max="2059" width="10.26953125" style="224" bestFit="1" customWidth="1"/>
    <col min="2060" max="2060" width="4.81640625" style="224" bestFit="1" customWidth="1"/>
    <col min="2061" max="2061" width="8.453125" style="224" bestFit="1" customWidth="1"/>
    <col min="2062" max="2062" width="10.26953125" style="224" bestFit="1" customWidth="1"/>
    <col min="2063" max="2063" width="4.81640625" style="224" bestFit="1" customWidth="1"/>
    <col min="2064" max="2064" width="8.453125" style="224" bestFit="1" customWidth="1"/>
    <col min="2065" max="2065" width="10.26953125" style="224" bestFit="1" customWidth="1"/>
    <col min="2066" max="2066" width="4.81640625" style="224" bestFit="1" customWidth="1"/>
    <col min="2067" max="2067" width="8.453125" style="224" bestFit="1" customWidth="1"/>
    <col min="2068" max="2068" width="10.26953125" style="224" bestFit="1" customWidth="1"/>
    <col min="2069" max="2069" width="4.81640625" style="224" bestFit="1" customWidth="1"/>
    <col min="2070" max="2070" width="8.453125" style="224" bestFit="1" customWidth="1"/>
    <col min="2071" max="2071" width="10.26953125" style="224" bestFit="1" customWidth="1"/>
    <col min="2072" max="2072" width="4.81640625" style="224" bestFit="1" customWidth="1"/>
    <col min="2073" max="2073" width="8.453125" style="224" bestFit="1" customWidth="1"/>
    <col min="2074" max="2074" width="10.26953125" style="224" bestFit="1" customWidth="1"/>
    <col min="2075" max="2075" width="4.81640625" style="224" bestFit="1" customWidth="1"/>
    <col min="2076" max="2076" width="8.453125" style="224" bestFit="1" customWidth="1"/>
    <col min="2077" max="2077" width="10.26953125" style="224" bestFit="1" customWidth="1"/>
    <col min="2078" max="2078" width="4.81640625" style="224" bestFit="1" customWidth="1"/>
    <col min="2079" max="2079" width="8.453125" style="224" bestFit="1" customWidth="1"/>
    <col min="2080" max="2080" width="10.26953125" style="224" bestFit="1" customWidth="1"/>
    <col min="2081" max="2081" width="4.81640625" style="224" bestFit="1" customWidth="1"/>
    <col min="2082" max="2082" width="8.453125" style="224" bestFit="1" customWidth="1"/>
    <col min="2083" max="2083" width="10.26953125" style="224" bestFit="1" customWidth="1"/>
    <col min="2084" max="2084" width="4.81640625" style="224" bestFit="1" customWidth="1"/>
    <col min="2085" max="2085" width="8.453125" style="224" bestFit="1" customWidth="1"/>
    <col min="2086" max="2086" width="10.7265625" style="224" bestFit="1" customWidth="1"/>
    <col min="2087" max="2087" width="4.81640625" style="224" bestFit="1" customWidth="1"/>
    <col min="2088" max="2088" width="8.453125" style="224" bestFit="1" customWidth="1"/>
    <col min="2089" max="2304" width="9.1796875" style="224"/>
    <col min="2305" max="2305" width="1.453125" style="224" bestFit="1" customWidth="1"/>
    <col min="2306" max="2306" width="6.1796875" style="224" customWidth="1"/>
    <col min="2307" max="2307" width="35.54296875" style="224" customWidth="1"/>
    <col min="2308" max="2308" width="5.7265625" style="224" customWidth="1"/>
    <col min="2309" max="2309" width="11.26953125" style="224" bestFit="1" customWidth="1"/>
    <col min="2310" max="2310" width="4.81640625" style="224" bestFit="1" customWidth="1"/>
    <col min="2311" max="2311" width="9.453125" style="224" bestFit="1" customWidth="1"/>
    <col min="2312" max="2312" width="4.08984375" style="224" bestFit="1" customWidth="1"/>
    <col min="2313" max="2313" width="4.81640625" style="224" bestFit="1" customWidth="1"/>
    <col min="2314" max="2314" width="4" style="224" bestFit="1" customWidth="1"/>
    <col min="2315" max="2315" width="10.26953125" style="224" bestFit="1" customWidth="1"/>
    <col min="2316" max="2316" width="4.81640625" style="224" bestFit="1" customWidth="1"/>
    <col min="2317" max="2317" width="8.453125" style="224" bestFit="1" customWidth="1"/>
    <col min="2318" max="2318" width="10.26953125" style="224" bestFit="1" customWidth="1"/>
    <col min="2319" max="2319" width="4.81640625" style="224" bestFit="1" customWidth="1"/>
    <col min="2320" max="2320" width="8.453125" style="224" bestFit="1" customWidth="1"/>
    <col min="2321" max="2321" width="10.26953125" style="224" bestFit="1" customWidth="1"/>
    <col min="2322" max="2322" width="4.81640625" style="224" bestFit="1" customWidth="1"/>
    <col min="2323" max="2323" width="8.453125" style="224" bestFit="1" customWidth="1"/>
    <col min="2324" max="2324" width="10.26953125" style="224" bestFit="1" customWidth="1"/>
    <col min="2325" max="2325" width="4.81640625" style="224" bestFit="1" customWidth="1"/>
    <col min="2326" max="2326" width="8.453125" style="224" bestFit="1" customWidth="1"/>
    <col min="2327" max="2327" width="10.26953125" style="224" bestFit="1" customWidth="1"/>
    <col min="2328" max="2328" width="4.81640625" style="224" bestFit="1" customWidth="1"/>
    <col min="2329" max="2329" width="8.453125" style="224" bestFit="1" customWidth="1"/>
    <col min="2330" max="2330" width="10.26953125" style="224" bestFit="1" customWidth="1"/>
    <col min="2331" max="2331" width="4.81640625" style="224" bestFit="1" customWidth="1"/>
    <col min="2332" max="2332" width="8.453125" style="224" bestFit="1" customWidth="1"/>
    <col min="2333" max="2333" width="10.26953125" style="224" bestFit="1" customWidth="1"/>
    <col min="2334" max="2334" width="4.81640625" style="224" bestFit="1" customWidth="1"/>
    <col min="2335" max="2335" width="8.453125" style="224" bestFit="1" customWidth="1"/>
    <col min="2336" max="2336" width="10.26953125" style="224" bestFit="1" customWidth="1"/>
    <col min="2337" max="2337" width="4.81640625" style="224" bestFit="1" customWidth="1"/>
    <col min="2338" max="2338" width="8.453125" style="224" bestFit="1" customWidth="1"/>
    <col min="2339" max="2339" width="10.26953125" style="224" bestFit="1" customWidth="1"/>
    <col min="2340" max="2340" width="4.81640625" style="224" bestFit="1" customWidth="1"/>
    <col min="2341" max="2341" width="8.453125" style="224" bestFit="1" customWidth="1"/>
    <col min="2342" max="2342" width="10.7265625" style="224" bestFit="1" customWidth="1"/>
    <col min="2343" max="2343" width="4.81640625" style="224" bestFit="1" customWidth="1"/>
    <col min="2344" max="2344" width="8.453125" style="224" bestFit="1" customWidth="1"/>
    <col min="2345" max="2560" width="9.1796875" style="224"/>
    <col min="2561" max="2561" width="1.453125" style="224" bestFit="1" customWidth="1"/>
    <col min="2562" max="2562" width="6.1796875" style="224" customWidth="1"/>
    <col min="2563" max="2563" width="35.54296875" style="224" customWidth="1"/>
    <col min="2564" max="2564" width="5.7265625" style="224" customWidth="1"/>
    <col min="2565" max="2565" width="11.26953125" style="224" bestFit="1" customWidth="1"/>
    <col min="2566" max="2566" width="4.81640625" style="224" bestFit="1" customWidth="1"/>
    <col min="2567" max="2567" width="9.453125" style="224" bestFit="1" customWidth="1"/>
    <col min="2568" max="2568" width="4.08984375" style="224" bestFit="1" customWidth="1"/>
    <col min="2569" max="2569" width="4.81640625" style="224" bestFit="1" customWidth="1"/>
    <col min="2570" max="2570" width="4" style="224" bestFit="1" customWidth="1"/>
    <col min="2571" max="2571" width="10.26953125" style="224" bestFit="1" customWidth="1"/>
    <col min="2572" max="2572" width="4.81640625" style="224" bestFit="1" customWidth="1"/>
    <col min="2573" max="2573" width="8.453125" style="224" bestFit="1" customWidth="1"/>
    <col min="2574" max="2574" width="10.26953125" style="224" bestFit="1" customWidth="1"/>
    <col min="2575" max="2575" width="4.81640625" style="224" bestFit="1" customWidth="1"/>
    <col min="2576" max="2576" width="8.453125" style="224" bestFit="1" customWidth="1"/>
    <col min="2577" max="2577" width="10.26953125" style="224" bestFit="1" customWidth="1"/>
    <col min="2578" max="2578" width="4.81640625" style="224" bestFit="1" customWidth="1"/>
    <col min="2579" max="2579" width="8.453125" style="224" bestFit="1" customWidth="1"/>
    <col min="2580" max="2580" width="10.26953125" style="224" bestFit="1" customWidth="1"/>
    <col min="2581" max="2581" width="4.81640625" style="224" bestFit="1" customWidth="1"/>
    <col min="2582" max="2582" width="8.453125" style="224" bestFit="1" customWidth="1"/>
    <col min="2583" max="2583" width="10.26953125" style="224" bestFit="1" customWidth="1"/>
    <col min="2584" max="2584" width="4.81640625" style="224" bestFit="1" customWidth="1"/>
    <col min="2585" max="2585" width="8.453125" style="224" bestFit="1" customWidth="1"/>
    <col min="2586" max="2586" width="10.26953125" style="224" bestFit="1" customWidth="1"/>
    <col min="2587" max="2587" width="4.81640625" style="224" bestFit="1" customWidth="1"/>
    <col min="2588" max="2588" width="8.453125" style="224" bestFit="1" customWidth="1"/>
    <col min="2589" max="2589" width="10.26953125" style="224" bestFit="1" customWidth="1"/>
    <col min="2590" max="2590" width="4.81640625" style="224" bestFit="1" customWidth="1"/>
    <col min="2591" max="2591" width="8.453125" style="224" bestFit="1" customWidth="1"/>
    <col min="2592" max="2592" width="10.26953125" style="224" bestFit="1" customWidth="1"/>
    <col min="2593" max="2593" width="4.81640625" style="224" bestFit="1" customWidth="1"/>
    <col min="2594" max="2594" width="8.453125" style="224" bestFit="1" customWidth="1"/>
    <col min="2595" max="2595" width="10.26953125" style="224" bestFit="1" customWidth="1"/>
    <col min="2596" max="2596" width="4.81640625" style="224" bestFit="1" customWidth="1"/>
    <col min="2597" max="2597" width="8.453125" style="224" bestFit="1" customWidth="1"/>
    <col min="2598" max="2598" width="10.7265625" style="224" bestFit="1" customWidth="1"/>
    <col min="2599" max="2599" width="4.81640625" style="224" bestFit="1" customWidth="1"/>
    <col min="2600" max="2600" width="8.453125" style="224" bestFit="1" customWidth="1"/>
    <col min="2601" max="2816" width="9.1796875" style="224"/>
    <col min="2817" max="2817" width="1.453125" style="224" bestFit="1" customWidth="1"/>
    <col min="2818" max="2818" width="6.1796875" style="224" customWidth="1"/>
    <col min="2819" max="2819" width="35.54296875" style="224" customWidth="1"/>
    <col min="2820" max="2820" width="5.7265625" style="224" customWidth="1"/>
    <col min="2821" max="2821" width="11.26953125" style="224" bestFit="1" customWidth="1"/>
    <col min="2822" max="2822" width="4.81640625" style="224" bestFit="1" customWidth="1"/>
    <col min="2823" max="2823" width="9.453125" style="224" bestFit="1" customWidth="1"/>
    <col min="2824" max="2824" width="4.08984375" style="224" bestFit="1" customWidth="1"/>
    <col min="2825" max="2825" width="4.81640625" style="224" bestFit="1" customWidth="1"/>
    <col min="2826" max="2826" width="4" style="224" bestFit="1" customWidth="1"/>
    <col min="2827" max="2827" width="10.26953125" style="224" bestFit="1" customWidth="1"/>
    <col min="2828" max="2828" width="4.81640625" style="224" bestFit="1" customWidth="1"/>
    <col min="2829" max="2829" width="8.453125" style="224" bestFit="1" customWidth="1"/>
    <col min="2830" max="2830" width="10.26953125" style="224" bestFit="1" customWidth="1"/>
    <col min="2831" max="2831" width="4.81640625" style="224" bestFit="1" customWidth="1"/>
    <col min="2832" max="2832" width="8.453125" style="224" bestFit="1" customWidth="1"/>
    <col min="2833" max="2833" width="10.26953125" style="224" bestFit="1" customWidth="1"/>
    <col min="2834" max="2834" width="4.81640625" style="224" bestFit="1" customWidth="1"/>
    <col min="2835" max="2835" width="8.453125" style="224" bestFit="1" customWidth="1"/>
    <col min="2836" max="2836" width="10.26953125" style="224" bestFit="1" customWidth="1"/>
    <col min="2837" max="2837" width="4.81640625" style="224" bestFit="1" customWidth="1"/>
    <col min="2838" max="2838" width="8.453125" style="224" bestFit="1" customWidth="1"/>
    <col min="2839" max="2839" width="10.26953125" style="224" bestFit="1" customWidth="1"/>
    <col min="2840" max="2840" width="4.81640625" style="224" bestFit="1" customWidth="1"/>
    <col min="2841" max="2841" width="8.453125" style="224" bestFit="1" customWidth="1"/>
    <col min="2842" max="2842" width="10.26953125" style="224" bestFit="1" customWidth="1"/>
    <col min="2843" max="2843" width="4.81640625" style="224" bestFit="1" customWidth="1"/>
    <col min="2844" max="2844" width="8.453125" style="224" bestFit="1" customWidth="1"/>
    <col min="2845" max="2845" width="10.26953125" style="224" bestFit="1" customWidth="1"/>
    <col min="2846" max="2846" width="4.81640625" style="224" bestFit="1" customWidth="1"/>
    <col min="2847" max="2847" width="8.453125" style="224" bestFit="1" customWidth="1"/>
    <col min="2848" max="2848" width="10.26953125" style="224" bestFit="1" customWidth="1"/>
    <col min="2849" max="2849" width="4.81640625" style="224" bestFit="1" customWidth="1"/>
    <col min="2850" max="2850" width="8.453125" style="224" bestFit="1" customWidth="1"/>
    <col min="2851" max="2851" width="10.26953125" style="224" bestFit="1" customWidth="1"/>
    <col min="2852" max="2852" width="4.81640625" style="224" bestFit="1" customWidth="1"/>
    <col min="2853" max="2853" width="8.453125" style="224" bestFit="1" customWidth="1"/>
    <col min="2854" max="2854" width="10.7265625" style="224" bestFit="1" customWidth="1"/>
    <col min="2855" max="2855" width="4.81640625" style="224" bestFit="1" customWidth="1"/>
    <col min="2856" max="2856" width="8.453125" style="224" bestFit="1" customWidth="1"/>
    <col min="2857" max="3072" width="9.1796875" style="224"/>
    <col min="3073" max="3073" width="1.453125" style="224" bestFit="1" customWidth="1"/>
    <col min="3074" max="3074" width="6.1796875" style="224" customWidth="1"/>
    <col min="3075" max="3075" width="35.54296875" style="224" customWidth="1"/>
    <col min="3076" max="3076" width="5.7265625" style="224" customWidth="1"/>
    <col min="3077" max="3077" width="11.26953125" style="224" bestFit="1" customWidth="1"/>
    <col min="3078" max="3078" width="4.81640625" style="224" bestFit="1" customWidth="1"/>
    <col min="3079" max="3079" width="9.453125" style="224" bestFit="1" customWidth="1"/>
    <col min="3080" max="3080" width="4.08984375" style="224" bestFit="1" customWidth="1"/>
    <col min="3081" max="3081" width="4.81640625" style="224" bestFit="1" customWidth="1"/>
    <col min="3082" max="3082" width="4" style="224" bestFit="1" customWidth="1"/>
    <col min="3083" max="3083" width="10.26953125" style="224" bestFit="1" customWidth="1"/>
    <col min="3084" max="3084" width="4.81640625" style="224" bestFit="1" customWidth="1"/>
    <col min="3085" max="3085" width="8.453125" style="224" bestFit="1" customWidth="1"/>
    <col min="3086" max="3086" width="10.26953125" style="224" bestFit="1" customWidth="1"/>
    <col min="3087" max="3087" width="4.81640625" style="224" bestFit="1" customWidth="1"/>
    <col min="3088" max="3088" width="8.453125" style="224" bestFit="1" customWidth="1"/>
    <col min="3089" max="3089" width="10.26953125" style="224" bestFit="1" customWidth="1"/>
    <col min="3090" max="3090" width="4.81640625" style="224" bestFit="1" customWidth="1"/>
    <col min="3091" max="3091" width="8.453125" style="224" bestFit="1" customWidth="1"/>
    <col min="3092" max="3092" width="10.26953125" style="224" bestFit="1" customWidth="1"/>
    <col min="3093" max="3093" width="4.81640625" style="224" bestFit="1" customWidth="1"/>
    <col min="3094" max="3094" width="8.453125" style="224" bestFit="1" customWidth="1"/>
    <col min="3095" max="3095" width="10.26953125" style="224" bestFit="1" customWidth="1"/>
    <col min="3096" max="3096" width="4.81640625" style="224" bestFit="1" customWidth="1"/>
    <col min="3097" max="3097" width="8.453125" style="224" bestFit="1" customWidth="1"/>
    <col min="3098" max="3098" width="10.26953125" style="224" bestFit="1" customWidth="1"/>
    <col min="3099" max="3099" width="4.81640625" style="224" bestFit="1" customWidth="1"/>
    <col min="3100" max="3100" width="8.453125" style="224" bestFit="1" customWidth="1"/>
    <col min="3101" max="3101" width="10.26953125" style="224" bestFit="1" customWidth="1"/>
    <col min="3102" max="3102" width="4.81640625" style="224" bestFit="1" customWidth="1"/>
    <col min="3103" max="3103" width="8.453125" style="224" bestFit="1" customWidth="1"/>
    <col min="3104" max="3104" width="10.26953125" style="224" bestFit="1" customWidth="1"/>
    <col min="3105" max="3105" width="4.81640625" style="224" bestFit="1" customWidth="1"/>
    <col min="3106" max="3106" width="8.453125" style="224" bestFit="1" customWidth="1"/>
    <col min="3107" max="3107" width="10.26953125" style="224" bestFit="1" customWidth="1"/>
    <col min="3108" max="3108" width="4.81640625" style="224" bestFit="1" customWidth="1"/>
    <col min="3109" max="3109" width="8.453125" style="224" bestFit="1" customWidth="1"/>
    <col min="3110" max="3110" width="10.7265625" style="224" bestFit="1" customWidth="1"/>
    <col min="3111" max="3111" width="4.81640625" style="224" bestFit="1" customWidth="1"/>
    <col min="3112" max="3112" width="8.453125" style="224" bestFit="1" customWidth="1"/>
    <col min="3113" max="3328" width="9.1796875" style="224"/>
    <col min="3329" max="3329" width="1.453125" style="224" bestFit="1" customWidth="1"/>
    <col min="3330" max="3330" width="6.1796875" style="224" customWidth="1"/>
    <col min="3331" max="3331" width="35.54296875" style="224" customWidth="1"/>
    <col min="3332" max="3332" width="5.7265625" style="224" customWidth="1"/>
    <col min="3333" max="3333" width="11.26953125" style="224" bestFit="1" customWidth="1"/>
    <col min="3334" max="3334" width="4.81640625" style="224" bestFit="1" customWidth="1"/>
    <col min="3335" max="3335" width="9.453125" style="224" bestFit="1" customWidth="1"/>
    <col min="3336" max="3336" width="4.08984375" style="224" bestFit="1" customWidth="1"/>
    <col min="3337" max="3337" width="4.81640625" style="224" bestFit="1" customWidth="1"/>
    <col min="3338" max="3338" width="4" style="224" bestFit="1" customWidth="1"/>
    <col min="3339" max="3339" width="10.26953125" style="224" bestFit="1" customWidth="1"/>
    <col min="3340" max="3340" width="4.81640625" style="224" bestFit="1" customWidth="1"/>
    <col min="3341" max="3341" width="8.453125" style="224" bestFit="1" customWidth="1"/>
    <col min="3342" max="3342" width="10.26953125" style="224" bestFit="1" customWidth="1"/>
    <col min="3343" max="3343" width="4.81640625" style="224" bestFit="1" customWidth="1"/>
    <col min="3344" max="3344" width="8.453125" style="224" bestFit="1" customWidth="1"/>
    <col min="3345" max="3345" width="10.26953125" style="224" bestFit="1" customWidth="1"/>
    <col min="3346" max="3346" width="4.81640625" style="224" bestFit="1" customWidth="1"/>
    <col min="3347" max="3347" width="8.453125" style="224" bestFit="1" customWidth="1"/>
    <col min="3348" max="3348" width="10.26953125" style="224" bestFit="1" customWidth="1"/>
    <col min="3349" max="3349" width="4.81640625" style="224" bestFit="1" customWidth="1"/>
    <col min="3350" max="3350" width="8.453125" style="224" bestFit="1" customWidth="1"/>
    <col min="3351" max="3351" width="10.26953125" style="224" bestFit="1" customWidth="1"/>
    <col min="3352" max="3352" width="4.81640625" style="224" bestFit="1" customWidth="1"/>
    <col min="3353" max="3353" width="8.453125" style="224" bestFit="1" customWidth="1"/>
    <col min="3354" max="3354" width="10.26953125" style="224" bestFit="1" customWidth="1"/>
    <col min="3355" max="3355" width="4.81640625" style="224" bestFit="1" customWidth="1"/>
    <col min="3356" max="3356" width="8.453125" style="224" bestFit="1" customWidth="1"/>
    <col min="3357" max="3357" width="10.26953125" style="224" bestFit="1" customWidth="1"/>
    <col min="3358" max="3358" width="4.81640625" style="224" bestFit="1" customWidth="1"/>
    <col min="3359" max="3359" width="8.453125" style="224" bestFit="1" customWidth="1"/>
    <col min="3360" max="3360" width="10.26953125" style="224" bestFit="1" customWidth="1"/>
    <col min="3361" max="3361" width="4.81640625" style="224" bestFit="1" customWidth="1"/>
    <col min="3362" max="3362" width="8.453125" style="224" bestFit="1" customWidth="1"/>
    <col min="3363" max="3363" width="10.26953125" style="224" bestFit="1" customWidth="1"/>
    <col min="3364" max="3364" width="4.81640625" style="224" bestFit="1" customWidth="1"/>
    <col min="3365" max="3365" width="8.453125" style="224" bestFit="1" customWidth="1"/>
    <col min="3366" max="3366" width="10.7265625" style="224" bestFit="1" customWidth="1"/>
    <col min="3367" max="3367" width="4.81640625" style="224" bestFit="1" customWidth="1"/>
    <col min="3368" max="3368" width="8.453125" style="224" bestFit="1" customWidth="1"/>
    <col min="3369" max="3584" width="9.1796875" style="224"/>
    <col min="3585" max="3585" width="1.453125" style="224" bestFit="1" customWidth="1"/>
    <col min="3586" max="3586" width="6.1796875" style="224" customWidth="1"/>
    <col min="3587" max="3587" width="35.54296875" style="224" customWidth="1"/>
    <col min="3588" max="3588" width="5.7265625" style="224" customWidth="1"/>
    <col min="3589" max="3589" width="11.26953125" style="224" bestFit="1" customWidth="1"/>
    <col min="3590" max="3590" width="4.81640625" style="224" bestFit="1" customWidth="1"/>
    <col min="3591" max="3591" width="9.453125" style="224" bestFit="1" customWidth="1"/>
    <col min="3592" max="3592" width="4.08984375" style="224" bestFit="1" customWidth="1"/>
    <col min="3593" max="3593" width="4.81640625" style="224" bestFit="1" customWidth="1"/>
    <col min="3594" max="3594" width="4" style="224" bestFit="1" customWidth="1"/>
    <col min="3595" max="3595" width="10.26953125" style="224" bestFit="1" customWidth="1"/>
    <col min="3596" max="3596" width="4.81640625" style="224" bestFit="1" customWidth="1"/>
    <col min="3597" max="3597" width="8.453125" style="224" bestFit="1" customWidth="1"/>
    <col min="3598" max="3598" width="10.26953125" style="224" bestFit="1" customWidth="1"/>
    <col min="3599" max="3599" width="4.81640625" style="224" bestFit="1" customWidth="1"/>
    <col min="3600" max="3600" width="8.453125" style="224" bestFit="1" customWidth="1"/>
    <col min="3601" max="3601" width="10.26953125" style="224" bestFit="1" customWidth="1"/>
    <col min="3602" max="3602" width="4.81640625" style="224" bestFit="1" customWidth="1"/>
    <col min="3603" max="3603" width="8.453125" style="224" bestFit="1" customWidth="1"/>
    <col min="3604" max="3604" width="10.26953125" style="224" bestFit="1" customWidth="1"/>
    <col min="3605" max="3605" width="4.81640625" style="224" bestFit="1" customWidth="1"/>
    <col min="3606" max="3606" width="8.453125" style="224" bestFit="1" customWidth="1"/>
    <col min="3607" max="3607" width="10.26953125" style="224" bestFit="1" customWidth="1"/>
    <col min="3608" max="3608" width="4.81640625" style="224" bestFit="1" customWidth="1"/>
    <col min="3609" max="3609" width="8.453125" style="224" bestFit="1" customWidth="1"/>
    <col min="3610" max="3610" width="10.26953125" style="224" bestFit="1" customWidth="1"/>
    <col min="3611" max="3611" width="4.81640625" style="224" bestFit="1" customWidth="1"/>
    <col min="3612" max="3612" width="8.453125" style="224" bestFit="1" customWidth="1"/>
    <col min="3613" max="3613" width="10.26953125" style="224" bestFit="1" customWidth="1"/>
    <col min="3614" max="3614" width="4.81640625" style="224" bestFit="1" customWidth="1"/>
    <col min="3615" max="3615" width="8.453125" style="224" bestFit="1" customWidth="1"/>
    <col min="3616" max="3616" width="10.26953125" style="224" bestFit="1" customWidth="1"/>
    <col min="3617" max="3617" width="4.81640625" style="224" bestFit="1" customWidth="1"/>
    <col min="3618" max="3618" width="8.453125" style="224" bestFit="1" customWidth="1"/>
    <col min="3619" max="3619" width="10.26953125" style="224" bestFit="1" customWidth="1"/>
    <col min="3620" max="3620" width="4.81640625" style="224" bestFit="1" customWidth="1"/>
    <col min="3621" max="3621" width="8.453125" style="224" bestFit="1" customWidth="1"/>
    <col min="3622" max="3622" width="10.7265625" style="224" bestFit="1" customWidth="1"/>
    <col min="3623" max="3623" width="4.81640625" style="224" bestFit="1" customWidth="1"/>
    <col min="3624" max="3624" width="8.453125" style="224" bestFit="1" customWidth="1"/>
    <col min="3625" max="3840" width="9.1796875" style="224"/>
    <col min="3841" max="3841" width="1.453125" style="224" bestFit="1" customWidth="1"/>
    <col min="3842" max="3842" width="6.1796875" style="224" customWidth="1"/>
    <col min="3843" max="3843" width="35.54296875" style="224" customWidth="1"/>
    <col min="3844" max="3844" width="5.7265625" style="224" customWidth="1"/>
    <col min="3845" max="3845" width="11.26953125" style="224" bestFit="1" customWidth="1"/>
    <col min="3846" max="3846" width="4.81640625" style="224" bestFit="1" customWidth="1"/>
    <col min="3847" max="3847" width="9.453125" style="224" bestFit="1" customWidth="1"/>
    <col min="3848" max="3848" width="4.08984375" style="224" bestFit="1" customWidth="1"/>
    <col min="3849" max="3849" width="4.81640625" style="224" bestFit="1" customWidth="1"/>
    <col min="3850" max="3850" width="4" style="224" bestFit="1" customWidth="1"/>
    <col min="3851" max="3851" width="10.26953125" style="224" bestFit="1" customWidth="1"/>
    <col min="3852" max="3852" width="4.81640625" style="224" bestFit="1" customWidth="1"/>
    <col min="3853" max="3853" width="8.453125" style="224" bestFit="1" customWidth="1"/>
    <col min="3854" max="3854" width="10.26953125" style="224" bestFit="1" customWidth="1"/>
    <col min="3855" max="3855" width="4.81640625" style="224" bestFit="1" customWidth="1"/>
    <col min="3856" max="3856" width="8.453125" style="224" bestFit="1" customWidth="1"/>
    <col min="3857" max="3857" width="10.26953125" style="224" bestFit="1" customWidth="1"/>
    <col min="3858" max="3858" width="4.81640625" style="224" bestFit="1" customWidth="1"/>
    <col min="3859" max="3859" width="8.453125" style="224" bestFit="1" customWidth="1"/>
    <col min="3860" max="3860" width="10.26953125" style="224" bestFit="1" customWidth="1"/>
    <col min="3861" max="3861" width="4.81640625" style="224" bestFit="1" customWidth="1"/>
    <col min="3862" max="3862" width="8.453125" style="224" bestFit="1" customWidth="1"/>
    <col min="3863" max="3863" width="10.26953125" style="224" bestFit="1" customWidth="1"/>
    <col min="3864" max="3864" width="4.81640625" style="224" bestFit="1" customWidth="1"/>
    <col min="3865" max="3865" width="8.453125" style="224" bestFit="1" customWidth="1"/>
    <col min="3866" max="3866" width="10.26953125" style="224" bestFit="1" customWidth="1"/>
    <col min="3867" max="3867" width="4.81640625" style="224" bestFit="1" customWidth="1"/>
    <col min="3868" max="3868" width="8.453125" style="224" bestFit="1" customWidth="1"/>
    <col min="3869" max="3869" width="10.26953125" style="224" bestFit="1" customWidth="1"/>
    <col min="3870" max="3870" width="4.81640625" style="224" bestFit="1" customWidth="1"/>
    <col min="3871" max="3871" width="8.453125" style="224" bestFit="1" customWidth="1"/>
    <col min="3872" max="3872" width="10.26953125" style="224" bestFit="1" customWidth="1"/>
    <col min="3873" max="3873" width="4.81640625" style="224" bestFit="1" customWidth="1"/>
    <col min="3874" max="3874" width="8.453125" style="224" bestFit="1" customWidth="1"/>
    <col min="3875" max="3875" width="10.26953125" style="224" bestFit="1" customWidth="1"/>
    <col min="3876" max="3876" width="4.81640625" style="224" bestFit="1" customWidth="1"/>
    <col min="3877" max="3877" width="8.453125" style="224" bestFit="1" customWidth="1"/>
    <col min="3878" max="3878" width="10.7265625" style="224" bestFit="1" customWidth="1"/>
    <col min="3879" max="3879" width="4.81640625" style="224" bestFit="1" customWidth="1"/>
    <col min="3880" max="3880" width="8.453125" style="224" bestFit="1" customWidth="1"/>
    <col min="3881" max="4096" width="9.1796875" style="224"/>
    <col min="4097" max="4097" width="1.453125" style="224" bestFit="1" customWidth="1"/>
    <col min="4098" max="4098" width="6.1796875" style="224" customWidth="1"/>
    <col min="4099" max="4099" width="35.54296875" style="224" customWidth="1"/>
    <col min="4100" max="4100" width="5.7265625" style="224" customWidth="1"/>
    <col min="4101" max="4101" width="11.26953125" style="224" bestFit="1" customWidth="1"/>
    <col min="4102" max="4102" width="4.81640625" style="224" bestFit="1" customWidth="1"/>
    <col min="4103" max="4103" width="9.453125" style="224" bestFit="1" customWidth="1"/>
    <col min="4104" max="4104" width="4.08984375" style="224" bestFit="1" customWidth="1"/>
    <col min="4105" max="4105" width="4.81640625" style="224" bestFit="1" customWidth="1"/>
    <col min="4106" max="4106" width="4" style="224" bestFit="1" customWidth="1"/>
    <col min="4107" max="4107" width="10.26953125" style="224" bestFit="1" customWidth="1"/>
    <col min="4108" max="4108" width="4.81640625" style="224" bestFit="1" customWidth="1"/>
    <col min="4109" max="4109" width="8.453125" style="224" bestFit="1" customWidth="1"/>
    <col min="4110" max="4110" width="10.26953125" style="224" bestFit="1" customWidth="1"/>
    <col min="4111" max="4111" width="4.81640625" style="224" bestFit="1" customWidth="1"/>
    <col min="4112" max="4112" width="8.453125" style="224" bestFit="1" customWidth="1"/>
    <col min="4113" max="4113" width="10.26953125" style="224" bestFit="1" customWidth="1"/>
    <col min="4114" max="4114" width="4.81640625" style="224" bestFit="1" customWidth="1"/>
    <col min="4115" max="4115" width="8.453125" style="224" bestFit="1" customWidth="1"/>
    <col min="4116" max="4116" width="10.26953125" style="224" bestFit="1" customWidth="1"/>
    <col min="4117" max="4117" width="4.81640625" style="224" bestFit="1" customWidth="1"/>
    <col min="4118" max="4118" width="8.453125" style="224" bestFit="1" customWidth="1"/>
    <col min="4119" max="4119" width="10.26953125" style="224" bestFit="1" customWidth="1"/>
    <col min="4120" max="4120" width="4.81640625" style="224" bestFit="1" customWidth="1"/>
    <col min="4121" max="4121" width="8.453125" style="224" bestFit="1" customWidth="1"/>
    <col min="4122" max="4122" width="10.26953125" style="224" bestFit="1" customWidth="1"/>
    <col min="4123" max="4123" width="4.81640625" style="224" bestFit="1" customWidth="1"/>
    <col min="4124" max="4124" width="8.453125" style="224" bestFit="1" customWidth="1"/>
    <col min="4125" max="4125" width="10.26953125" style="224" bestFit="1" customWidth="1"/>
    <col min="4126" max="4126" width="4.81640625" style="224" bestFit="1" customWidth="1"/>
    <col min="4127" max="4127" width="8.453125" style="224" bestFit="1" customWidth="1"/>
    <col min="4128" max="4128" width="10.26953125" style="224" bestFit="1" customWidth="1"/>
    <col min="4129" max="4129" width="4.81640625" style="224" bestFit="1" customWidth="1"/>
    <col min="4130" max="4130" width="8.453125" style="224" bestFit="1" customWidth="1"/>
    <col min="4131" max="4131" width="10.26953125" style="224" bestFit="1" customWidth="1"/>
    <col min="4132" max="4132" width="4.81640625" style="224" bestFit="1" customWidth="1"/>
    <col min="4133" max="4133" width="8.453125" style="224" bestFit="1" customWidth="1"/>
    <col min="4134" max="4134" width="10.7265625" style="224" bestFit="1" customWidth="1"/>
    <col min="4135" max="4135" width="4.81640625" style="224" bestFit="1" customWidth="1"/>
    <col min="4136" max="4136" width="8.453125" style="224" bestFit="1" customWidth="1"/>
    <col min="4137" max="4352" width="9.1796875" style="224"/>
    <col min="4353" max="4353" width="1.453125" style="224" bestFit="1" customWidth="1"/>
    <col min="4354" max="4354" width="6.1796875" style="224" customWidth="1"/>
    <col min="4355" max="4355" width="35.54296875" style="224" customWidth="1"/>
    <col min="4356" max="4356" width="5.7265625" style="224" customWidth="1"/>
    <col min="4357" max="4357" width="11.26953125" style="224" bestFit="1" customWidth="1"/>
    <col min="4358" max="4358" width="4.81640625" style="224" bestFit="1" customWidth="1"/>
    <col min="4359" max="4359" width="9.453125" style="224" bestFit="1" customWidth="1"/>
    <col min="4360" max="4360" width="4.08984375" style="224" bestFit="1" customWidth="1"/>
    <col min="4361" max="4361" width="4.81640625" style="224" bestFit="1" customWidth="1"/>
    <col min="4362" max="4362" width="4" style="224" bestFit="1" customWidth="1"/>
    <col min="4363" max="4363" width="10.26953125" style="224" bestFit="1" customWidth="1"/>
    <col min="4364" max="4364" width="4.81640625" style="224" bestFit="1" customWidth="1"/>
    <col min="4365" max="4365" width="8.453125" style="224" bestFit="1" customWidth="1"/>
    <col min="4366" max="4366" width="10.26953125" style="224" bestFit="1" customWidth="1"/>
    <col min="4367" max="4367" width="4.81640625" style="224" bestFit="1" customWidth="1"/>
    <col min="4368" max="4368" width="8.453125" style="224" bestFit="1" customWidth="1"/>
    <col min="4369" max="4369" width="10.26953125" style="224" bestFit="1" customWidth="1"/>
    <col min="4370" max="4370" width="4.81640625" style="224" bestFit="1" customWidth="1"/>
    <col min="4371" max="4371" width="8.453125" style="224" bestFit="1" customWidth="1"/>
    <col min="4372" max="4372" width="10.26953125" style="224" bestFit="1" customWidth="1"/>
    <col min="4373" max="4373" width="4.81640625" style="224" bestFit="1" customWidth="1"/>
    <col min="4374" max="4374" width="8.453125" style="224" bestFit="1" customWidth="1"/>
    <col min="4375" max="4375" width="10.26953125" style="224" bestFit="1" customWidth="1"/>
    <col min="4376" max="4376" width="4.81640625" style="224" bestFit="1" customWidth="1"/>
    <col min="4377" max="4377" width="8.453125" style="224" bestFit="1" customWidth="1"/>
    <col min="4378" max="4378" width="10.26953125" style="224" bestFit="1" customWidth="1"/>
    <col min="4379" max="4379" width="4.81640625" style="224" bestFit="1" customWidth="1"/>
    <col min="4380" max="4380" width="8.453125" style="224" bestFit="1" customWidth="1"/>
    <col min="4381" max="4381" width="10.26953125" style="224" bestFit="1" customWidth="1"/>
    <col min="4382" max="4382" width="4.81640625" style="224" bestFit="1" customWidth="1"/>
    <col min="4383" max="4383" width="8.453125" style="224" bestFit="1" customWidth="1"/>
    <col min="4384" max="4384" width="10.26953125" style="224" bestFit="1" customWidth="1"/>
    <col min="4385" max="4385" width="4.81640625" style="224" bestFit="1" customWidth="1"/>
    <col min="4386" max="4386" width="8.453125" style="224" bestFit="1" customWidth="1"/>
    <col min="4387" max="4387" width="10.26953125" style="224" bestFit="1" customWidth="1"/>
    <col min="4388" max="4388" width="4.81640625" style="224" bestFit="1" customWidth="1"/>
    <col min="4389" max="4389" width="8.453125" style="224" bestFit="1" customWidth="1"/>
    <col min="4390" max="4390" width="10.7265625" style="224" bestFit="1" customWidth="1"/>
    <col min="4391" max="4391" width="4.81640625" style="224" bestFit="1" customWidth="1"/>
    <col min="4392" max="4392" width="8.453125" style="224" bestFit="1" customWidth="1"/>
    <col min="4393" max="4608" width="9.1796875" style="224"/>
    <col min="4609" max="4609" width="1.453125" style="224" bestFit="1" customWidth="1"/>
    <col min="4610" max="4610" width="6.1796875" style="224" customWidth="1"/>
    <col min="4611" max="4611" width="35.54296875" style="224" customWidth="1"/>
    <col min="4612" max="4612" width="5.7265625" style="224" customWidth="1"/>
    <col min="4613" max="4613" width="11.26953125" style="224" bestFit="1" customWidth="1"/>
    <col min="4614" max="4614" width="4.81640625" style="224" bestFit="1" customWidth="1"/>
    <col min="4615" max="4615" width="9.453125" style="224" bestFit="1" customWidth="1"/>
    <col min="4616" max="4616" width="4.08984375" style="224" bestFit="1" customWidth="1"/>
    <col min="4617" max="4617" width="4.81640625" style="224" bestFit="1" customWidth="1"/>
    <col min="4618" max="4618" width="4" style="224" bestFit="1" customWidth="1"/>
    <col min="4619" max="4619" width="10.26953125" style="224" bestFit="1" customWidth="1"/>
    <col min="4620" max="4620" width="4.81640625" style="224" bestFit="1" customWidth="1"/>
    <col min="4621" max="4621" width="8.453125" style="224" bestFit="1" customWidth="1"/>
    <col min="4622" max="4622" width="10.26953125" style="224" bestFit="1" customWidth="1"/>
    <col min="4623" max="4623" width="4.81640625" style="224" bestFit="1" customWidth="1"/>
    <col min="4624" max="4624" width="8.453125" style="224" bestFit="1" customWidth="1"/>
    <col min="4625" max="4625" width="10.26953125" style="224" bestFit="1" customWidth="1"/>
    <col min="4626" max="4626" width="4.81640625" style="224" bestFit="1" customWidth="1"/>
    <col min="4627" max="4627" width="8.453125" style="224" bestFit="1" customWidth="1"/>
    <col min="4628" max="4628" width="10.26953125" style="224" bestFit="1" customWidth="1"/>
    <col min="4629" max="4629" width="4.81640625" style="224" bestFit="1" customWidth="1"/>
    <col min="4630" max="4630" width="8.453125" style="224" bestFit="1" customWidth="1"/>
    <col min="4631" max="4631" width="10.26953125" style="224" bestFit="1" customWidth="1"/>
    <col min="4632" max="4632" width="4.81640625" style="224" bestFit="1" customWidth="1"/>
    <col min="4633" max="4633" width="8.453125" style="224" bestFit="1" customWidth="1"/>
    <col min="4634" max="4634" width="10.26953125" style="224" bestFit="1" customWidth="1"/>
    <col min="4635" max="4635" width="4.81640625" style="224" bestFit="1" customWidth="1"/>
    <col min="4636" max="4636" width="8.453125" style="224" bestFit="1" customWidth="1"/>
    <col min="4637" max="4637" width="10.26953125" style="224" bestFit="1" customWidth="1"/>
    <col min="4638" max="4638" width="4.81640625" style="224" bestFit="1" customWidth="1"/>
    <col min="4639" max="4639" width="8.453125" style="224" bestFit="1" customWidth="1"/>
    <col min="4640" max="4640" width="10.26953125" style="224" bestFit="1" customWidth="1"/>
    <col min="4641" max="4641" width="4.81640625" style="224" bestFit="1" customWidth="1"/>
    <col min="4642" max="4642" width="8.453125" style="224" bestFit="1" customWidth="1"/>
    <col min="4643" max="4643" width="10.26953125" style="224" bestFit="1" customWidth="1"/>
    <col min="4644" max="4644" width="4.81640625" style="224" bestFit="1" customWidth="1"/>
    <col min="4645" max="4645" width="8.453125" style="224" bestFit="1" customWidth="1"/>
    <col min="4646" max="4646" width="10.7265625" style="224" bestFit="1" customWidth="1"/>
    <col min="4647" max="4647" width="4.81640625" style="224" bestFit="1" customWidth="1"/>
    <col min="4648" max="4648" width="8.453125" style="224" bestFit="1" customWidth="1"/>
    <col min="4649" max="4864" width="9.1796875" style="224"/>
    <col min="4865" max="4865" width="1.453125" style="224" bestFit="1" customWidth="1"/>
    <col min="4866" max="4866" width="6.1796875" style="224" customWidth="1"/>
    <col min="4867" max="4867" width="35.54296875" style="224" customWidth="1"/>
    <col min="4868" max="4868" width="5.7265625" style="224" customWidth="1"/>
    <col min="4869" max="4869" width="11.26953125" style="224" bestFit="1" customWidth="1"/>
    <col min="4870" max="4870" width="4.81640625" style="224" bestFit="1" customWidth="1"/>
    <col min="4871" max="4871" width="9.453125" style="224" bestFit="1" customWidth="1"/>
    <col min="4872" max="4872" width="4.08984375" style="224" bestFit="1" customWidth="1"/>
    <col min="4873" max="4873" width="4.81640625" style="224" bestFit="1" customWidth="1"/>
    <col min="4874" max="4874" width="4" style="224" bestFit="1" customWidth="1"/>
    <col min="4875" max="4875" width="10.26953125" style="224" bestFit="1" customWidth="1"/>
    <col min="4876" max="4876" width="4.81640625" style="224" bestFit="1" customWidth="1"/>
    <col min="4877" max="4877" width="8.453125" style="224" bestFit="1" customWidth="1"/>
    <col min="4878" max="4878" width="10.26953125" style="224" bestFit="1" customWidth="1"/>
    <col min="4879" max="4879" width="4.81640625" style="224" bestFit="1" customWidth="1"/>
    <col min="4880" max="4880" width="8.453125" style="224" bestFit="1" customWidth="1"/>
    <col min="4881" max="4881" width="10.26953125" style="224" bestFit="1" customWidth="1"/>
    <col min="4882" max="4882" width="4.81640625" style="224" bestFit="1" customWidth="1"/>
    <col min="4883" max="4883" width="8.453125" style="224" bestFit="1" customWidth="1"/>
    <col min="4884" max="4884" width="10.26953125" style="224" bestFit="1" customWidth="1"/>
    <col min="4885" max="4885" width="4.81640625" style="224" bestFit="1" customWidth="1"/>
    <col min="4886" max="4886" width="8.453125" style="224" bestFit="1" customWidth="1"/>
    <col min="4887" max="4887" width="10.26953125" style="224" bestFit="1" customWidth="1"/>
    <col min="4888" max="4888" width="4.81640625" style="224" bestFit="1" customWidth="1"/>
    <col min="4889" max="4889" width="8.453125" style="224" bestFit="1" customWidth="1"/>
    <col min="4890" max="4890" width="10.26953125" style="224" bestFit="1" customWidth="1"/>
    <col min="4891" max="4891" width="4.81640625" style="224" bestFit="1" customWidth="1"/>
    <col min="4892" max="4892" width="8.453125" style="224" bestFit="1" customWidth="1"/>
    <col min="4893" max="4893" width="10.26953125" style="224" bestFit="1" customWidth="1"/>
    <col min="4894" max="4894" width="4.81640625" style="224" bestFit="1" customWidth="1"/>
    <col min="4895" max="4895" width="8.453125" style="224" bestFit="1" customWidth="1"/>
    <col min="4896" max="4896" width="10.26953125" style="224" bestFit="1" customWidth="1"/>
    <col min="4897" max="4897" width="4.81640625" style="224" bestFit="1" customWidth="1"/>
    <col min="4898" max="4898" width="8.453125" style="224" bestFit="1" customWidth="1"/>
    <col min="4899" max="4899" width="10.26953125" style="224" bestFit="1" customWidth="1"/>
    <col min="4900" max="4900" width="4.81640625" style="224" bestFit="1" customWidth="1"/>
    <col min="4901" max="4901" width="8.453125" style="224" bestFit="1" customWidth="1"/>
    <col min="4902" max="4902" width="10.7265625" style="224" bestFit="1" customWidth="1"/>
    <col min="4903" max="4903" width="4.81640625" style="224" bestFit="1" customWidth="1"/>
    <col min="4904" max="4904" width="8.453125" style="224" bestFit="1" customWidth="1"/>
    <col min="4905" max="5120" width="9.1796875" style="224"/>
    <col min="5121" max="5121" width="1.453125" style="224" bestFit="1" customWidth="1"/>
    <col min="5122" max="5122" width="6.1796875" style="224" customWidth="1"/>
    <col min="5123" max="5123" width="35.54296875" style="224" customWidth="1"/>
    <col min="5124" max="5124" width="5.7265625" style="224" customWidth="1"/>
    <col min="5125" max="5125" width="11.26953125" style="224" bestFit="1" customWidth="1"/>
    <col min="5126" max="5126" width="4.81640625" style="224" bestFit="1" customWidth="1"/>
    <col min="5127" max="5127" width="9.453125" style="224" bestFit="1" customWidth="1"/>
    <col min="5128" max="5128" width="4.08984375" style="224" bestFit="1" customWidth="1"/>
    <col min="5129" max="5129" width="4.81640625" style="224" bestFit="1" customWidth="1"/>
    <col min="5130" max="5130" width="4" style="224" bestFit="1" customWidth="1"/>
    <col min="5131" max="5131" width="10.26953125" style="224" bestFit="1" customWidth="1"/>
    <col min="5132" max="5132" width="4.81640625" style="224" bestFit="1" customWidth="1"/>
    <col min="5133" max="5133" width="8.453125" style="224" bestFit="1" customWidth="1"/>
    <col min="5134" max="5134" width="10.26953125" style="224" bestFit="1" customWidth="1"/>
    <col min="5135" max="5135" width="4.81640625" style="224" bestFit="1" customWidth="1"/>
    <col min="5136" max="5136" width="8.453125" style="224" bestFit="1" customWidth="1"/>
    <col min="5137" max="5137" width="10.26953125" style="224" bestFit="1" customWidth="1"/>
    <col min="5138" max="5138" width="4.81640625" style="224" bestFit="1" customWidth="1"/>
    <col min="5139" max="5139" width="8.453125" style="224" bestFit="1" customWidth="1"/>
    <col min="5140" max="5140" width="10.26953125" style="224" bestFit="1" customWidth="1"/>
    <col min="5141" max="5141" width="4.81640625" style="224" bestFit="1" customWidth="1"/>
    <col min="5142" max="5142" width="8.453125" style="224" bestFit="1" customWidth="1"/>
    <col min="5143" max="5143" width="10.26953125" style="224" bestFit="1" customWidth="1"/>
    <col min="5144" max="5144" width="4.81640625" style="224" bestFit="1" customWidth="1"/>
    <col min="5145" max="5145" width="8.453125" style="224" bestFit="1" customWidth="1"/>
    <col min="5146" max="5146" width="10.26953125" style="224" bestFit="1" customWidth="1"/>
    <col min="5147" max="5147" width="4.81640625" style="224" bestFit="1" customWidth="1"/>
    <col min="5148" max="5148" width="8.453125" style="224" bestFit="1" customWidth="1"/>
    <col min="5149" max="5149" width="10.26953125" style="224" bestFit="1" customWidth="1"/>
    <col min="5150" max="5150" width="4.81640625" style="224" bestFit="1" customWidth="1"/>
    <col min="5151" max="5151" width="8.453125" style="224" bestFit="1" customWidth="1"/>
    <col min="5152" max="5152" width="10.26953125" style="224" bestFit="1" customWidth="1"/>
    <col min="5153" max="5153" width="4.81640625" style="224" bestFit="1" customWidth="1"/>
    <col min="5154" max="5154" width="8.453125" style="224" bestFit="1" customWidth="1"/>
    <col min="5155" max="5155" width="10.26953125" style="224" bestFit="1" customWidth="1"/>
    <col min="5156" max="5156" width="4.81640625" style="224" bestFit="1" customWidth="1"/>
    <col min="5157" max="5157" width="8.453125" style="224" bestFit="1" customWidth="1"/>
    <col min="5158" max="5158" width="10.7265625" style="224" bestFit="1" customWidth="1"/>
    <col min="5159" max="5159" width="4.81640625" style="224" bestFit="1" customWidth="1"/>
    <col min="5160" max="5160" width="8.453125" style="224" bestFit="1" customWidth="1"/>
    <col min="5161" max="5376" width="9.1796875" style="224"/>
    <col min="5377" max="5377" width="1.453125" style="224" bestFit="1" customWidth="1"/>
    <col min="5378" max="5378" width="6.1796875" style="224" customWidth="1"/>
    <col min="5379" max="5379" width="35.54296875" style="224" customWidth="1"/>
    <col min="5380" max="5380" width="5.7265625" style="224" customWidth="1"/>
    <col min="5381" max="5381" width="11.26953125" style="224" bestFit="1" customWidth="1"/>
    <col min="5382" max="5382" width="4.81640625" style="224" bestFit="1" customWidth="1"/>
    <col min="5383" max="5383" width="9.453125" style="224" bestFit="1" customWidth="1"/>
    <col min="5384" max="5384" width="4.08984375" style="224" bestFit="1" customWidth="1"/>
    <col min="5385" max="5385" width="4.81640625" style="224" bestFit="1" customWidth="1"/>
    <col min="5386" max="5386" width="4" style="224" bestFit="1" customWidth="1"/>
    <col min="5387" max="5387" width="10.26953125" style="224" bestFit="1" customWidth="1"/>
    <col min="5388" max="5388" width="4.81640625" style="224" bestFit="1" customWidth="1"/>
    <col min="5389" max="5389" width="8.453125" style="224" bestFit="1" customWidth="1"/>
    <col min="5390" max="5390" width="10.26953125" style="224" bestFit="1" customWidth="1"/>
    <col min="5391" max="5391" width="4.81640625" style="224" bestFit="1" customWidth="1"/>
    <col min="5392" max="5392" width="8.453125" style="224" bestFit="1" customWidth="1"/>
    <col min="5393" max="5393" width="10.26953125" style="224" bestFit="1" customWidth="1"/>
    <col min="5394" max="5394" width="4.81640625" style="224" bestFit="1" customWidth="1"/>
    <col min="5395" max="5395" width="8.453125" style="224" bestFit="1" customWidth="1"/>
    <col min="5396" max="5396" width="10.26953125" style="224" bestFit="1" customWidth="1"/>
    <col min="5397" max="5397" width="4.81640625" style="224" bestFit="1" customWidth="1"/>
    <col min="5398" max="5398" width="8.453125" style="224" bestFit="1" customWidth="1"/>
    <col min="5399" max="5399" width="10.26953125" style="224" bestFit="1" customWidth="1"/>
    <col min="5400" max="5400" width="4.81640625" style="224" bestFit="1" customWidth="1"/>
    <col min="5401" max="5401" width="8.453125" style="224" bestFit="1" customWidth="1"/>
    <col min="5402" max="5402" width="10.26953125" style="224" bestFit="1" customWidth="1"/>
    <col min="5403" max="5403" width="4.81640625" style="224" bestFit="1" customWidth="1"/>
    <col min="5404" max="5404" width="8.453125" style="224" bestFit="1" customWidth="1"/>
    <col min="5405" max="5405" width="10.26953125" style="224" bestFit="1" customWidth="1"/>
    <col min="5406" max="5406" width="4.81640625" style="224" bestFit="1" customWidth="1"/>
    <col min="5407" max="5407" width="8.453125" style="224" bestFit="1" customWidth="1"/>
    <col min="5408" max="5408" width="10.26953125" style="224" bestFit="1" customWidth="1"/>
    <col min="5409" max="5409" width="4.81640625" style="224" bestFit="1" customWidth="1"/>
    <col min="5410" max="5410" width="8.453125" style="224" bestFit="1" customWidth="1"/>
    <col min="5411" max="5411" width="10.26953125" style="224" bestFit="1" customWidth="1"/>
    <col min="5412" max="5412" width="4.81640625" style="224" bestFit="1" customWidth="1"/>
    <col min="5413" max="5413" width="8.453125" style="224" bestFit="1" customWidth="1"/>
    <col min="5414" max="5414" width="10.7265625" style="224" bestFit="1" customWidth="1"/>
    <col min="5415" max="5415" width="4.81640625" style="224" bestFit="1" customWidth="1"/>
    <col min="5416" max="5416" width="8.453125" style="224" bestFit="1" customWidth="1"/>
    <col min="5417" max="5632" width="9.1796875" style="224"/>
    <col min="5633" max="5633" width="1.453125" style="224" bestFit="1" customWidth="1"/>
    <col min="5634" max="5634" width="6.1796875" style="224" customWidth="1"/>
    <col min="5635" max="5635" width="35.54296875" style="224" customWidth="1"/>
    <col min="5636" max="5636" width="5.7265625" style="224" customWidth="1"/>
    <col min="5637" max="5637" width="11.26953125" style="224" bestFit="1" customWidth="1"/>
    <col min="5638" max="5638" width="4.81640625" style="224" bestFit="1" customWidth="1"/>
    <col min="5639" max="5639" width="9.453125" style="224" bestFit="1" customWidth="1"/>
    <col min="5640" max="5640" width="4.08984375" style="224" bestFit="1" customWidth="1"/>
    <col min="5641" max="5641" width="4.81640625" style="224" bestFit="1" customWidth="1"/>
    <col min="5642" max="5642" width="4" style="224" bestFit="1" customWidth="1"/>
    <col min="5643" max="5643" width="10.26953125" style="224" bestFit="1" customWidth="1"/>
    <col min="5644" max="5644" width="4.81640625" style="224" bestFit="1" customWidth="1"/>
    <col min="5645" max="5645" width="8.453125" style="224" bestFit="1" customWidth="1"/>
    <col min="5646" max="5646" width="10.26953125" style="224" bestFit="1" customWidth="1"/>
    <col min="5647" max="5647" width="4.81640625" style="224" bestFit="1" customWidth="1"/>
    <col min="5648" max="5648" width="8.453125" style="224" bestFit="1" customWidth="1"/>
    <col min="5649" max="5649" width="10.26953125" style="224" bestFit="1" customWidth="1"/>
    <col min="5650" max="5650" width="4.81640625" style="224" bestFit="1" customWidth="1"/>
    <col min="5651" max="5651" width="8.453125" style="224" bestFit="1" customWidth="1"/>
    <col min="5652" max="5652" width="10.26953125" style="224" bestFit="1" customWidth="1"/>
    <col min="5653" max="5653" width="4.81640625" style="224" bestFit="1" customWidth="1"/>
    <col min="5654" max="5654" width="8.453125" style="224" bestFit="1" customWidth="1"/>
    <col min="5655" max="5655" width="10.26953125" style="224" bestFit="1" customWidth="1"/>
    <col min="5656" max="5656" width="4.81640625" style="224" bestFit="1" customWidth="1"/>
    <col min="5657" max="5657" width="8.453125" style="224" bestFit="1" customWidth="1"/>
    <col min="5658" max="5658" width="10.26953125" style="224" bestFit="1" customWidth="1"/>
    <col min="5659" max="5659" width="4.81640625" style="224" bestFit="1" customWidth="1"/>
    <col min="5660" max="5660" width="8.453125" style="224" bestFit="1" customWidth="1"/>
    <col min="5661" max="5661" width="10.26953125" style="224" bestFit="1" customWidth="1"/>
    <col min="5662" max="5662" width="4.81640625" style="224" bestFit="1" customWidth="1"/>
    <col min="5663" max="5663" width="8.453125" style="224" bestFit="1" customWidth="1"/>
    <col min="5664" max="5664" width="10.26953125" style="224" bestFit="1" customWidth="1"/>
    <col min="5665" max="5665" width="4.81640625" style="224" bestFit="1" customWidth="1"/>
    <col min="5666" max="5666" width="8.453125" style="224" bestFit="1" customWidth="1"/>
    <col min="5667" max="5667" width="10.26953125" style="224" bestFit="1" customWidth="1"/>
    <col min="5668" max="5668" width="4.81640625" style="224" bestFit="1" customWidth="1"/>
    <col min="5669" max="5669" width="8.453125" style="224" bestFit="1" customWidth="1"/>
    <col min="5670" max="5670" width="10.7265625" style="224" bestFit="1" customWidth="1"/>
    <col min="5671" max="5671" width="4.81640625" style="224" bestFit="1" customWidth="1"/>
    <col min="5672" max="5672" width="8.453125" style="224" bestFit="1" customWidth="1"/>
    <col min="5673" max="5888" width="9.1796875" style="224"/>
    <col min="5889" max="5889" width="1.453125" style="224" bestFit="1" customWidth="1"/>
    <col min="5890" max="5890" width="6.1796875" style="224" customWidth="1"/>
    <col min="5891" max="5891" width="35.54296875" style="224" customWidth="1"/>
    <col min="5892" max="5892" width="5.7265625" style="224" customWidth="1"/>
    <col min="5893" max="5893" width="11.26953125" style="224" bestFit="1" customWidth="1"/>
    <col min="5894" max="5894" width="4.81640625" style="224" bestFit="1" customWidth="1"/>
    <col min="5895" max="5895" width="9.453125" style="224" bestFit="1" customWidth="1"/>
    <col min="5896" max="5896" width="4.08984375" style="224" bestFit="1" customWidth="1"/>
    <col min="5897" max="5897" width="4.81640625" style="224" bestFit="1" customWidth="1"/>
    <col min="5898" max="5898" width="4" style="224" bestFit="1" customWidth="1"/>
    <col min="5899" max="5899" width="10.26953125" style="224" bestFit="1" customWidth="1"/>
    <col min="5900" max="5900" width="4.81640625" style="224" bestFit="1" customWidth="1"/>
    <col min="5901" max="5901" width="8.453125" style="224" bestFit="1" customWidth="1"/>
    <col min="5902" max="5902" width="10.26953125" style="224" bestFit="1" customWidth="1"/>
    <col min="5903" max="5903" width="4.81640625" style="224" bestFit="1" customWidth="1"/>
    <col min="5904" max="5904" width="8.453125" style="224" bestFit="1" customWidth="1"/>
    <col min="5905" max="5905" width="10.26953125" style="224" bestFit="1" customWidth="1"/>
    <col min="5906" max="5906" width="4.81640625" style="224" bestFit="1" customWidth="1"/>
    <col min="5907" max="5907" width="8.453125" style="224" bestFit="1" customWidth="1"/>
    <col min="5908" max="5908" width="10.26953125" style="224" bestFit="1" customWidth="1"/>
    <col min="5909" max="5909" width="4.81640625" style="224" bestFit="1" customWidth="1"/>
    <col min="5910" max="5910" width="8.453125" style="224" bestFit="1" customWidth="1"/>
    <col min="5911" max="5911" width="10.26953125" style="224" bestFit="1" customWidth="1"/>
    <col min="5912" max="5912" width="4.81640625" style="224" bestFit="1" customWidth="1"/>
    <col min="5913" max="5913" width="8.453125" style="224" bestFit="1" customWidth="1"/>
    <col min="5914" max="5914" width="10.26953125" style="224" bestFit="1" customWidth="1"/>
    <col min="5915" max="5915" width="4.81640625" style="224" bestFit="1" customWidth="1"/>
    <col min="5916" max="5916" width="8.453125" style="224" bestFit="1" customWidth="1"/>
    <col min="5917" max="5917" width="10.26953125" style="224" bestFit="1" customWidth="1"/>
    <col min="5918" max="5918" width="4.81640625" style="224" bestFit="1" customWidth="1"/>
    <col min="5919" max="5919" width="8.453125" style="224" bestFit="1" customWidth="1"/>
    <col min="5920" max="5920" width="10.26953125" style="224" bestFit="1" customWidth="1"/>
    <col min="5921" max="5921" width="4.81640625" style="224" bestFit="1" customWidth="1"/>
    <col min="5922" max="5922" width="8.453125" style="224" bestFit="1" customWidth="1"/>
    <col min="5923" max="5923" width="10.26953125" style="224" bestFit="1" customWidth="1"/>
    <col min="5924" max="5924" width="4.81640625" style="224" bestFit="1" customWidth="1"/>
    <col min="5925" max="5925" width="8.453125" style="224" bestFit="1" customWidth="1"/>
    <col min="5926" max="5926" width="10.7265625" style="224" bestFit="1" customWidth="1"/>
    <col min="5927" max="5927" width="4.81640625" style="224" bestFit="1" customWidth="1"/>
    <col min="5928" max="5928" width="8.453125" style="224" bestFit="1" customWidth="1"/>
    <col min="5929" max="6144" width="9.1796875" style="224"/>
    <col min="6145" max="6145" width="1.453125" style="224" bestFit="1" customWidth="1"/>
    <col min="6146" max="6146" width="6.1796875" style="224" customWidth="1"/>
    <col min="6147" max="6147" width="35.54296875" style="224" customWidth="1"/>
    <col min="6148" max="6148" width="5.7265625" style="224" customWidth="1"/>
    <col min="6149" max="6149" width="11.26953125" style="224" bestFit="1" customWidth="1"/>
    <col min="6150" max="6150" width="4.81640625" style="224" bestFit="1" customWidth="1"/>
    <col min="6151" max="6151" width="9.453125" style="224" bestFit="1" customWidth="1"/>
    <col min="6152" max="6152" width="4.08984375" style="224" bestFit="1" customWidth="1"/>
    <col min="6153" max="6153" width="4.81640625" style="224" bestFit="1" customWidth="1"/>
    <col min="6154" max="6154" width="4" style="224" bestFit="1" customWidth="1"/>
    <col min="6155" max="6155" width="10.26953125" style="224" bestFit="1" customWidth="1"/>
    <col min="6156" max="6156" width="4.81640625" style="224" bestFit="1" customWidth="1"/>
    <col min="6157" max="6157" width="8.453125" style="224" bestFit="1" customWidth="1"/>
    <col min="6158" max="6158" width="10.26953125" style="224" bestFit="1" customWidth="1"/>
    <col min="6159" max="6159" width="4.81640625" style="224" bestFit="1" customWidth="1"/>
    <col min="6160" max="6160" width="8.453125" style="224" bestFit="1" customWidth="1"/>
    <col min="6161" max="6161" width="10.26953125" style="224" bestFit="1" customWidth="1"/>
    <col min="6162" max="6162" width="4.81640625" style="224" bestFit="1" customWidth="1"/>
    <col min="6163" max="6163" width="8.453125" style="224" bestFit="1" customWidth="1"/>
    <col min="6164" max="6164" width="10.26953125" style="224" bestFit="1" customWidth="1"/>
    <col min="6165" max="6165" width="4.81640625" style="224" bestFit="1" customWidth="1"/>
    <col min="6166" max="6166" width="8.453125" style="224" bestFit="1" customWidth="1"/>
    <col min="6167" max="6167" width="10.26953125" style="224" bestFit="1" customWidth="1"/>
    <col min="6168" max="6168" width="4.81640625" style="224" bestFit="1" customWidth="1"/>
    <col min="6169" max="6169" width="8.453125" style="224" bestFit="1" customWidth="1"/>
    <col min="6170" max="6170" width="10.26953125" style="224" bestFit="1" customWidth="1"/>
    <col min="6171" max="6171" width="4.81640625" style="224" bestFit="1" customWidth="1"/>
    <col min="6172" max="6172" width="8.453125" style="224" bestFit="1" customWidth="1"/>
    <col min="6173" max="6173" width="10.26953125" style="224" bestFit="1" customWidth="1"/>
    <col min="6174" max="6174" width="4.81640625" style="224" bestFit="1" customWidth="1"/>
    <col min="6175" max="6175" width="8.453125" style="224" bestFit="1" customWidth="1"/>
    <col min="6176" max="6176" width="10.26953125" style="224" bestFit="1" customWidth="1"/>
    <col min="6177" max="6177" width="4.81640625" style="224" bestFit="1" customWidth="1"/>
    <col min="6178" max="6178" width="8.453125" style="224" bestFit="1" customWidth="1"/>
    <col min="6179" max="6179" width="10.26953125" style="224" bestFit="1" customWidth="1"/>
    <col min="6180" max="6180" width="4.81640625" style="224" bestFit="1" customWidth="1"/>
    <col min="6181" max="6181" width="8.453125" style="224" bestFit="1" customWidth="1"/>
    <col min="6182" max="6182" width="10.7265625" style="224" bestFit="1" customWidth="1"/>
    <col min="6183" max="6183" width="4.81640625" style="224" bestFit="1" customWidth="1"/>
    <col min="6184" max="6184" width="8.453125" style="224" bestFit="1" customWidth="1"/>
    <col min="6185" max="6400" width="9.1796875" style="224"/>
    <col min="6401" max="6401" width="1.453125" style="224" bestFit="1" customWidth="1"/>
    <col min="6402" max="6402" width="6.1796875" style="224" customWidth="1"/>
    <col min="6403" max="6403" width="35.54296875" style="224" customWidth="1"/>
    <col min="6404" max="6404" width="5.7265625" style="224" customWidth="1"/>
    <col min="6405" max="6405" width="11.26953125" style="224" bestFit="1" customWidth="1"/>
    <col min="6406" max="6406" width="4.81640625" style="224" bestFit="1" customWidth="1"/>
    <col min="6407" max="6407" width="9.453125" style="224" bestFit="1" customWidth="1"/>
    <col min="6408" max="6408" width="4.08984375" style="224" bestFit="1" customWidth="1"/>
    <col min="6409" max="6409" width="4.81640625" style="224" bestFit="1" customWidth="1"/>
    <col min="6410" max="6410" width="4" style="224" bestFit="1" customWidth="1"/>
    <col min="6411" max="6411" width="10.26953125" style="224" bestFit="1" customWidth="1"/>
    <col min="6412" max="6412" width="4.81640625" style="224" bestFit="1" customWidth="1"/>
    <col min="6413" max="6413" width="8.453125" style="224" bestFit="1" customWidth="1"/>
    <col min="6414" max="6414" width="10.26953125" style="224" bestFit="1" customWidth="1"/>
    <col min="6415" max="6415" width="4.81640625" style="224" bestFit="1" customWidth="1"/>
    <col min="6416" max="6416" width="8.453125" style="224" bestFit="1" customWidth="1"/>
    <col min="6417" max="6417" width="10.26953125" style="224" bestFit="1" customWidth="1"/>
    <col min="6418" max="6418" width="4.81640625" style="224" bestFit="1" customWidth="1"/>
    <col min="6419" max="6419" width="8.453125" style="224" bestFit="1" customWidth="1"/>
    <col min="6420" max="6420" width="10.26953125" style="224" bestFit="1" customWidth="1"/>
    <col min="6421" max="6421" width="4.81640625" style="224" bestFit="1" customWidth="1"/>
    <col min="6422" max="6422" width="8.453125" style="224" bestFit="1" customWidth="1"/>
    <col min="6423" max="6423" width="10.26953125" style="224" bestFit="1" customWidth="1"/>
    <col min="6424" max="6424" width="4.81640625" style="224" bestFit="1" customWidth="1"/>
    <col min="6425" max="6425" width="8.453125" style="224" bestFit="1" customWidth="1"/>
    <col min="6426" max="6426" width="10.26953125" style="224" bestFit="1" customWidth="1"/>
    <col min="6427" max="6427" width="4.81640625" style="224" bestFit="1" customWidth="1"/>
    <col min="6428" max="6428" width="8.453125" style="224" bestFit="1" customWidth="1"/>
    <col min="6429" max="6429" width="10.26953125" style="224" bestFit="1" customWidth="1"/>
    <col min="6430" max="6430" width="4.81640625" style="224" bestFit="1" customWidth="1"/>
    <col min="6431" max="6431" width="8.453125" style="224" bestFit="1" customWidth="1"/>
    <col min="6432" max="6432" width="10.26953125" style="224" bestFit="1" customWidth="1"/>
    <col min="6433" max="6433" width="4.81640625" style="224" bestFit="1" customWidth="1"/>
    <col min="6434" max="6434" width="8.453125" style="224" bestFit="1" customWidth="1"/>
    <col min="6435" max="6435" width="10.26953125" style="224" bestFit="1" customWidth="1"/>
    <col min="6436" max="6436" width="4.81640625" style="224" bestFit="1" customWidth="1"/>
    <col min="6437" max="6437" width="8.453125" style="224" bestFit="1" customWidth="1"/>
    <col min="6438" max="6438" width="10.7265625" style="224" bestFit="1" customWidth="1"/>
    <col min="6439" max="6439" width="4.81640625" style="224" bestFit="1" customWidth="1"/>
    <col min="6440" max="6440" width="8.453125" style="224" bestFit="1" customWidth="1"/>
    <col min="6441" max="6656" width="9.1796875" style="224"/>
    <col min="6657" max="6657" width="1.453125" style="224" bestFit="1" customWidth="1"/>
    <col min="6658" max="6658" width="6.1796875" style="224" customWidth="1"/>
    <col min="6659" max="6659" width="35.54296875" style="224" customWidth="1"/>
    <col min="6660" max="6660" width="5.7265625" style="224" customWidth="1"/>
    <col min="6661" max="6661" width="11.26953125" style="224" bestFit="1" customWidth="1"/>
    <col min="6662" max="6662" width="4.81640625" style="224" bestFit="1" customWidth="1"/>
    <col min="6663" max="6663" width="9.453125" style="224" bestFit="1" customWidth="1"/>
    <col min="6664" max="6664" width="4.08984375" style="224" bestFit="1" customWidth="1"/>
    <col min="6665" max="6665" width="4.81640625" style="224" bestFit="1" customWidth="1"/>
    <col min="6666" max="6666" width="4" style="224" bestFit="1" customWidth="1"/>
    <col min="6667" max="6667" width="10.26953125" style="224" bestFit="1" customWidth="1"/>
    <col min="6668" max="6668" width="4.81640625" style="224" bestFit="1" customWidth="1"/>
    <col min="6669" max="6669" width="8.453125" style="224" bestFit="1" customWidth="1"/>
    <col min="6670" max="6670" width="10.26953125" style="224" bestFit="1" customWidth="1"/>
    <col min="6671" max="6671" width="4.81640625" style="224" bestFit="1" customWidth="1"/>
    <col min="6672" max="6672" width="8.453125" style="224" bestFit="1" customWidth="1"/>
    <col min="6673" max="6673" width="10.26953125" style="224" bestFit="1" customWidth="1"/>
    <col min="6674" max="6674" width="4.81640625" style="224" bestFit="1" customWidth="1"/>
    <col min="6675" max="6675" width="8.453125" style="224" bestFit="1" customWidth="1"/>
    <col min="6676" max="6676" width="10.26953125" style="224" bestFit="1" customWidth="1"/>
    <col min="6677" max="6677" width="4.81640625" style="224" bestFit="1" customWidth="1"/>
    <col min="6678" max="6678" width="8.453125" style="224" bestFit="1" customWidth="1"/>
    <col min="6679" max="6679" width="10.26953125" style="224" bestFit="1" customWidth="1"/>
    <col min="6680" max="6680" width="4.81640625" style="224" bestFit="1" customWidth="1"/>
    <col min="6681" max="6681" width="8.453125" style="224" bestFit="1" customWidth="1"/>
    <col min="6682" max="6682" width="10.26953125" style="224" bestFit="1" customWidth="1"/>
    <col min="6683" max="6683" width="4.81640625" style="224" bestFit="1" customWidth="1"/>
    <col min="6684" max="6684" width="8.453125" style="224" bestFit="1" customWidth="1"/>
    <col min="6685" max="6685" width="10.26953125" style="224" bestFit="1" customWidth="1"/>
    <col min="6686" max="6686" width="4.81640625" style="224" bestFit="1" customWidth="1"/>
    <col min="6687" max="6687" width="8.453125" style="224" bestFit="1" customWidth="1"/>
    <col min="6688" max="6688" width="10.26953125" style="224" bestFit="1" customWidth="1"/>
    <col min="6689" max="6689" width="4.81640625" style="224" bestFit="1" customWidth="1"/>
    <col min="6690" max="6690" width="8.453125" style="224" bestFit="1" customWidth="1"/>
    <col min="6691" max="6691" width="10.26953125" style="224" bestFit="1" customWidth="1"/>
    <col min="6692" max="6692" width="4.81640625" style="224" bestFit="1" customWidth="1"/>
    <col min="6693" max="6693" width="8.453125" style="224" bestFit="1" customWidth="1"/>
    <col min="6694" max="6694" width="10.7265625" style="224" bestFit="1" customWidth="1"/>
    <col min="6695" max="6695" width="4.81640625" style="224" bestFit="1" customWidth="1"/>
    <col min="6696" max="6696" width="8.453125" style="224" bestFit="1" customWidth="1"/>
    <col min="6697" max="6912" width="9.1796875" style="224"/>
    <col min="6913" max="6913" width="1.453125" style="224" bestFit="1" customWidth="1"/>
    <col min="6914" max="6914" width="6.1796875" style="224" customWidth="1"/>
    <col min="6915" max="6915" width="35.54296875" style="224" customWidth="1"/>
    <col min="6916" max="6916" width="5.7265625" style="224" customWidth="1"/>
    <col min="6917" max="6917" width="11.26953125" style="224" bestFit="1" customWidth="1"/>
    <col min="6918" max="6918" width="4.81640625" style="224" bestFit="1" customWidth="1"/>
    <col min="6919" max="6919" width="9.453125" style="224" bestFit="1" customWidth="1"/>
    <col min="6920" max="6920" width="4.08984375" style="224" bestFit="1" customWidth="1"/>
    <col min="6921" max="6921" width="4.81640625" style="224" bestFit="1" customWidth="1"/>
    <col min="6922" max="6922" width="4" style="224" bestFit="1" customWidth="1"/>
    <col min="6923" max="6923" width="10.26953125" style="224" bestFit="1" customWidth="1"/>
    <col min="6924" max="6924" width="4.81640625" style="224" bestFit="1" customWidth="1"/>
    <col min="6925" max="6925" width="8.453125" style="224" bestFit="1" customWidth="1"/>
    <col min="6926" max="6926" width="10.26953125" style="224" bestFit="1" customWidth="1"/>
    <col min="6927" max="6927" width="4.81640625" style="224" bestFit="1" customWidth="1"/>
    <col min="6928" max="6928" width="8.453125" style="224" bestFit="1" customWidth="1"/>
    <col min="6929" max="6929" width="10.26953125" style="224" bestFit="1" customWidth="1"/>
    <col min="6930" max="6930" width="4.81640625" style="224" bestFit="1" customWidth="1"/>
    <col min="6931" max="6931" width="8.453125" style="224" bestFit="1" customWidth="1"/>
    <col min="6932" max="6932" width="10.26953125" style="224" bestFit="1" customWidth="1"/>
    <col min="6933" max="6933" width="4.81640625" style="224" bestFit="1" customWidth="1"/>
    <col min="6934" max="6934" width="8.453125" style="224" bestFit="1" customWidth="1"/>
    <col min="6935" max="6935" width="10.26953125" style="224" bestFit="1" customWidth="1"/>
    <col min="6936" max="6936" width="4.81640625" style="224" bestFit="1" customWidth="1"/>
    <col min="6937" max="6937" width="8.453125" style="224" bestFit="1" customWidth="1"/>
    <col min="6938" max="6938" width="10.26953125" style="224" bestFit="1" customWidth="1"/>
    <col min="6939" max="6939" width="4.81640625" style="224" bestFit="1" customWidth="1"/>
    <col min="6940" max="6940" width="8.453125" style="224" bestFit="1" customWidth="1"/>
    <col min="6941" max="6941" width="10.26953125" style="224" bestFit="1" customWidth="1"/>
    <col min="6942" max="6942" width="4.81640625" style="224" bestFit="1" customWidth="1"/>
    <col min="6943" max="6943" width="8.453125" style="224" bestFit="1" customWidth="1"/>
    <col min="6944" max="6944" width="10.26953125" style="224" bestFit="1" customWidth="1"/>
    <col min="6945" max="6945" width="4.81640625" style="224" bestFit="1" customWidth="1"/>
    <col min="6946" max="6946" width="8.453125" style="224" bestFit="1" customWidth="1"/>
    <col min="6947" max="6947" width="10.26953125" style="224" bestFit="1" customWidth="1"/>
    <col min="6948" max="6948" width="4.81640625" style="224" bestFit="1" customWidth="1"/>
    <col min="6949" max="6949" width="8.453125" style="224" bestFit="1" customWidth="1"/>
    <col min="6950" max="6950" width="10.7265625" style="224" bestFit="1" customWidth="1"/>
    <col min="6951" max="6951" width="4.81640625" style="224" bestFit="1" customWidth="1"/>
    <col min="6952" max="6952" width="8.453125" style="224" bestFit="1" customWidth="1"/>
    <col min="6953" max="7168" width="9.1796875" style="224"/>
    <col min="7169" max="7169" width="1.453125" style="224" bestFit="1" customWidth="1"/>
    <col min="7170" max="7170" width="6.1796875" style="224" customWidth="1"/>
    <col min="7171" max="7171" width="35.54296875" style="224" customWidth="1"/>
    <col min="7172" max="7172" width="5.7265625" style="224" customWidth="1"/>
    <col min="7173" max="7173" width="11.26953125" style="224" bestFit="1" customWidth="1"/>
    <col min="7174" max="7174" width="4.81640625" style="224" bestFit="1" customWidth="1"/>
    <col min="7175" max="7175" width="9.453125" style="224" bestFit="1" customWidth="1"/>
    <col min="7176" max="7176" width="4.08984375" style="224" bestFit="1" customWidth="1"/>
    <col min="7177" max="7177" width="4.81640625" style="224" bestFit="1" customWidth="1"/>
    <col min="7178" max="7178" width="4" style="224" bestFit="1" customWidth="1"/>
    <col min="7179" max="7179" width="10.26953125" style="224" bestFit="1" customWidth="1"/>
    <col min="7180" max="7180" width="4.81640625" style="224" bestFit="1" customWidth="1"/>
    <col min="7181" max="7181" width="8.453125" style="224" bestFit="1" customWidth="1"/>
    <col min="7182" max="7182" width="10.26953125" style="224" bestFit="1" customWidth="1"/>
    <col min="7183" max="7183" width="4.81640625" style="224" bestFit="1" customWidth="1"/>
    <col min="7184" max="7184" width="8.453125" style="224" bestFit="1" customWidth="1"/>
    <col min="7185" max="7185" width="10.26953125" style="224" bestFit="1" customWidth="1"/>
    <col min="7186" max="7186" width="4.81640625" style="224" bestFit="1" customWidth="1"/>
    <col min="7187" max="7187" width="8.453125" style="224" bestFit="1" customWidth="1"/>
    <col min="7188" max="7188" width="10.26953125" style="224" bestFit="1" customWidth="1"/>
    <col min="7189" max="7189" width="4.81640625" style="224" bestFit="1" customWidth="1"/>
    <col min="7190" max="7190" width="8.453125" style="224" bestFit="1" customWidth="1"/>
    <col min="7191" max="7191" width="10.26953125" style="224" bestFit="1" customWidth="1"/>
    <col min="7192" max="7192" width="4.81640625" style="224" bestFit="1" customWidth="1"/>
    <col min="7193" max="7193" width="8.453125" style="224" bestFit="1" customWidth="1"/>
    <col min="7194" max="7194" width="10.26953125" style="224" bestFit="1" customWidth="1"/>
    <col min="7195" max="7195" width="4.81640625" style="224" bestFit="1" customWidth="1"/>
    <col min="7196" max="7196" width="8.453125" style="224" bestFit="1" customWidth="1"/>
    <col min="7197" max="7197" width="10.26953125" style="224" bestFit="1" customWidth="1"/>
    <col min="7198" max="7198" width="4.81640625" style="224" bestFit="1" customWidth="1"/>
    <col min="7199" max="7199" width="8.453125" style="224" bestFit="1" customWidth="1"/>
    <col min="7200" max="7200" width="10.26953125" style="224" bestFit="1" customWidth="1"/>
    <col min="7201" max="7201" width="4.81640625" style="224" bestFit="1" customWidth="1"/>
    <col min="7202" max="7202" width="8.453125" style="224" bestFit="1" customWidth="1"/>
    <col min="7203" max="7203" width="10.26953125" style="224" bestFit="1" customWidth="1"/>
    <col min="7204" max="7204" width="4.81640625" style="224" bestFit="1" customWidth="1"/>
    <col min="7205" max="7205" width="8.453125" style="224" bestFit="1" customWidth="1"/>
    <col min="7206" max="7206" width="10.7265625" style="224" bestFit="1" customWidth="1"/>
    <col min="7207" max="7207" width="4.81640625" style="224" bestFit="1" customWidth="1"/>
    <col min="7208" max="7208" width="8.453125" style="224" bestFit="1" customWidth="1"/>
    <col min="7209" max="7424" width="9.1796875" style="224"/>
    <col min="7425" max="7425" width="1.453125" style="224" bestFit="1" customWidth="1"/>
    <col min="7426" max="7426" width="6.1796875" style="224" customWidth="1"/>
    <col min="7427" max="7427" width="35.54296875" style="224" customWidth="1"/>
    <col min="7428" max="7428" width="5.7265625" style="224" customWidth="1"/>
    <col min="7429" max="7429" width="11.26953125" style="224" bestFit="1" customWidth="1"/>
    <col min="7430" max="7430" width="4.81640625" style="224" bestFit="1" customWidth="1"/>
    <col min="7431" max="7431" width="9.453125" style="224" bestFit="1" customWidth="1"/>
    <col min="7432" max="7432" width="4.08984375" style="224" bestFit="1" customWidth="1"/>
    <col min="7433" max="7433" width="4.81640625" style="224" bestFit="1" customWidth="1"/>
    <col min="7434" max="7434" width="4" style="224" bestFit="1" customWidth="1"/>
    <col min="7435" max="7435" width="10.26953125" style="224" bestFit="1" customWidth="1"/>
    <col min="7436" max="7436" width="4.81640625" style="224" bestFit="1" customWidth="1"/>
    <col min="7437" max="7437" width="8.453125" style="224" bestFit="1" customWidth="1"/>
    <col min="7438" max="7438" width="10.26953125" style="224" bestFit="1" customWidth="1"/>
    <col min="7439" max="7439" width="4.81640625" style="224" bestFit="1" customWidth="1"/>
    <col min="7440" max="7440" width="8.453125" style="224" bestFit="1" customWidth="1"/>
    <col min="7441" max="7441" width="10.26953125" style="224" bestFit="1" customWidth="1"/>
    <col min="7442" max="7442" width="4.81640625" style="224" bestFit="1" customWidth="1"/>
    <col min="7443" max="7443" width="8.453125" style="224" bestFit="1" customWidth="1"/>
    <col min="7444" max="7444" width="10.26953125" style="224" bestFit="1" customWidth="1"/>
    <col min="7445" max="7445" width="4.81640625" style="224" bestFit="1" customWidth="1"/>
    <col min="7446" max="7446" width="8.453125" style="224" bestFit="1" customWidth="1"/>
    <col min="7447" max="7447" width="10.26953125" style="224" bestFit="1" customWidth="1"/>
    <col min="7448" max="7448" width="4.81640625" style="224" bestFit="1" customWidth="1"/>
    <col min="7449" max="7449" width="8.453125" style="224" bestFit="1" customWidth="1"/>
    <col min="7450" max="7450" width="10.26953125" style="224" bestFit="1" customWidth="1"/>
    <col min="7451" max="7451" width="4.81640625" style="224" bestFit="1" customWidth="1"/>
    <col min="7452" max="7452" width="8.453125" style="224" bestFit="1" customWidth="1"/>
    <col min="7453" max="7453" width="10.26953125" style="224" bestFit="1" customWidth="1"/>
    <col min="7454" max="7454" width="4.81640625" style="224" bestFit="1" customWidth="1"/>
    <col min="7455" max="7455" width="8.453125" style="224" bestFit="1" customWidth="1"/>
    <col min="7456" max="7456" width="10.26953125" style="224" bestFit="1" customWidth="1"/>
    <col min="7457" max="7457" width="4.81640625" style="224" bestFit="1" customWidth="1"/>
    <col min="7458" max="7458" width="8.453125" style="224" bestFit="1" customWidth="1"/>
    <col min="7459" max="7459" width="10.26953125" style="224" bestFit="1" customWidth="1"/>
    <col min="7460" max="7460" width="4.81640625" style="224" bestFit="1" customWidth="1"/>
    <col min="7461" max="7461" width="8.453125" style="224" bestFit="1" customWidth="1"/>
    <col min="7462" max="7462" width="10.7265625" style="224" bestFit="1" customWidth="1"/>
    <col min="7463" max="7463" width="4.81640625" style="224" bestFit="1" customWidth="1"/>
    <col min="7464" max="7464" width="8.453125" style="224" bestFit="1" customWidth="1"/>
    <col min="7465" max="7680" width="9.1796875" style="224"/>
    <col min="7681" max="7681" width="1.453125" style="224" bestFit="1" customWidth="1"/>
    <col min="7682" max="7682" width="6.1796875" style="224" customWidth="1"/>
    <col min="7683" max="7683" width="35.54296875" style="224" customWidth="1"/>
    <col min="7684" max="7684" width="5.7265625" style="224" customWidth="1"/>
    <col min="7685" max="7685" width="11.26953125" style="224" bestFit="1" customWidth="1"/>
    <col min="7686" max="7686" width="4.81640625" style="224" bestFit="1" customWidth="1"/>
    <col min="7687" max="7687" width="9.453125" style="224" bestFit="1" customWidth="1"/>
    <col min="7688" max="7688" width="4.08984375" style="224" bestFit="1" customWidth="1"/>
    <col min="7689" max="7689" width="4.81640625" style="224" bestFit="1" customWidth="1"/>
    <col min="7690" max="7690" width="4" style="224" bestFit="1" customWidth="1"/>
    <col min="7691" max="7691" width="10.26953125" style="224" bestFit="1" customWidth="1"/>
    <col min="7692" max="7692" width="4.81640625" style="224" bestFit="1" customWidth="1"/>
    <col min="7693" max="7693" width="8.453125" style="224" bestFit="1" customWidth="1"/>
    <col min="7694" max="7694" width="10.26953125" style="224" bestFit="1" customWidth="1"/>
    <col min="7695" max="7695" width="4.81640625" style="224" bestFit="1" customWidth="1"/>
    <col min="7696" max="7696" width="8.453125" style="224" bestFit="1" customWidth="1"/>
    <col min="7697" max="7697" width="10.26953125" style="224" bestFit="1" customWidth="1"/>
    <col min="7698" max="7698" width="4.81640625" style="224" bestFit="1" customWidth="1"/>
    <col min="7699" max="7699" width="8.453125" style="224" bestFit="1" customWidth="1"/>
    <col min="7700" max="7700" width="10.26953125" style="224" bestFit="1" customWidth="1"/>
    <col min="7701" max="7701" width="4.81640625" style="224" bestFit="1" customWidth="1"/>
    <col min="7702" max="7702" width="8.453125" style="224" bestFit="1" customWidth="1"/>
    <col min="7703" max="7703" width="10.26953125" style="224" bestFit="1" customWidth="1"/>
    <col min="7704" max="7704" width="4.81640625" style="224" bestFit="1" customWidth="1"/>
    <col min="7705" max="7705" width="8.453125" style="224" bestFit="1" customWidth="1"/>
    <col min="7706" max="7706" width="10.26953125" style="224" bestFit="1" customWidth="1"/>
    <col min="7707" max="7707" width="4.81640625" style="224" bestFit="1" customWidth="1"/>
    <col min="7708" max="7708" width="8.453125" style="224" bestFit="1" customWidth="1"/>
    <col min="7709" max="7709" width="10.26953125" style="224" bestFit="1" customWidth="1"/>
    <col min="7710" max="7710" width="4.81640625" style="224" bestFit="1" customWidth="1"/>
    <col min="7711" max="7711" width="8.453125" style="224" bestFit="1" customWidth="1"/>
    <col min="7712" max="7712" width="10.26953125" style="224" bestFit="1" customWidth="1"/>
    <col min="7713" max="7713" width="4.81640625" style="224" bestFit="1" customWidth="1"/>
    <col min="7714" max="7714" width="8.453125" style="224" bestFit="1" customWidth="1"/>
    <col min="7715" max="7715" width="10.26953125" style="224" bestFit="1" customWidth="1"/>
    <col min="7716" max="7716" width="4.81640625" style="224" bestFit="1" customWidth="1"/>
    <col min="7717" max="7717" width="8.453125" style="224" bestFit="1" customWidth="1"/>
    <col min="7718" max="7718" width="10.7265625" style="224" bestFit="1" customWidth="1"/>
    <col min="7719" max="7719" width="4.81640625" style="224" bestFit="1" customWidth="1"/>
    <col min="7720" max="7720" width="8.453125" style="224" bestFit="1" customWidth="1"/>
    <col min="7721" max="7936" width="9.1796875" style="224"/>
    <col min="7937" max="7937" width="1.453125" style="224" bestFit="1" customWidth="1"/>
    <col min="7938" max="7938" width="6.1796875" style="224" customWidth="1"/>
    <col min="7939" max="7939" width="35.54296875" style="224" customWidth="1"/>
    <col min="7940" max="7940" width="5.7265625" style="224" customWidth="1"/>
    <col min="7941" max="7941" width="11.26953125" style="224" bestFit="1" customWidth="1"/>
    <col min="7942" max="7942" width="4.81640625" style="224" bestFit="1" customWidth="1"/>
    <col min="7943" max="7943" width="9.453125" style="224" bestFit="1" customWidth="1"/>
    <col min="7944" max="7944" width="4.08984375" style="224" bestFit="1" customWidth="1"/>
    <col min="7945" max="7945" width="4.81640625" style="224" bestFit="1" customWidth="1"/>
    <col min="7946" max="7946" width="4" style="224" bestFit="1" customWidth="1"/>
    <col min="7947" max="7947" width="10.26953125" style="224" bestFit="1" customWidth="1"/>
    <col min="7948" max="7948" width="4.81640625" style="224" bestFit="1" customWidth="1"/>
    <col min="7949" max="7949" width="8.453125" style="224" bestFit="1" customWidth="1"/>
    <col min="7950" max="7950" width="10.26953125" style="224" bestFit="1" customWidth="1"/>
    <col min="7951" max="7951" width="4.81640625" style="224" bestFit="1" customWidth="1"/>
    <col min="7952" max="7952" width="8.453125" style="224" bestFit="1" customWidth="1"/>
    <col min="7953" max="7953" width="10.26953125" style="224" bestFit="1" customWidth="1"/>
    <col min="7954" max="7954" width="4.81640625" style="224" bestFit="1" customWidth="1"/>
    <col min="7955" max="7955" width="8.453125" style="224" bestFit="1" customWidth="1"/>
    <col min="7956" max="7956" width="10.26953125" style="224" bestFit="1" customWidth="1"/>
    <col min="7957" max="7957" width="4.81640625" style="224" bestFit="1" customWidth="1"/>
    <col min="7958" max="7958" width="8.453125" style="224" bestFit="1" customWidth="1"/>
    <col min="7959" max="7959" width="10.26953125" style="224" bestFit="1" customWidth="1"/>
    <col min="7960" max="7960" width="4.81640625" style="224" bestFit="1" customWidth="1"/>
    <col min="7961" max="7961" width="8.453125" style="224" bestFit="1" customWidth="1"/>
    <col min="7962" max="7962" width="10.26953125" style="224" bestFit="1" customWidth="1"/>
    <col min="7963" max="7963" width="4.81640625" style="224" bestFit="1" customWidth="1"/>
    <col min="7964" max="7964" width="8.453125" style="224" bestFit="1" customWidth="1"/>
    <col min="7965" max="7965" width="10.26953125" style="224" bestFit="1" customWidth="1"/>
    <col min="7966" max="7966" width="4.81640625" style="224" bestFit="1" customWidth="1"/>
    <col min="7967" max="7967" width="8.453125" style="224" bestFit="1" customWidth="1"/>
    <col min="7968" max="7968" width="10.26953125" style="224" bestFit="1" customWidth="1"/>
    <col min="7969" max="7969" width="4.81640625" style="224" bestFit="1" customWidth="1"/>
    <col min="7970" max="7970" width="8.453125" style="224" bestFit="1" customWidth="1"/>
    <col min="7971" max="7971" width="10.26953125" style="224" bestFit="1" customWidth="1"/>
    <col min="7972" max="7972" width="4.81640625" style="224" bestFit="1" customWidth="1"/>
    <col min="7973" max="7973" width="8.453125" style="224" bestFit="1" customWidth="1"/>
    <col min="7974" max="7974" width="10.7265625" style="224" bestFit="1" customWidth="1"/>
    <col min="7975" max="7975" width="4.81640625" style="224" bestFit="1" customWidth="1"/>
    <col min="7976" max="7976" width="8.453125" style="224" bestFit="1" customWidth="1"/>
    <col min="7977" max="8192" width="9.1796875" style="224"/>
    <col min="8193" max="8193" width="1.453125" style="224" bestFit="1" customWidth="1"/>
    <col min="8194" max="8194" width="6.1796875" style="224" customWidth="1"/>
    <col min="8195" max="8195" width="35.54296875" style="224" customWidth="1"/>
    <col min="8196" max="8196" width="5.7265625" style="224" customWidth="1"/>
    <col min="8197" max="8197" width="11.26953125" style="224" bestFit="1" customWidth="1"/>
    <col min="8198" max="8198" width="4.81640625" style="224" bestFit="1" customWidth="1"/>
    <col min="8199" max="8199" width="9.453125" style="224" bestFit="1" customWidth="1"/>
    <col min="8200" max="8200" width="4.08984375" style="224" bestFit="1" customWidth="1"/>
    <col min="8201" max="8201" width="4.81640625" style="224" bestFit="1" customWidth="1"/>
    <col min="8202" max="8202" width="4" style="224" bestFit="1" customWidth="1"/>
    <col min="8203" max="8203" width="10.26953125" style="224" bestFit="1" customWidth="1"/>
    <col min="8204" max="8204" width="4.81640625" style="224" bestFit="1" customWidth="1"/>
    <col min="8205" max="8205" width="8.453125" style="224" bestFit="1" customWidth="1"/>
    <col min="8206" max="8206" width="10.26953125" style="224" bestFit="1" customWidth="1"/>
    <col min="8207" max="8207" width="4.81640625" style="224" bestFit="1" customWidth="1"/>
    <col min="8208" max="8208" width="8.453125" style="224" bestFit="1" customWidth="1"/>
    <col min="8209" max="8209" width="10.26953125" style="224" bestFit="1" customWidth="1"/>
    <col min="8210" max="8210" width="4.81640625" style="224" bestFit="1" customWidth="1"/>
    <col min="8211" max="8211" width="8.453125" style="224" bestFit="1" customWidth="1"/>
    <col min="8212" max="8212" width="10.26953125" style="224" bestFit="1" customWidth="1"/>
    <col min="8213" max="8213" width="4.81640625" style="224" bestFit="1" customWidth="1"/>
    <col min="8214" max="8214" width="8.453125" style="224" bestFit="1" customWidth="1"/>
    <col min="8215" max="8215" width="10.26953125" style="224" bestFit="1" customWidth="1"/>
    <col min="8216" max="8216" width="4.81640625" style="224" bestFit="1" customWidth="1"/>
    <col min="8217" max="8217" width="8.453125" style="224" bestFit="1" customWidth="1"/>
    <col min="8218" max="8218" width="10.26953125" style="224" bestFit="1" customWidth="1"/>
    <col min="8219" max="8219" width="4.81640625" style="224" bestFit="1" customWidth="1"/>
    <col min="8220" max="8220" width="8.453125" style="224" bestFit="1" customWidth="1"/>
    <col min="8221" max="8221" width="10.26953125" style="224" bestFit="1" customWidth="1"/>
    <col min="8222" max="8222" width="4.81640625" style="224" bestFit="1" customWidth="1"/>
    <col min="8223" max="8223" width="8.453125" style="224" bestFit="1" customWidth="1"/>
    <col min="8224" max="8224" width="10.26953125" style="224" bestFit="1" customWidth="1"/>
    <col min="8225" max="8225" width="4.81640625" style="224" bestFit="1" customWidth="1"/>
    <col min="8226" max="8226" width="8.453125" style="224" bestFit="1" customWidth="1"/>
    <col min="8227" max="8227" width="10.26953125" style="224" bestFit="1" customWidth="1"/>
    <col min="8228" max="8228" width="4.81640625" style="224" bestFit="1" customWidth="1"/>
    <col min="8229" max="8229" width="8.453125" style="224" bestFit="1" customWidth="1"/>
    <col min="8230" max="8230" width="10.7265625" style="224" bestFit="1" customWidth="1"/>
    <col min="8231" max="8231" width="4.81640625" style="224" bestFit="1" customWidth="1"/>
    <col min="8232" max="8232" width="8.453125" style="224" bestFit="1" customWidth="1"/>
    <col min="8233" max="8448" width="9.1796875" style="224"/>
    <col min="8449" max="8449" width="1.453125" style="224" bestFit="1" customWidth="1"/>
    <col min="8450" max="8450" width="6.1796875" style="224" customWidth="1"/>
    <col min="8451" max="8451" width="35.54296875" style="224" customWidth="1"/>
    <col min="8452" max="8452" width="5.7265625" style="224" customWidth="1"/>
    <col min="8453" max="8453" width="11.26953125" style="224" bestFit="1" customWidth="1"/>
    <col min="8454" max="8454" width="4.81640625" style="224" bestFit="1" customWidth="1"/>
    <col min="8455" max="8455" width="9.453125" style="224" bestFit="1" customWidth="1"/>
    <col min="8456" max="8456" width="4.08984375" style="224" bestFit="1" customWidth="1"/>
    <col min="8457" max="8457" width="4.81640625" style="224" bestFit="1" customWidth="1"/>
    <col min="8458" max="8458" width="4" style="224" bestFit="1" customWidth="1"/>
    <col min="8459" max="8459" width="10.26953125" style="224" bestFit="1" customWidth="1"/>
    <col min="8460" max="8460" width="4.81640625" style="224" bestFit="1" customWidth="1"/>
    <col min="8461" max="8461" width="8.453125" style="224" bestFit="1" customWidth="1"/>
    <col min="8462" max="8462" width="10.26953125" style="224" bestFit="1" customWidth="1"/>
    <col min="8463" max="8463" width="4.81640625" style="224" bestFit="1" customWidth="1"/>
    <col min="8464" max="8464" width="8.453125" style="224" bestFit="1" customWidth="1"/>
    <col min="8465" max="8465" width="10.26953125" style="224" bestFit="1" customWidth="1"/>
    <col min="8466" max="8466" width="4.81640625" style="224" bestFit="1" customWidth="1"/>
    <col min="8467" max="8467" width="8.453125" style="224" bestFit="1" customWidth="1"/>
    <col min="8468" max="8468" width="10.26953125" style="224" bestFit="1" customWidth="1"/>
    <col min="8469" max="8469" width="4.81640625" style="224" bestFit="1" customWidth="1"/>
    <col min="8470" max="8470" width="8.453125" style="224" bestFit="1" customWidth="1"/>
    <col min="8471" max="8471" width="10.26953125" style="224" bestFit="1" customWidth="1"/>
    <col min="8472" max="8472" width="4.81640625" style="224" bestFit="1" customWidth="1"/>
    <col min="8473" max="8473" width="8.453125" style="224" bestFit="1" customWidth="1"/>
    <col min="8474" max="8474" width="10.26953125" style="224" bestFit="1" customWidth="1"/>
    <col min="8475" max="8475" width="4.81640625" style="224" bestFit="1" customWidth="1"/>
    <col min="8476" max="8476" width="8.453125" style="224" bestFit="1" customWidth="1"/>
    <col min="8477" max="8477" width="10.26953125" style="224" bestFit="1" customWidth="1"/>
    <col min="8478" max="8478" width="4.81640625" style="224" bestFit="1" customWidth="1"/>
    <col min="8479" max="8479" width="8.453125" style="224" bestFit="1" customWidth="1"/>
    <col min="8480" max="8480" width="10.26953125" style="224" bestFit="1" customWidth="1"/>
    <col min="8481" max="8481" width="4.81640625" style="224" bestFit="1" customWidth="1"/>
    <col min="8482" max="8482" width="8.453125" style="224" bestFit="1" customWidth="1"/>
    <col min="8483" max="8483" width="10.26953125" style="224" bestFit="1" customWidth="1"/>
    <col min="8484" max="8484" width="4.81640625" style="224" bestFit="1" customWidth="1"/>
    <col min="8485" max="8485" width="8.453125" style="224" bestFit="1" customWidth="1"/>
    <col min="8486" max="8486" width="10.7265625" style="224" bestFit="1" customWidth="1"/>
    <col min="8487" max="8487" width="4.81640625" style="224" bestFit="1" customWidth="1"/>
    <col min="8488" max="8488" width="8.453125" style="224" bestFit="1" customWidth="1"/>
    <col min="8489" max="8704" width="9.1796875" style="224"/>
    <col min="8705" max="8705" width="1.453125" style="224" bestFit="1" customWidth="1"/>
    <col min="8706" max="8706" width="6.1796875" style="224" customWidth="1"/>
    <col min="8707" max="8707" width="35.54296875" style="224" customWidth="1"/>
    <col min="8708" max="8708" width="5.7265625" style="224" customWidth="1"/>
    <col min="8709" max="8709" width="11.26953125" style="224" bestFit="1" customWidth="1"/>
    <col min="8710" max="8710" width="4.81640625" style="224" bestFit="1" customWidth="1"/>
    <col min="8711" max="8711" width="9.453125" style="224" bestFit="1" customWidth="1"/>
    <col min="8712" max="8712" width="4.08984375" style="224" bestFit="1" customWidth="1"/>
    <col min="8713" max="8713" width="4.81640625" style="224" bestFit="1" customWidth="1"/>
    <col min="8714" max="8714" width="4" style="224" bestFit="1" customWidth="1"/>
    <col min="8715" max="8715" width="10.26953125" style="224" bestFit="1" customWidth="1"/>
    <col min="8716" max="8716" width="4.81640625" style="224" bestFit="1" customWidth="1"/>
    <col min="8717" max="8717" width="8.453125" style="224" bestFit="1" customWidth="1"/>
    <col min="8718" max="8718" width="10.26953125" style="224" bestFit="1" customWidth="1"/>
    <col min="8719" max="8719" width="4.81640625" style="224" bestFit="1" customWidth="1"/>
    <col min="8720" max="8720" width="8.453125" style="224" bestFit="1" customWidth="1"/>
    <col min="8721" max="8721" width="10.26953125" style="224" bestFit="1" customWidth="1"/>
    <col min="8722" max="8722" width="4.81640625" style="224" bestFit="1" customWidth="1"/>
    <col min="8723" max="8723" width="8.453125" style="224" bestFit="1" customWidth="1"/>
    <col min="8724" max="8724" width="10.26953125" style="224" bestFit="1" customWidth="1"/>
    <col min="8725" max="8725" width="4.81640625" style="224" bestFit="1" customWidth="1"/>
    <col min="8726" max="8726" width="8.453125" style="224" bestFit="1" customWidth="1"/>
    <col min="8727" max="8727" width="10.26953125" style="224" bestFit="1" customWidth="1"/>
    <col min="8728" max="8728" width="4.81640625" style="224" bestFit="1" customWidth="1"/>
    <col min="8729" max="8729" width="8.453125" style="224" bestFit="1" customWidth="1"/>
    <col min="8730" max="8730" width="10.26953125" style="224" bestFit="1" customWidth="1"/>
    <col min="8731" max="8731" width="4.81640625" style="224" bestFit="1" customWidth="1"/>
    <col min="8732" max="8732" width="8.453125" style="224" bestFit="1" customWidth="1"/>
    <col min="8733" max="8733" width="10.26953125" style="224" bestFit="1" customWidth="1"/>
    <col min="8734" max="8734" width="4.81640625" style="224" bestFit="1" customWidth="1"/>
    <col min="8735" max="8735" width="8.453125" style="224" bestFit="1" customWidth="1"/>
    <col min="8736" max="8736" width="10.26953125" style="224" bestFit="1" customWidth="1"/>
    <col min="8737" max="8737" width="4.81640625" style="224" bestFit="1" customWidth="1"/>
    <col min="8738" max="8738" width="8.453125" style="224" bestFit="1" customWidth="1"/>
    <col min="8739" max="8739" width="10.26953125" style="224" bestFit="1" customWidth="1"/>
    <col min="8740" max="8740" width="4.81640625" style="224" bestFit="1" customWidth="1"/>
    <col min="8741" max="8741" width="8.453125" style="224" bestFit="1" customWidth="1"/>
    <col min="8742" max="8742" width="10.7265625" style="224" bestFit="1" customWidth="1"/>
    <col min="8743" max="8743" width="4.81640625" style="224" bestFit="1" customWidth="1"/>
    <col min="8744" max="8744" width="8.453125" style="224" bestFit="1" customWidth="1"/>
    <col min="8745" max="8960" width="9.1796875" style="224"/>
    <col min="8961" max="8961" width="1.453125" style="224" bestFit="1" customWidth="1"/>
    <col min="8962" max="8962" width="6.1796875" style="224" customWidth="1"/>
    <col min="8963" max="8963" width="35.54296875" style="224" customWidth="1"/>
    <col min="8964" max="8964" width="5.7265625" style="224" customWidth="1"/>
    <col min="8965" max="8965" width="11.26953125" style="224" bestFit="1" customWidth="1"/>
    <col min="8966" max="8966" width="4.81640625" style="224" bestFit="1" customWidth="1"/>
    <col min="8967" max="8967" width="9.453125" style="224" bestFit="1" customWidth="1"/>
    <col min="8968" max="8968" width="4.08984375" style="224" bestFit="1" customWidth="1"/>
    <col min="8969" max="8969" width="4.81640625" style="224" bestFit="1" customWidth="1"/>
    <col min="8970" max="8970" width="4" style="224" bestFit="1" customWidth="1"/>
    <col min="8971" max="8971" width="10.26953125" style="224" bestFit="1" customWidth="1"/>
    <col min="8972" max="8972" width="4.81640625" style="224" bestFit="1" customWidth="1"/>
    <col min="8973" max="8973" width="8.453125" style="224" bestFit="1" customWidth="1"/>
    <col min="8974" max="8974" width="10.26953125" style="224" bestFit="1" customWidth="1"/>
    <col min="8975" max="8975" width="4.81640625" style="224" bestFit="1" customWidth="1"/>
    <col min="8976" max="8976" width="8.453125" style="224" bestFit="1" customWidth="1"/>
    <col min="8977" max="8977" width="10.26953125" style="224" bestFit="1" customWidth="1"/>
    <col min="8978" max="8978" width="4.81640625" style="224" bestFit="1" customWidth="1"/>
    <col min="8979" max="8979" width="8.453125" style="224" bestFit="1" customWidth="1"/>
    <col min="8980" max="8980" width="10.26953125" style="224" bestFit="1" customWidth="1"/>
    <col min="8981" max="8981" width="4.81640625" style="224" bestFit="1" customWidth="1"/>
    <col min="8982" max="8982" width="8.453125" style="224" bestFit="1" customWidth="1"/>
    <col min="8983" max="8983" width="10.26953125" style="224" bestFit="1" customWidth="1"/>
    <col min="8984" max="8984" width="4.81640625" style="224" bestFit="1" customWidth="1"/>
    <col min="8985" max="8985" width="8.453125" style="224" bestFit="1" customWidth="1"/>
    <col min="8986" max="8986" width="10.26953125" style="224" bestFit="1" customWidth="1"/>
    <col min="8987" max="8987" width="4.81640625" style="224" bestFit="1" customWidth="1"/>
    <col min="8988" max="8988" width="8.453125" style="224" bestFit="1" customWidth="1"/>
    <col min="8989" max="8989" width="10.26953125" style="224" bestFit="1" customWidth="1"/>
    <col min="8990" max="8990" width="4.81640625" style="224" bestFit="1" customWidth="1"/>
    <col min="8991" max="8991" width="8.453125" style="224" bestFit="1" customWidth="1"/>
    <col min="8992" max="8992" width="10.26953125" style="224" bestFit="1" customWidth="1"/>
    <col min="8993" max="8993" width="4.81640625" style="224" bestFit="1" customWidth="1"/>
    <col min="8994" max="8994" width="8.453125" style="224" bestFit="1" customWidth="1"/>
    <col min="8995" max="8995" width="10.26953125" style="224" bestFit="1" customWidth="1"/>
    <col min="8996" max="8996" width="4.81640625" style="224" bestFit="1" customWidth="1"/>
    <col min="8997" max="8997" width="8.453125" style="224" bestFit="1" customWidth="1"/>
    <col min="8998" max="8998" width="10.7265625" style="224" bestFit="1" customWidth="1"/>
    <col min="8999" max="8999" width="4.81640625" style="224" bestFit="1" customWidth="1"/>
    <col min="9000" max="9000" width="8.453125" style="224" bestFit="1" customWidth="1"/>
    <col min="9001" max="9216" width="9.1796875" style="224"/>
    <col min="9217" max="9217" width="1.453125" style="224" bestFit="1" customWidth="1"/>
    <col min="9218" max="9218" width="6.1796875" style="224" customWidth="1"/>
    <col min="9219" max="9219" width="35.54296875" style="224" customWidth="1"/>
    <col min="9220" max="9220" width="5.7265625" style="224" customWidth="1"/>
    <col min="9221" max="9221" width="11.26953125" style="224" bestFit="1" customWidth="1"/>
    <col min="9222" max="9222" width="4.81640625" style="224" bestFit="1" customWidth="1"/>
    <col min="9223" max="9223" width="9.453125" style="224" bestFit="1" customWidth="1"/>
    <col min="9224" max="9224" width="4.08984375" style="224" bestFit="1" customWidth="1"/>
    <col min="9225" max="9225" width="4.81640625" style="224" bestFit="1" customWidth="1"/>
    <col min="9226" max="9226" width="4" style="224" bestFit="1" customWidth="1"/>
    <col min="9227" max="9227" width="10.26953125" style="224" bestFit="1" customWidth="1"/>
    <col min="9228" max="9228" width="4.81640625" style="224" bestFit="1" customWidth="1"/>
    <col min="9229" max="9229" width="8.453125" style="224" bestFit="1" customWidth="1"/>
    <col min="9230" max="9230" width="10.26953125" style="224" bestFit="1" customWidth="1"/>
    <col min="9231" max="9231" width="4.81640625" style="224" bestFit="1" customWidth="1"/>
    <col min="9232" max="9232" width="8.453125" style="224" bestFit="1" customWidth="1"/>
    <col min="9233" max="9233" width="10.26953125" style="224" bestFit="1" customWidth="1"/>
    <col min="9234" max="9234" width="4.81640625" style="224" bestFit="1" customWidth="1"/>
    <col min="9235" max="9235" width="8.453125" style="224" bestFit="1" customWidth="1"/>
    <col min="9236" max="9236" width="10.26953125" style="224" bestFit="1" customWidth="1"/>
    <col min="9237" max="9237" width="4.81640625" style="224" bestFit="1" customWidth="1"/>
    <col min="9238" max="9238" width="8.453125" style="224" bestFit="1" customWidth="1"/>
    <col min="9239" max="9239" width="10.26953125" style="224" bestFit="1" customWidth="1"/>
    <col min="9240" max="9240" width="4.81640625" style="224" bestFit="1" customWidth="1"/>
    <col min="9241" max="9241" width="8.453125" style="224" bestFit="1" customWidth="1"/>
    <col min="9242" max="9242" width="10.26953125" style="224" bestFit="1" customWidth="1"/>
    <col min="9243" max="9243" width="4.81640625" style="224" bestFit="1" customWidth="1"/>
    <col min="9244" max="9244" width="8.453125" style="224" bestFit="1" customWidth="1"/>
    <col min="9245" max="9245" width="10.26953125" style="224" bestFit="1" customWidth="1"/>
    <col min="9246" max="9246" width="4.81640625" style="224" bestFit="1" customWidth="1"/>
    <col min="9247" max="9247" width="8.453125" style="224" bestFit="1" customWidth="1"/>
    <col min="9248" max="9248" width="10.26953125" style="224" bestFit="1" customWidth="1"/>
    <col min="9249" max="9249" width="4.81640625" style="224" bestFit="1" customWidth="1"/>
    <col min="9250" max="9250" width="8.453125" style="224" bestFit="1" customWidth="1"/>
    <col min="9251" max="9251" width="10.26953125" style="224" bestFit="1" customWidth="1"/>
    <col min="9252" max="9252" width="4.81640625" style="224" bestFit="1" customWidth="1"/>
    <col min="9253" max="9253" width="8.453125" style="224" bestFit="1" customWidth="1"/>
    <col min="9254" max="9254" width="10.7265625" style="224" bestFit="1" customWidth="1"/>
    <col min="9255" max="9255" width="4.81640625" style="224" bestFit="1" customWidth="1"/>
    <col min="9256" max="9256" width="8.453125" style="224" bestFit="1" customWidth="1"/>
    <col min="9257" max="9472" width="9.1796875" style="224"/>
    <col min="9473" max="9473" width="1.453125" style="224" bestFit="1" customWidth="1"/>
    <col min="9474" max="9474" width="6.1796875" style="224" customWidth="1"/>
    <col min="9475" max="9475" width="35.54296875" style="224" customWidth="1"/>
    <col min="9476" max="9476" width="5.7265625" style="224" customWidth="1"/>
    <col min="9477" max="9477" width="11.26953125" style="224" bestFit="1" customWidth="1"/>
    <col min="9478" max="9478" width="4.81640625" style="224" bestFit="1" customWidth="1"/>
    <col min="9479" max="9479" width="9.453125" style="224" bestFit="1" customWidth="1"/>
    <col min="9480" max="9480" width="4.08984375" style="224" bestFit="1" customWidth="1"/>
    <col min="9481" max="9481" width="4.81640625" style="224" bestFit="1" customWidth="1"/>
    <col min="9482" max="9482" width="4" style="224" bestFit="1" customWidth="1"/>
    <col min="9483" max="9483" width="10.26953125" style="224" bestFit="1" customWidth="1"/>
    <col min="9484" max="9484" width="4.81640625" style="224" bestFit="1" customWidth="1"/>
    <col min="9485" max="9485" width="8.453125" style="224" bestFit="1" customWidth="1"/>
    <col min="9486" max="9486" width="10.26953125" style="224" bestFit="1" customWidth="1"/>
    <col min="9487" max="9487" width="4.81640625" style="224" bestFit="1" customWidth="1"/>
    <col min="9488" max="9488" width="8.453125" style="224" bestFit="1" customWidth="1"/>
    <col min="9489" max="9489" width="10.26953125" style="224" bestFit="1" customWidth="1"/>
    <col min="9490" max="9490" width="4.81640625" style="224" bestFit="1" customWidth="1"/>
    <col min="9491" max="9491" width="8.453125" style="224" bestFit="1" customWidth="1"/>
    <col min="9492" max="9492" width="10.26953125" style="224" bestFit="1" customWidth="1"/>
    <col min="9493" max="9493" width="4.81640625" style="224" bestFit="1" customWidth="1"/>
    <col min="9494" max="9494" width="8.453125" style="224" bestFit="1" customWidth="1"/>
    <col min="9495" max="9495" width="10.26953125" style="224" bestFit="1" customWidth="1"/>
    <col min="9496" max="9496" width="4.81640625" style="224" bestFit="1" customWidth="1"/>
    <col min="9497" max="9497" width="8.453125" style="224" bestFit="1" customWidth="1"/>
    <col min="9498" max="9498" width="10.26953125" style="224" bestFit="1" customWidth="1"/>
    <col min="9499" max="9499" width="4.81640625" style="224" bestFit="1" customWidth="1"/>
    <col min="9500" max="9500" width="8.453125" style="224" bestFit="1" customWidth="1"/>
    <col min="9501" max="9501" width="10.26953125" style="224" bestFit="1" customWidth="1"/>
    <col min="9502" max="9502" width="4.81640625" style="224" bestFit="1" customWidth="1"/>
    <col min="9503" max="9503" width="8.453125" style="224" bestFit="1" customWidth="1"/>
    <col min="9504" max="9504" width="10.26953125" style="224" bestFit="1" customWidth="1"/>
    <col min="9505" max="9505" width="4.81640625" style="224" bestFit="1" customWidth="1"/>
    <col min="9506" max="9506" width="8.453125" style="224" bestFit="1" customWidth="1"/>
    <col min="9507" max="9507" width="10.26953125" style="224" bestFit="1" customWidth="1"/>
    <col min="9508" max="9508" width="4.81640625" style="224" bestFit="1" customWidth="1"/>
    <col min="9509" max="9509" width="8.453125" style="224" bestFit="1" customWidth="1"/>
    <col min="9510" max="9510" width="10.7265625" style="224" bestFit="1" customWidth="1"/>
    <col min="9511" max="9511" width="4.81640625" style="224" bestFit="1" customWidth="1"/>
    <col min="9512" max="9512" width="8.453125" style="224" bestFit="1" customWidth="1"/>
    <col min="9513" max="9728" width="9.1796875" style="224"/>
    <col min="9729" max="9729" width="1.453125" style="224" bestFit="1" customWidth="1"/>
    <col min="9730" max="9730" width="6.1796875" style="224" customWidth="1"/>
    <col min="9731" max="9731" width="35.54296875" style="224" customWidth="1"/>
    <col min="9732" max="9732" width="5.7265625" style="224" customWidth="1"/>
    <col min="9733" max="9733" width="11.26953125" style="224" bestFit="1" customWidth="1"/>
    <col min="9734" max="9734" width="4.81640625" style="224" bestFit="1" customWidth="1"/>
    <col min="9735" max="9735" width="9.453125" style="224" bestFit="1" customWidth="1"/>
    <col min="9736" max="9736" width="4.08984375" style="224" bestFit="1" customWidth="1"/>
    <col min="9737" max="9737" width="4.81640625" style="224" bestFit="1" customWidth="1"/>
    <col min="9738" max="9738" width="4" style="224" bestFit="1" customWidth="1"/>
    <col min="9739" max="9739" width="10.26953125" style="224" bestFit="1" customWidth="1"/>
    <col min="9740" max="9740" width="4.81640625" style="224" bestFit="1" customWidth="1"/>
    <col min="9741" max="9741" width="8.453125" style="224" bestFit="1" customWidth="1"/>
    <col min="9742" max="9742" width="10.26953125" style="224" bestFit="1" customWidth="1"/>
    <col min="9743" max="9743" width="4.81640625" style="224" bestFit="1" customWidth="1"/>
    <col min="9744" max="9744" width="8.453125" style="224" bestFit="1" customWidth="1"/>
    <col min="9745" max="9745" width="10.26953125" style="224" bestFit="1" customWidth="1"/>
    <col min="9746" max="9746" width="4.81640625" style="224" bestFit="1" customWidth="1"/>
    <col min="9747" max="9747" width="8.453125" style="224" bestFit="1" customWidth="1"/>
    <col min="9748" max="9748" width="10.26953125" style="224" bestFit="1" customWidth="1"/>
    <col min="9749" max="9749" width="4.81640625" style="224" bestFit="1" customWidth="1"/>
    <col min="9750" max="9750" width="8.453125" style="224" bestFit="1" customWidth="1"/>
    <col min="9751" max="9751" width="10.26953125" style="224" bestFit="1" customWidth="1"/>
    <col min="9752" max="9752" width="4.81640625" style="224" bestFit="1" customWidth="1"/>
    <col min="9753" max="9753" width="8.453125" style="224" bestFit="1" customWidth="1"/>
    <col min="9754" max="9754" width="10.26953125" style="224" bestFit="1" customWidth="1"/>
    <col min="9755" max="9755" width="4.81640625" style="224" bestFit="1" customWidth="1"/>
    <col min="9756" max="9756" width="8.453125" style="224" bestFit="1" customWidth="1"/>
    <col min="9757" max="9757" width="10.26953125" style="224" bestFit="1" customWidth="1"/>
    <col min="9758" max="9758" width="4.81640625" style="224" bestFit="1" customWidth="1"/>
    <col min="9759" max="9759" width="8.453125" style="224" bestFit="1" customWidth="1"/>
    <col min="9760" max="9760" width="10.26953125" style="224" bestFit="1" customWidth="1"/>
    <col min="9761" max="9761" width="4.81640625" style="224" bestFit="1" customWidth="1"/>
    <col min="9762" max="9762" width="8.453125" style="224" bestFit="1" customWidth="1"/>
    <col min="9763" max="9763" width="10.26953125" style="224" bestFit="1" customWidth="1"/>
    <col min="9764" max="9764" width="4.81640625" style="224" bestFit="1" customWidth="1"/>
    <col min="9765" max="9765" width="8.453125" style="224" bestFit="1" customWidth="1"/>
    <col min="9766" max="9766" width="10.7265625" style="224" bestFit="1" customWidth="1"/>
    <col min="9767" max="9767" width="4.81640625" style="224" bestFit="1" customWidth="1"/>
    <col min="9768" max="9768" width="8.453125" style="224" bestFit="1" customWidth="1"/>
    <col min="9769" max="9984" width="9.1796875" style="224"/>
    <col min="9985" max="9985" width="1.453125" style="224" bestFit="1" customWidth="1"/>
    <col min="9986" max="9986" width="6.1796875" style="224" customWidth="1"/>
    <col min="9987" max="9987" width="35.54296875" style="224" customWidth="1"/>
    <col min="9988" max="9988" width="5.7265625" style="224" customWidth="1"/>
    <col min="9989" max="9989" width="11.26953125" style="224" bestFit="1" customWidth="1"/>
    <col min="9990" max="9990" width="4.81640625" style="224" bestFit="1" customWidth="1"/>
    <col min="9991" max="9991" width="9.453125" style="224" bestFit="1" customWidth="1"/>
    <col min="9992" max="9992" width="4.08984375" style="224" bestFit="1" customWidth="1"/>
    <col min="9993" max="9993" width="4.81640625" style="224" bestFit="1" customWidth="1"/>
    <col min="9994" max="9994" width="4" style="224" bestFit="1" customWidth="1"/>
    <col min="9995" max="9995" width="10.26953125" style="224" bestFit="1" customWidth="1"/>
    <col min="9996" max="9996" width="4.81640625" style="224" bestFit="1" customWidth="1"/>
    <col min="9997" max="9997" width="8.453125" style="224" bestFit="1" customWidth="1"/>
    <col min="9998" max="9998" width="10.26953125" style="224" bestFit="1" customWidth="1"/>
    <col min="9999" max="9999" width="4.81640625" style="224" bestFit="1" customWidth="1"/>
    <col min="10000" max="10000" width="8.453125" style="224" bestFit="1" customWidth="1"/>
    <col min="10001" max="10001" width="10.26953125" style="224" bestFit="1" customWidth="1"/>
    <col min="10002" max="10002" width="4.81640625" style="224" bestFit="1" customWidth="1"/>
    <col min="10003" max="10003" width="8.453125" style="224" bestFit="1" customWidth="1"/>
    <col min="10004" max="10004" width="10.26953125" style="224" bestFit="1" customWidth="1"/>
    <col min="10005" max="10005" width="4.81640625" style="224" bestFit="1" customWidth="1"/>
    <col min="10006" max="10006" width="8.453125" style="224" bestFit="1" customWidth="1"/>
    <col min="10007" max="10007" width="10.26953125" style="224" bestFit="1" customWidth="1"/>
    <col min="10008" max="10008" width="4.81640625" style="224" bestFit="1" customWidth="1"/>
    <col min="10009" max="10009" width="8.453125" style="224" bestFit="1" customWidth="1"/>
    <col min="10010" max="10010" width="10.26953125" style="224" bestFit="1" customWidth="1"/>
    <col min="10011" max="10011" width="4.81640625" style="224" bestFit="1" customWidth="1"/>
    <col min="10012" max="10012" width="8.453125" style="224" bestFit="1" customWidth="1"/>
    <col min="10013" max="10013" width="10.26953125" style="224" bestFit="1" customWidth="1"/>
    <col min="10014" max="10014" width="4.81640625" style="224" bestFit="1" customWidth="1"/>
    <col min="10015" max="10015" width="8.453125" style="224" bestFit="1" customWidth="1"/>
    <col min="10016" max="10016" width="10.26953125" style="224" bestFit="1" customWidth="1"/>
    <col min="10017" max="10017" width="4.81640625" style="224" bestFit="1" customWidth="1"/>
    <col min="10018" max="10018" width="8.453125" style="224" bestFit="1" customWidth="1"/>
    <col min="10019" max="10019" width="10.26953125" style="224" bestFit="1" customWidth="1"/>
    <col min="10020" max="10020" width="4.81640625" style="224" bestFit="1" customWidth="1"/>
    <col min="10021" max="10021" width="8.453125" style="224" bestFit="1" customWidth="1"/>
    <col min="10022" max="10022" width="10.7265625" style="224" bestFit="1" customWidth="1"/>
    <col min="10023" max="10023" width="4.81640625" style="224" bestFit="1" customWidth="1"/>
    <col min="10024" max="10024" width="8.453125" style="224" bestFit="1" customWidth="1"/>
    <col min="10025" max="10240" width="9.1796875" style="224"/>
    <col min="10241" max="10241" width="1.453125" style="224" bestFit="1" customWidth="1"/>
    <col min="10242" max="10242" width="6.1796875" style="224" customWidth="1"/>
    <col min="10243" max="10243" width="35.54296875" style="224" customWidth="1"/>
    <col min="10244" max="10244" width="5.7265625" style="224" customWidth="1"/>
    <col min="10245" max="10245" width="11.26953125" style="224" bestFit="1" customWidth="1"/>
    <col min="10246" max="10246" width="4.81640625" style="224" bestFit="1" customWidth="1"/>
    <col min="10247" max="10247" width="9.453125" style="224" bestFit="1" customWidth="1"/>
    <col min="10248" max="10248" width="4.08984375" style="224" bestFit="1" customWidth="1"/>
    <col min="10249" max="10249" width="4.81640625" style="224" bestFit="1" customWidth="1"/>
    <col min="10250" max="10250" width="4" style="224" bestFit="1" customWidth="1"/>
    <col min="10251" max="10251" width="10.26953125" style="224" bestFit="1" customWidth="1"/>
    <col min="10252" max="10252" width="4.81640625" style="224" bestFit="1" customWidth="1"/>
    <col min="10253" max="10253" width="8.453125" style="224" bestFit="1" customWidth="1"/>
    <col min="10254" max="10254" width="10.26953125" style="224" bestFit="1" customWidth="1"/>
    <col min="10255" max="10255" width="4.81640625" style="224" bestFit="1" customWidth="1"/>
    <col min="10256" max="10256" width="8.453125" style="224" bestFit="1" customWidth="1"/>
    <col min="10257" max="10257" width="10.26953125" style="224" bestFit="1" customWidth="1"/>
    <col min="10258" max="10258" width="4.81640625" style="224" bestFit="1" customWidth="1"/>
    <col min="10259" max="10259" width="8.453125" style="224" bestFit="1" customWidth="1"/>
    <col min="10260" max="10260" width="10.26953125" style="224" bestFit="1" customWidth="1"/>
    <col min="10261" max="10261" width="4.81640625" style="224" bestFit="1" customWidth="1"/>
    <col min="10262" max="10262" width="8.453125" style="224" bestFit="1" customWidth="1"/>
    <col min="10263" max="10263" width="10.26953125" style="224" bestFit="1" customWidth="1"/>
    <col min="10264" max="10264" width="4.81640625" style="224" bestFit="1" customWidth="1"/>
    <col min="10265" max="10265" width="8.453125" style="224" bestFit="1" customWidth="1"/>
    <col min="10266" max="10266" width="10.26953125" style="224" bestFit="1" customWidth="1"/>
    <col min="10267" max="10267" width="4.81640625" style="224" bestFit="1" customWidth="1"/>
    <col min="10268" max="10268" width="8.453125" style="224" bestFit="1" customWidth="1"/>
    <col min="10269" max="10269" width="10.26953125" style="224" bestFit="1" customWidth="1"/>
    <col min="10270" max="10270" width="4.81640625" style="224" bestFit="1" customWidth="1"/>
    <col min="10271" max="10271" width="8.453125" style="224" bestFit="1" customWidth="1"/>
    <col min="10272" max="10272" width="10.26953125" style="224" bestFit="1" customWidth="1"/>
    <col min="10273" max="10273" width="4.81640625" style="224" bestFit="1" customWidth="1"/>
    <col min="10274" max="10274" width="8.453125" style="224" bestFit="1" customWidth="1"/>
    <col min="10275" max="10275" width="10.26953125" style="224" bestFit="1" customWidth="1"/>
    <col min="10276" max="10276" width="4.81640625" style="224" bestFit="1" customWidth="1"/>
    <col min="10277" max="10277" width="8.453125" style="224" bestFit="1" customWidth="1"/>
    <col min="10278" max="10278" width="10.7265625" style="224" bestFit="1" customWidth="1"/>
    <col min="10279" max="10279" width="4.81640625" style="224" bestFit="1" customWidth="1"/>
    <col min="10280" max="10280" width="8.453125" style="224" bestFit="1" customWidth="1"/>
    <col min="10281" max="10496" width="9.1796875" style="224"/>
    <col min="10497" max="10497" width="1.453125" style="224" bestFit="1" customWidth="1"/>
    <col min="10498" max="10498" width="6.1796875" style="224" customWidth="1"/>
    <col min="10499" max="10499" width="35.54296875" style="224" customWidth="1"/>
    <col min="10500" max="10500" width="5.7265625" style="224" customWidth="1"/>
    <col min="10501" max="10501" width="11.26953125" style="224" bestFit="1" customWidth="1"/>
    <col min="10502" max="10502" width="4.81640625" style="224" bestFit="1" customWidth="1"/>
    <col min="10503" max="10503" width="9.453125" style="224" bestFit="1" customWidth="1"/>
    <col min="10504" max="10504" width="4.08984375" style="224" bestFit="1" customWidth="1"/>
    <col min="10505" max="10505" width="4.81640625" style="224" bestFit="1" customWidth="1"/>
    <col min="10506" max="10506" width="4" style="224" bestFit="1" customWidth="1"/>
    <col min="10507" max="10507" width="10.26953125" style="224" bestFit="1" customWidth="1"/>
    <col min="10508" max="10508" width="4.81640625" style="224" bestFit="1" customWidth="1"/>
    <col min="10509" max="10509" width="8.453125" style="224" bestFit="1" customWidth="1"/>
    <col min="10510" max="10510" width="10.26953125" style="224" bestFit="1" customWidth="1"/>
    <col min="10511" max="10511" width="4.81640625" style="224" bestFit="1" customWidth="1"/>
    <col min="10512" max="10512" width="8.453125" style="224" bestFit="1" customWidth="1"/>
    <col min="10513" max="10513" width="10.26953125" style="224" bestFit="1" customWidth="1"/>
    <col min="10514" max="10514" width="4.81640625" style="224" bestFit="1" customWidth="1"/>
    <col min="10515" max="10515" width="8.453125" style="224" bestFit="1" customWidth="1"/>
    <col min="10516" max="10516" width="10.26953125" style="224" bestFit="1" customWidth="1"/>
    <col min="10517" max="10517" width="4.81640625" style="224" bestFit="1" customWidth="1"/>
    <col min="10518" max="10518" width="8.453125" style="224" bestFit="1" customWidth="1"/>
    <col min="10519" max="10519" width="10.26953125" style="224" bestFit="1" customWidth="1"/>
    <col min="10520" max="10520" width="4.81640625" style="224" bestFit="1" customWidth="1"/>
    <col min="10521" max="10521" width="8.453125" style="224" bestFit="1" customWidth="1"/>
    <col min="10522" max="10522" width="10.26953125" style="224" bestFit="1" customWidth="1"/>
    <col min="10523" max="10523" width="4.81640625" style="224" bestFit="1" customWidth="1"/>
    <col min="10524" max="10524" width="8.453125" style="224" bestFit="1" customWidth="1"/>
    <col min="10525" max="10525" width="10.26953125" style="224" bestFit="1" customWidth="1"/>
    <col min="10526" max="10526" width="4.81640625" style="224" bestFit="1" customWidth="1"/>
    <col min="10527" max="10527" width="8.453125" style="224" bestFit="1" customWidth="1"/>
    <col min="10528" max="10528" width="10.26953125" style="224" bestFit="1" customWidth="1"/>
    <col min="10529" max="10529" width="4.81640625" style="224" bestFit="1" customWidth="1"/>
    <col min="10530" max="10530" width="8.453125" style="224" bestFit="1" customWidth="1"/>
    <col min="10531" max="10531" width="10.26953125" style="224" bestFit="1" customWidth="1"/>
    <col min="10532" max="10532" width="4.81640625" style="224" bestFit="1" customWidth="1"/>
    <col min="10533" max="10533" width="8.453125" style="224" bestFit="1" customWidth="1"/>
    <col min="10534" max="10534" width="10.7265625" style="224" bestFit="1" customWidth="1"/>
    <col min="10535" max="10535" width="4.81640625" style="224" bestFit="1" customWidth="1"/>
    <col min="10536" max="10536" width="8.453125" style="224" bestFit="1" customWidth="1"/>
    <col min="10537" max="10752" width="9.1796875" style="224"/>
    <col min="10753" max="10753" width="1.453125" style="224" bestFit="1" customWidth="1"/>
    <col min="10754" max="10754" width="6.1796875" style="224" customWidth="1"/>
    <col min="10755" max="10755" width="35.54296875" style="224" customWidth="1"/>
    <col min="10756" max="10756" width="5.7265625" style="224" customWidth="1"/>
    <col min="10757" max="10757" width="11.26953125" style="224" bestFit="1" customWidth="1"/>
    <col min="10758" max="10758" width="4.81640625" style="224" bestFit="1" customWidth="1"/>
    <col min="10759" max="10759" width="9.453125" style="224" bestFit="1" customWidth="1"/>
    <col min="10760" max="10760" width="4.08984375" style="224" bestFit="1" customWidth="1"/>
    <col min="10761" max="10761" width="4.81640625" style="224" bestFit="1" customWidth="1"/>
    <col min="10762" max="10762" width="4" style="224" bestFit="1" customWidth="1"/>
    <col min="10763" max="10763" width="10.26953125" style="224" bestFit="1" customWidth="1"/>
    <col min="10764" max="10764" width="4.81640625" style="224" bestFit="1" customWidth="1"/>
    <col min="10765" max="10765" width="8.453125" style="224" bestFit="1" customWidth="1"/>
    <col min="10766" max="10766" width="10.26953125" style="224" bestFit="1" customWidth="1"/>
    <col min="10767" max="10767" width="4.81640625" style="224" bestFit="1" customWidth="1"/>
    <col min="10768" max="10768" width="8.453125" style="224" bestFit="1" customWidth="1"/>
    <col min="10769" max="10769" width="10.26953125" style="224" bestFit="1" customWidth="1"/>
    <col min="10770" max="10770" width="4.81640625" style="224" bestFit="1" customWidth="1"/>
    <col min="10771" max="10771" width="8.453125" style="224" bestFit="1" customWidth="1"/>
    <col min="10772" max="10772" width="10.26953125" style="224" bestFit="1" customWidth="1"/>
    <col min="10773" max="10773" width="4.81640625" style="224" bestFit="1" customWidth="1"/>
    <col min="10774" max="10774" width="8.453125" style="224" bestFit="1" customWidth="1"/>
    <col min="10775" max="10775" width="10.26953125" style="224" bestFit="1" customWidth="1"/>
    <col min="10776" max="10776" width="4.81640625" style="224" bestFit="1" customWidth="1"/>
    <col min="10777" max="10777" width="8.453125" style="224" bestFit="1" customWidth="1"/>
    <col min="10778" max="10778" width="10.26953125" style="224" bestFit="1" customWidth="1"/>
    <col min="10779" max="10779" width="4.81640625" style="224" bestFit="1" customWidth="1"/>
    <col min="10780" max="10780" width="8.453125" style="224" bestFit="1" customWidth="1"/>
    <col min="10781" max="10781" width="10.26953125" style="224" bestFit="1" customWidth="1"/>
    <col min="10782" max="10782" width="4.81640625" style="224" bestFit="1" customWidth="1"/>
    <col min="10783" max="10783" width="8.453125" style="224" bestFit="1" customWidth="1"/>
    <col min="10784" max="10784" width="10.26953125" style="224" bestFit="1" customWidth="1"/>
    <col min="10785" max="10785" width="4.81640625" style="224" bestFit="1" customWidth="1"/>
    <col min="10786" max="10786" width="8.453125" style="224" bestFit="1" customWidth="1"/>
    <col min="10787" max="10787" width="10.26953125" style="224" bestFit="1" customWidth="1"/>
    <col min="10788" max="10788" width="4.81640625" style="224" bestFit="1" customWidth="1"/>
    <col min="10789" max="10789" width="8.453125" style="224" bestFit="1" customWidth="1"/>
    <col min="10790" max="10790" width="10.7265625" style="224" bestFit="1" customWidth="1"/>
    <col min="10791" max="10791" width="4.81640625" style="224" bestFit="1" customWidth="1"/>
    <col min="10792" max="10792" width="8.453125" style="224" bestFit="1" customWidth="1"/>
    <col min="10793" max="11008" width="9.1796875" style="224"/>
    <col min="11009" max="11009" width="1.453125" style="224" bestFit="1" customWidth="1"/>
    <col min="11010" max="11010" width="6.1796875" style="224" customWidth="1"/>
    <col min="11011" max="11011" width="35.54296875" style="224" customWidth="1"/>
    <col min="11012" max="11012" width="5.7265625" style="224" customWidth="1"/>
    <col min="11013" max="11013" width="11.26953125" style="224" bestFit="1" customWidth="1"/>
    <col min="11014" max="11014" width="4.81640625" style="224" bestFit="1" customWidth="1"/>
    <col min="11015" max="11015" width="9.453125" style="224" bestFit="1" customWidth="1"/>
    <col min="11016" max="11016" width="4.08984375" style="224" bestFit="1" customWidth="1"/>
    <col min="11017" max="11017" width="4.81640625" style="224" bestFit="1" customWidth="1"/>
    <col min="11018" max="11018" width="4" style="224" bestFit="1" customWidth="1"/>
    <col min="11019" max="11019" width="10.26953125" style="224" bestFit="1" customWidth="1"/>
    <col min="11020" max="11020" width="4.81640625" style="224" bestFit="1" customWidth="1"/>
    <col min="11021" max="11021" width="8.453125" style="224" bestFit="1" customWidth="1"/>
    <col min="11022" max="11022" width="10.26953125" style="224" bestFit="1" customWidth="1"/>
    <col min="11023" max="11023" width="4.81640625" style="224" bestFit="1" customWidth="1"/>
    <col min="11024" max="11024" width="8.453125" style="224" bestFit="1" customWidth="1"/>
    <col min="11025" max="11025" width="10.26953125" style="224" bestFit="1" customWidth="1"/>
    <col min="11026" max="11026" width="4.81640625" style="224" bestFit="1" customWidth="1"/>
    <col min="11027" max="11027" width="8.453125" style="224" bestFit="1" customWidth="1"/>
    <col min="11028" max="11028" width="10.26953125" style="224" bestFit="1" customWidth="1"/>
    <col min="11029" max="11029" width="4.81640625" style="224" bestFit="1" customWidth="1"/>
    <col min="11030" max="11030" width="8.453125" style="224" bestFit="1" customWidth="1"/>
    <col min="11031" max="11031" width="10.26953125" style="224" bestFit="1" customWidth="1"/>
    <col min="11032" max="11032" width="4.81640625" style="224" bestFit="1" customWidth="1"/>
    <col min="11033" max="11033" width="8.453125" style="224" bestFit="1" customWidth="1"/>
    <col min="11034" max="11034" width="10.26953125" style="224" bestFit="1" customWidth="1"/>
    <col min="11035" max="11035" width="4.81640625" style="224" bestFit="1" customWidth="1"/>
    <col min="11036" max="11036" width="8.453125" style="224" bestFit="1" customWidth="1"/>
    <col min="11037" max="11037" width="10.26953125" style="224" bestFit="1" customWidth="1"/>
    <col min="11038" max="11038" width="4.81640625" style="224" bestFit="1" customWidth="1"/>
    <col min="11039" max="11039" width="8.453125" style="224" bestFit="1" customWidth="1"/>
    <col min="11040" max="11040" width="10.26953125" style="224" bestFit="1" customWidth="1"/>
    <col min="11041" max="11041" width="4.81640625" style="224" bestFit="1" customWidth="1"/>
    <col min="11042" max="11042" width="8.453125" style="224" bestFit="1" customWidth="1"/>
    <col min="11043" max="11043" width="10.26953125" style="224" bestFit="1" customWidth="1"/>
    <col min="11044" max="11044" width="4.81640625" style="224" bestFit="1" customWidth="1"/>
    <col min="11045" max="11045" width="8.453125" style="224" bestFit="1" customWidth="1"/>
    <col min="11046" max="11046" width="10.7265625" style="224" bestFit="1" customWidth="1"/>
    <col min="11047" max="11047" width="4.81640625" style="224" bestFit="1" customWidth="1"/>
    <col min="11048" max="11048" width="8.453125" style="224" bestFit="1" customWidth="1"/>
    <col min="11049" max="11264" width="9.1796875" style="224"/>
    <col min="11265" max="11265" width="1.453125" style="224" bestFit="1" customWidth="1"/>
    <col min="11266" max="11266" width="6.1796875" style="224" customWidth="1"/>
    <col min="11267" max="11267" width="35.54296875" style="224" customWidth="1"/>
    <col min="11268" max="11268" width="5.7265625" style="224" customWidth="1"/>
    <col min="11269" max="11269" width="11.26953125" style="224" bestFit="1" customWidth="1"/>
    <col min="11270" max="11270" width="4.81640625" style="224" bestFit="1" customWidth="1"/>
    <col min="11271" max="11271" width="9.453125" style="224" bestFit="1" customWidth="1"/>
    <col min="11272" max="11272" width="4.08984375" style="224" bestFit="1" customWidth="1"/>
    <col min="11273" max="11273" width="4.81640625" style="224" bestFit="1" customWidth="1"/>
    <col min="11274" max="11274" width="4" style="224" bestFit="1" customWidth="1"/>
    <col min="11275" max="11275" width="10.26953125" style="224" bestFit="1" customWidth="1"/>
    <col min="11276" max="11276" width="4.81640625" style="224" bestFit="1" customWidth="1"/>
    <col min="11277" max="11277" width="8.453125" style="224" bestFit="1" customWidth="1"/>
    <col min="11278" max="11278" width="10.26953125" style="224" bestFit="1" customWidth="1"/>
    <col min="11279" max="11279" width="4.81640625" style="224" bestFit="1" customWidth="1"/>
    <col min="11280" max="11280" width="8.453125" style="224" bestFit="1" customWidth="1"/>
    <col min="11281" max="11281" width="10.26953125" style="224" bestFit="1" customWidth="1"/>
    <col min="11282" max="11282" width="4.81640625" style="224" bestFit="1" customWidth="1"/>
    <col min="11283" max="11283" width="8.453125" style="224" bestFit="1" customWidth="1"/>
    <col min="11284" max="11284" width="10.26953125" style="224" bestFit="1" customWidth="1"/>
    <col min="11285" max="11285" width="4.81640625" style="224" bestFit="1" customWidth="1"/>
    <col min="11286" max="11286" width="8.453125" style="224" bestFit="1" customWidth="1"/>
    <col min="11287" max="11287" width="10.26953125" style="224" bestFit="1" customWidth="1"/>
    <col min="11288" max="11288" width="4.81640625" style="224" bestFit="1" customWidth="1"/>
    <col min="11289" max="11289" width="8.453125" style="224" bestFit="1" customWidth="1"/>
    <col min="11290" max="11290" width="10.26953125" style="224" bestFit="1" customWidth="1"/>
    <col min="11291" max="11291" width="4.81640625" style="224" bestFit="1" customWidth="1"/>
    <col min="11292" max="11292" width="8.453125" style="224" bestFit="1" customWidth="1"/>
    <col min="11293" max="11293" width="10.26953125" style="224" bestFit="1" customWidth="1"/>
    <col min="11294" max="11294" width="4.81640625" style="224" bestFit="1" customWidth="1"/>
    <col min="11295" max="11295" width="8.453125" style="224" bestFit="1" customWidth="1"/>
    <col min="11296" max="11296" width="10.26953125" style="224" bestFit="1" customWidth="1"/>
    <col min="11297" max="11297" width="4.81640625" style="224" bestFit="1" customWidth="1"/>
    <col min="11298" max="11298" width="8.453125" style="224" bestFit="1" customWidth="1"/>
    <col min="11299" max="11299" width="10.26953125" style="224" bestFit="1" customWidth="1"/>
    <col min="11300" max="11300" width="4.81640625" style="224" bestFit="1" customWidth="1"/>
    <col min="11301" max="11301" width="8.453125" style="224" bestFit="1" customWidth="1"/>
    <col min="11302" max="11302" width="10.7265625" style="224" bestFit="1" customWidth="1"/>
    <col min="11303" max="11303" width="4.81640625" style="224" bestFit="1" customWidth="1"/>
    <col min="11304" max="11304" width="8.453125" style="224" bestFit="1" customWidth="1"/>
    <col min="11305" max="11520" width="9.1796875" style="224"/>
    <col min="11521" max="11521" width="1.453125" style="224" bestFit="1" customWidth="1"/>
    <col min="11522" max="11522" width="6.1796875" style="224" customWidth="1"/>
    <col min="11523" max="11523" width="35.54296875" style="224" customWidth="1"/>
    <col min="11524" max="11524" width="5.7265625" style="224" customWidth="1"/>
    <col min="11525" max="11525" width="11.26953125" style="224" bestFit="1" customWidth="1"/>
    <col min="11526" max="11526" width="4.81640625" style="224" bestFit="1" customWidth="1"/>
    <col min="11527" max="11527" width="9.453125" style="224" bestFit="1" customWidth="1"/>
    <col min="11528" max="11528" width="4.08984375" style="224" bestFit="1" customWidth="1"/>
    <col min="11529" max="11529" width="4.81640625" style="224" bestFit="1" customWidth="1"/>
    <col min="11530" max="11530" width="4" style="224" bestFit="1" customWidth="1"/>
    <col min="11531" max="11531" width="10.26953125" style="224" bestFit="1" customWidth="1"/>
    <col min="11532" max="11532" width="4.81640625" style="224" bestFit="1" customWidth="1"/>
    <col min="11533" max="11533" width="8.453125" style="224" bestFit="1" customWidth="1"/>
    <col min="11534" max="11534" width="10.26953125" style="224" bestFit="1" customWidth="1"/>
    <col min="11535" max="11535" width="4.81640625" style="224" bestFit="1" customWidth="1"/>
    <col min="11536" max="11536" width="8.453125" style="224" bestFit="1" customWidth="1"/>
    <col min="11537" max="11537" width="10.26953125" style="224" bestFit="1" customWidth="1"/>
    <col min="11538" max="11538" width="4.81640625" style="224" bestFit="1" customWidth="1"/>
    <col min="11539" max="11539" width="8.453125" style="224" bestFit="1" customWidth="1"/>
    <col min="11540" max="11540" width="10.26953125" style="224" bestFit="1" customWidth="1"/>
    <col min="11541" max="11541" width="4.81640625" style="224" bestFit="1" customWidth="1"/>
    <col min="11542" max="11542" width="8.453125" style="224" bestFit="1" customWidth="1"/>
    <col min="11543" max="11543" width="10.26953125" style="224" bestFit="1" customWidth="1"/>
    <col min="11544" max="11544" width="4.81640625" style="224" bestFit="1" customWidth="1"/>
    <col min="11545" max="11545" width="8.453125" style="224" bestFit="1" customWidth="1"/>
    <col min="11546" max="11546" width="10.26953125" style="224" bestFit="1" customWidth="1"/>
    <col min="11547" max="11547" width="4.81640625" style="224" bestFit="1" customWidth="1"/>
    <col min="11548" max="11548" width="8.453125" style="224" bestFit="1" customWidth="1"/>
    <col min="11549" max="11549" width="10.26953125" style="224" bestFit="1" customWidth="1"/>
    <col min="11550" max="11550" width="4.81640625" style="224" bestFit="1" customWidth="1"/>
    <col min="11551" max="11551" width="8.453125" style="224" bestFit="1" customWidth="1"/>
    <col min="11552" max="11552" width="10.26953125" style="224" bestFit="1" customWidth="1"/>
    <col min="11553" max="11553" width="4.81640625" style="224" bestFit="1" customWidth="1"/>
    <col min="11554" max="11554" width="8.453125" style="224" bestFit="1" customWidth="1"/>
    <col min="11555" max="11555" width="10.26953125" style="224" bestFit="1" customWidth="1"/>
    <col min="11556" max="11556" width="4.81640625" style="224" bestFit="1" customWidth="1"/>
    <col min="11557" max="11557" width="8.453125" style="224" bestFit="1" customWidth="1"/>
    <col min="11558" max="11558" width="10.7265625" style="224" bestFit="1" customWidth="1"/>
    <col min="11559" max="11559" width="4.81640625" style="224" bestFit="1" customWidth="1"/>
    <col min="11560" max="11560" width="8.453125" style="224" bestFit="1" customWidth="1"/>
    <col min="11561" max="11776" width="9.1796875" style="224"/>
    <col min="11777" max="11777" width="1.453125" style="224" bestFit="1" customWidth="1"/>
    <col min="11778" max="11778" width="6.1796875" style="224" customWidth="1"/>
    <col min="11779" max="11779" width="35.54296875" style="224" customWidth="1"/>
    <col min="11780" max="11780" width="5.7265625" style="224" customWidth="1"/>
    <col min="11781" max="11781" width="11.26953125" style="224" bestFit="1" customWidth="1"/>
    <col min="11782" max="11782" width="4.81640625" style="224" bestFit="1" customWidth="1"/>
    <col min="11783" max="11783" width="9.453125" style="224" bestFit="1" customWidth="1"/>
    <col min="11784" max="11784" width="4.08984375" style="224" bestFit="1" customWidth="1"/>
    <col min="11785" max="11785" width="4.81640625" style="224" bestFit="1" customWidth="1"/>
    <col min="11786" max="11786" width="4" style="224" bestFit="1" customWidth="1"/>
    <col min="11787" max="11787" width="10.26953125" style="224" bestFit="1" customWidth="1"/>
    <col min="11788" max="11788" width="4.81640625" style="224" bestFit="1" customWidth="1"/>
    <col min="11789" max="11789" width="8.453125" style="224" bestFit="1" customWidth="1"/>
    <col min="11790" max="11790" width="10.26953125" style="224" bestFit="1" customWidth="1"/>
    <col min="11791" max="11791" width="4.81640625" style="224" bestFit="1" customWidth="1"/>
    <col min="11792" max="11792" width="8.453125" style="224" bestFit="1" customWidth="1"/>
    <col min="11793" max="11793" width="10.26953125" style="224" bestFit="1" customWidth="1"/>
    <col min="11794" max="11794" width="4.81640625" style="224" bestFit="1" customWidth="1"/>
    <col min="11795" max="11795" width="8.453125" style="224" bestFit="1" customWidth="1"/>
    <col min="11796" max="11796" width="10.26953125" style="224" bestFit="1" customWidth="1"/>
    <col min="11797" max="11797" width="4.81640625" style="224" bestFit="1" customWidth="1"/>
    <col min="11798" max="11798" width="8.453125" style="224" bestFit="1" customWidth="1"/>
    <col min="11799" max="11799" width="10.26953125" style="224" bestFit="1" customWidth="1"/>
    <col min="11800" max="11800" width="4.81640625" style="224" bestFit="1" customWidth="1"/>
    <col min="11801" max="11801" width="8.453125" style="224" bestFit="1" customWidth="1"/>
    <col min="11802" max="11802" width="10.26953125" style="224" bestFit="1" customWidth="1"/>
    <col min="11803" max="11803" width="4.81640625" style="224" bestFit="1" customWidth="1"/>
    <col min="11804" max="11804" width="8.453125" style="224" bestFit="1" customWidth="1"/>
    <col min="11805" max="11805" width="10.26953125" style="224" bestFit="1" customWidth="1"/>
    <col min="11806" max="11806" width="4.81640625" style="224" bestFit="1" customWidth="1"/>
    <col min="11807" max="11807" width="8.453125" style="224" bestFit="1" customWidth="1"/>
    <col min="11808" max="11808" width="10.26953125" style="224" bestFit="1" customWidth="1"/>
    <col min="11809" max="11809" width="4.81640625" style="224" bestFit="1" customWidth="1"/>
    <col min="11810" max="11810" width="8.453125" style="224" bestFit="1" customWidth="1"/>
    <col min="11811" max="11811" width="10.26953125" style="224" bestFit="1" customWidth="1"/>
    <col min="11812" max="11812" width="4.81640625" style="224" bestFit="1" customWidth="1"/>
    <col min="11813" max="11813" width="8.453125" style="224" bestFit="1" customWidth="1"/>
    <col min="11814" max="11814" width="10.7265625" style="224" bestFit="1" customWidth="1"/>
    <col min="11815" max="11815" width="4.81640625" style="224" bestFit="1" customWidth="1"/>
    <col min="11816" max="11816" width="8.453125" style="224" bestFit="1" customWidth="1"/>
    <col min="11817" max="12032" width="9.1796875" style="224"/>
    <col min="12033" max="12033" width="1.453125" style="224" bestFit="1" customWidth="1"/>
    <col min="12034" max="12034" width="6.1796875" style="224" customWidth="1"/>
    <col min="12035" max="12035" width="35.54296875" style="224" customWidth="1"/>
    <col min="12036" max="12036" width="5.7265625" style="224" customWidth="1"/>
    <col min="12037" max="12037" width="11.26953125" style="224" bestFit="1" customWidth="1"/>
    <col min="12038" max="12038" width="4.81640625" style="224" bestFit="1" customWidth="1"/>
    <col min="12039" max="12039" width="9.453125" style="224" bestFit="1" customWidth="1"/>
    <col min="12040" max="12040" width="4.08984375" style="224" bestFit="1" customWidth="1"/>
    <col min="12041" max="12041" width="4.81640625" style="224" bestFit="1" customWidth="1"/>
    <col min="12042" max="12042" width="4" style="224" bestFit="1" customWidth="1"/>
    <col min="12043" max="12043" width="10.26953125" style="224" bestFit="1" customWidth="1"/>
    <col min="12044" max="12044" width="4.81640625" style="224" bestFit="1" customWidth="1"/>
    <col min="12045" max="12045" width="8.453125" style="224" bestFit="1" customWidth="1"/>
    <col min="12046" max="12046" width="10.26953125" style="224" bestFit="1" customWidth="1"/>
    <col min="12047" max="12047" width="4.81640625" style="224" bestFit="1" customWidth="1"/>
    <col min="12048" max="12048" width="8.453125" style="224" bestFit="1" customWidth="1"/>
    <col min="12049" max="12049" width="10.26953125" style="224" bestFit="1" customWidth="1"/>
    <col min="12050" max="12050" width="4.81640625" style="224" bestFit="1" customWidth="1"/>
    <col min="12051" max="12051" width="8.453125" style="224" bestFit="1" customWidth="1"/>
    <col min="12052" max="12052" width="10.26953125" style="224" bestFit="1" customWidth="1"/>
    <col min="12053" max="12053" width="4.81640625" style="224" bestFit="1" customWidth="1"/>
    <col min="12054" max="12054" width="8.453125" style="224" bestFit="1" customWidth="1"/>
    <col min="12055" max="12055" width="10.26953125" style="224" bestFit="1" customWidth="1"/>
    <col min="12056" max="12056" width="4.81640625" style="224" bestFit="1" customWidth="1"/>
    <col min="12057" max="12057" width="8.453125" style="224" bestFit="1" customWidth="1"/>
    <col min="12058" max="12058" width="10.26953125" style="224" bestFit="1" customWidth="1"/>
    <col min="12059" max="12059" width="4.81640625" style="224" bestFit="1" customWidth="1"/>
    <col min="12060" max="12060" width="8.453125" style="224" bestFit="1" customWidth="1"/>
    <col min="12061" max="12061" width="10.26953125" style="224" bestFit="1" customWidth="1"/>
    <col min="12062" max="12062" width="4.81640625" style="224" bestFit="1" customWidth="1"/>
    <col min="12063" max="12063" width="8.453125" style="224" bestFit="1" customWidth="1"/>
    <col min="12064" max="12064" width="10.26953125" style="224" bestFit="1" customWidth="1"/>
    <col min="12065" max="12065" width="4.81640625" style="224" bestFit="1" customWidth="1"/>
    <col min="12066" max="12066" width="8.453125" style="224" bestFit="1" customWidth="1"/>
    <col min="12067" max="12067" width="10.26953125" style="224" bestFit="1" customWidth="1"/>
    <col min="12068" max="12068" width="4.81640625" style="224" bestFit="1" customWidth="1"/>
    <col min="12069" max="12069" width="8.453125" style="224" bestFit="1" customWidth="1"/>
    <col min="12070" max="12070" width="10.7265625" style="224" bestFit="1" customWidth="1"/>
    <col min="12071" max="12071" width="4.81640625" style="224" bestFit="1" customWidth="1"/>
    <col min="12072" max="12072" width="8.453125" style="224" bestFit="1" customWidth="1"/>
    <col min="12073" max="12288" width="9.1796875" style="224"/>
    <col min="12289" max="12289" width="1.453125" style="224" bestFit="1" customWidth="1"/>
    <col min="12290" max="12290" width="6.1796875" style="224" customWidth="1"/>
    <col min="12291" max="12291" width="35.54296875" style="224" customWidth="1"/>
    <col min="12292" max="12292" width="5.7265625" style="224" customWidth="1"/>
    <col min="12293" max="12293" width="11.26953125" style="224" bestFit="1" customWidth="1"/>
    <col min="12294" max="12294" width="4.81640625" style="224" bestFit="1" customWidth="1"/>
    <col min="12295" max="12295" width="9.453125" style="224" bestFit="1" customWidth="1"/>
    <col min="12296" max="12296" width="4.08984375" style="224" bestFit="1" customWidth="1"/>
    <col min="12297" max="12297" width="4.81640625" style="224" bestFit="1" customWidth="1"/>
    <col min="12298" max="12298" width="4" style="224" bestFit="1" customWidth="1"/>
    <col min="12299" max="12299" width="10.26953125" style="224" bestFit="1" customWidth="1"/>
    <col min="12300" max="12300" width="4.81640625" style="224" bestFit="1" customWidth="1"/>
    <col min="12301" max="12301" width="8.453125" style="224" bestFit="1" customWidth="1"/>
    <col min="12302" max="12302" width="10.26953125" style="224" bestFit="1" customWidth="1"/>
    <col min="12303" max="12303" width="4.81640625" style="224" bestFit="1" customWidth="1"/>
    <col min="12304" max="12304" width="8.453125" style="224" bestFit="1" customWidth="1"/>
    <col min="12305" max="12305" width="10.26953125" style="224" bestFit="1" customWidth="1"/>
    <col min="12306" max="12306" width="4.81640625" style="224" bestFit="1" customWidth="1"/>
    <col min="12307" max="12307" width="8.453125" style="224" bestFit="1" customWidth="1"/>
    <col min="12308" max="12308" width="10.26953125" style="224" bestFit="1" customWidth="1"/>
    <col min="12309" max="12309" width="4.81640625" style="224" bestFit="1" customWidth="1"/>
    <col min="12310" max="12310" width="8.453125" style="224" bestFit="1" customWidth="1"/>
    <col min="12311" max="12311" width="10.26953125" style="224" bestFit="1" customWidth="1"/>
    <col min="12312" max="12312" width="4.81640625" style="224" bestFit="1" customWidth="1"/>
    <col min="12313" max="12313" width="8.453125" style="224" bestFit="1" customWidth="1"/>
    <col min="12314" max="12314" width="10.26953125" style="224" bestFit="1" customWidth="1"/>
    <col min="12315" max="12315" width="4.81640625" style="224" bestFit="1" customWidth="1"/>
    <col min="12316" max="12316" width="8.453125" style="224" bestFit="1" customWidth="1"/>
    <col min="12317" max="12317" width="10.26953125" style="224" bestFit="1" customWidth="1"/>
    <col min="12318" max="12318" width="4.81640625" style="224" bestFit="1" customWidth="1"/>
    <col min="12319" max="12319" width="8.453125" style="224" bestFit="1" customWidth="1"/>
    <col min="12320" max="12320" width="10.26953125" style="224" bestFit="1" customWidth="1"/>
    <col min="12321" max="12321" width="4.81640625" style="224" bestFit="1" customWidth="1"/>
    <col min="12322" max="12322" width="8.453125" style="224" bestFit="1" customWidth="1"/>
    <col min="12323" max="12323" width="10.26953125" style="224" bestFit="1" customWidth="1"/>
    <col min="12324" max="12324" width="4.81640625" style="224" bestFit="1" customWidth="1"/>
    <col min="12325" max="12325" width="8.453125" style="224" bestFit="1" customWidth="1"/>
    <col min="12326" max="12326" width="10.7265625" style="224" bestFit="1" customWidth="1"/>
    <col min="12327" max="12327" width="4.81640625" style="224" bestFit="1" customWidth="1"/>
    <col min="12328" max="12328" width="8.453125" style="224" bestFit="1" customWidth="1"/>
    <col min="12329" max="12544" width="9.1796875" style="224"/>
    <col min="12545" max="12545" width="1.453125" style="224" bestFit="1" customWidth="1"/>
    <col min="12546" max="12546" width="6.1796875" style="224" customWidth="1"/>
    <col min="12547" max="12547" width="35.54296875" style="224" customWidth="1"/>
    <col min="12548" max="12548" width="5.7265625" style="224" customWidth="1"/>
    <col min="12549" max="12549" width="11.26953125" style="224" bestFit="1" customWidth="1"/>
    <col min="12550" max="12550" width="4.81640625" style="224" bestFit="1" customWidth="1"/>
    <col min="12551" max="12551" width="9.453125" style="224" bestFit="1" customWidth="1"/>
    <col min="12552" max="12552" width="4.08984375" style="224" bestFit="1" customWidth="1"/>
    <col min="12553" max="12553" width="4.81640625" style="224" bestFit="1" customWidth="1"/>
    <col min="12554" max="12554" width="4" style="224" bestFit="1" customWidth="1"/>
    <col min="12555" max="12555" width="10.26953125" style="224" bestFit="1" customWidth="1"/>
    <col min="12556" max="12556" width="4.81640625" style="224" bestFit="1" customWidth="1"/>
    <col min="12557" max="12557" width="8.453125" style="224" bestFit="1" customWidth="1"/>
    <col min="12558" max="12558" width="10.26953125" style="224" bestFit="1" customWidth="1"/>
    <col min="12559" max="12559" width="4.81640625" style="224" bestFit="1" customWidth="1"/>
    <col min="12560" max="12560" width="8.453125" style="224" bestFit="1" customWidth="1"/>
    <col min="12561" max="12561" width="10.26953125" style="224" bestFit="1" customWidth="1"/>
    <col min="12562" max="12562" width="4.81640625" style="224" bestFit="1" customWidth="1"/>
    <col min="12563" max="12563" width="8.453125" style="224" bestFit="1" customWidth="1"/>
    <col min="12564" max="12564" width="10.26953125" style="224" bestFit="1" customWidth="1"/>
    <col min="12565" max="12565" width="4.81640625" style="224" bestFit="1" customWidth="1"/>
    <col min="12566" max="12566" width="8.453125" style="224" bestFit="1" customWidth="1"/>
    <col min="12567" max="12567" width="10.26953125" style="224" bestFit="1" customWidth="1"/>
    <col min="12568" max="12568" width="4.81640625" style="224" bestFit="1" customWidth="1"/>
    <col min="12569" max="12569" width="8.453125" style="224" bestFit="1" customWidth="1"/>
    <col min="12570" max="12570" width="10.26953125" style="224" bestFit="1" customWidth="1"/>
    <col min="12571" max="12571" width="4.81640625" style="224" bestFit="1" customWidth="1"/>
    <col min="12572" max="12572" width="8.453125" style="224" bestFit="1" customWidth="1"/>
    <col min="12573" max="12573" width="10.26953125" style="224" bestFit="1" customWidth="1"/>
    <col min="12574" max="12574" width="4.81640625" style="224" bestFit="1" customWidth="1"/>
    <col min="12575" max="12575" width="8.453125" style="224" bestFit="1" customWidth="1"/>
    <col min="12576" max="12576" width="10.26953125" style="224" bestFit="1" customWidth="1"/>
    <col min="12577" max="12577" width="4.81640625" style="224" bestFit="1" customWidth="1"/>
    <col min="12578" max="12578" width="8.453125" style="224" bestFit="1" customWidth="1"/>
    <col min="12579" max="12579" width="10.26953125" style="224" bestFit="1" customWidth="1"/>
    <col min="12580" max="12580" width="4.81640625" style="224" bestFit="1" customWidth="1"/>
    <col min="12581" max="12581" width="8.453125" style="224" bestFit="1" customWidth="1"/>
    <col min="12582" max="12582" width="10.7265625" style="224" bestFit="1" customWidth="1"/>
    <col min="12583" max="12583" width="4.81640625" style="224" bestFit="1" customWidth="1"/>
    <col min="12584" max="12584" width="8.453125" style="224" bestFit="1" customWidth="1"/>
    <col min="12585" max="12800" width="9.1796875" style="224"/>
    <col min="12801" max="12801" width="1.453125" style="224" bestFit="1" customWidth="1"/>
    <col min="12802" max="12802" width="6.1796875" style="224" customWidth="1"/>
    <col min="12803" max="12803" width="35.54296875" style="224" customWidth="1"/>
    <col min="12804" max="12804" width="5.7265625" style="224" customWidth="1"/>
    <col min="12805" max="12805" width="11.26953125" style="224" bestFit="1" customWidth="1"/>
    <col min="12806" max="12806" width="4.81640625" style="224" bestFit="1" customWidth="1"/>
    <col min="12807" max="12807" width="9.453125" style="224" bestFit="1" customWidth="1"/>
    <col min="12808" max="12808" width="4.08984375" style="224" bestFit="1" customWidth="1"/>
    <col min="12809" max="12809" width="4.81640625" style="224" bestFit="1" customWidth="1"/>
    <col min="12810" max="12810" width="4" style="224" bestFit="1" customWidth="1"/>
    <col min="12811" max="12811" width="10.26953125" style="224" bestFit="1" customWidth="1"/>
    <col min="12812" max="12812" width="4.81640625" style="224" bestFit="1" customWidth="1"/>
    <col min="12813" max="12813" width="8.453125" style="224" bestFit="1" customWidth="1"/>
    <col min="12814" max="12814" width="10.26953125" style="224" bestFit="1" customWidth="1"/>
    <col min="12815" max="12815" width="4.81640625" style="224" bestFit="1" customWidth="1"/>
    <col min="12816" max="12816" width="8.453125" style="224" bestFit="1" customWidth="1"/>
    <col min="12817" max="12817" width="10.26953125" style="224" bestFit="1" customWidth="1"/>
    <col min="12818" max="12818" width="4.81640625" style="224" bestFit="1" customWidth="1"/>
    <col min="12819" max="12819" width="8.453125" style="224" bestFit="1" customWidth="1"/>
    <col min="12820" max="12820" width="10.26953125" style="224" bestFit="1" customWidth="1"/>
    <col min="12821" max="12821" width="4.81640625" style="224" bestFit="1" customWidth="1"/>
    <col min="12822" max="12822" width="8.453125" style="224" bestFit="1" customWidth="1"/>
    <col min="12823" max="12823" width="10.26953125" style="224" bestFit="1" customWidth="1"/>
    <col min="12824" max="12824" width="4.81640625" style="224" bestFit="1" customWidth="1"/>
    <col min="12825" max="12825" width="8.453125" style="224" bestFit="1" customWidth="1"/>
    <col min="12826" max="12826" width="10.26953125" style="224" bestFit="1" customWidth="1"/>
    <col min="12827" max="12827" width="4.81640625" style="224" bestFit="1" customWidth="1"/>
    <col min="12828" max="12828" width="8.453125" style="224" bestFit="1" customWidth="1"/>
    <col min="12829" max="12829" width="10.26953125" style="224" bestFit="1" customWidth="1"/>
    <col min="12830" max="12830" width="4.81640625" style="224" bestFit="1" customWidth="1"/>
    <col min="12831" max="12831" width="8.453125" style="224" bestFit="1" customWidth="1"/>
    <col min="12832" max="12832" width="10.26953125" style="224" bestFit="1" customWidth="1"/>
    <col min="12833" max="12833" width="4.81640625" style="224" bestFit="1" customWidth="1"/>
    <col min="12834" max="12834" width="8.453125" style="224" bestFit="1" customWidth="1"/>
    <col min="12835" max="12835" width="10.26953125" style="224" bestFit="1" customWidth="1"/>
    <col min="12836" max="12836" width="4.81640625" style="224" bestFit="1" customWidth="1"/>
    <col min="12837" max="12837" width="8.453125" style="224" bestFit="1" customWidth="1"/>
    <col min="12838" max="12838" width="10.7265625" style="224" bestFit="1" customWidth="1"/>
    <col min="12839" max="12839" width="4.81640625" style="224" bestFit="1" customWidth="1"/>
    <col min="12840" max="12840" width="8.453125" style="224" bestFit="1" customWidth="1"/>
    <col min="12841" max="13056" width="9.1796875" style="224"/>
    <col min="13057" max="13057" width="1.453125" style="224" bestFit="1" customWidth="1"/>
    <col min="13058" max="13058" width="6.1796875" style="224" customWidth="1"/>
    <col min="13059" max="13059" width="35.54296875" style="224" customWidth="1"/>
    <col min="13060" max="13060" width="5.7265625" style="224" customWidth="1"/>
    <col min="13061" max="13061" width="11.26953125" style="224" bestFit="1" customWidth="1"/>
    <col min="13062" max="13062" width="4.81640625" style="224" bestFit="1" customWidth="1"/>
    <col min="13063" max="13063" width="9.453125" style="224" bestFit="1" customWidth="1"/>
    <col min="13064" max="13064" width="4.08984375" style="224" bestFit="1" customWidth="1"/>
    <col min="13065" max="13065" width="4.81640625" style="224" bestFit="1" customWidth="1"/>
    <col min="13066" max="13066" width="4" style="224" bestFit="1" customWidth="1"/>
    <col min="13067" max="13067" width="10.26953125" style="224" bestFit="1" customWidth="1"/>
    <col min="13068" max="13068" width="4.81640625" style="224" bestFit="1" customWidth="1"/>
    <col min="13069" max="13069" width="8.453125" style="224" bestFit="1" customWidth="1"/>
    <col min="13070" max="13070" width="10.26953125" style="224" bestFit="1" customWidth="1"/>
    <col min="13071" max="13071" width="4.81640625" style="224" bestFit="1" customWidth="1"/>
    <col min="13072" max="13072" width="8.453125" style="224" bestFit="1" customWidth="1"/>
    <col min="13073" max="13073" width="10.26953125" style="224" bestFit="1" customWidth="1"/>
    <col min="13074" max="13074" width="4.81640625" style="224" bestFit="1" customWidth="1"/>
    <col min="13075" max="13075" width="8.453125" style="224" bestFit="1" customWidth="1"/>
    <col min="13076" max="13076" width="10.26953125" style="224" bestFit="1" customWidth="1"/>
    <col min="13077" max="13077" width="4.81640625" style="224" bestFit="1" customWidth="1"/>
    <col min="13078" max="13078" width="8.453125" style="224" bestFit="1" customWidth="1"/>
    <col min="13079" max="13079" width="10.26953125" style="224" bestFit="1" customWidth="1"/>
    <col min="13080" max="13080" width="4.81640625" style="224" bestFit="1" customWidth="1"/>
    <col min="13081" max="13081" width="8.453125" style="224" bestFit="1" customWidth="1"/>
    <col min="13082" max="13082" width="10.26953125" style="224" bestFit="1" customWidth="1"/>
    <col min="13083" max="13083" width="4.81640625" style="224" bestFit="1" customWidth="1"/>
    <col min="13084" max="13084" width="8.453125" style="224" bestFit="1" customWidth="1"/>
    <col min="13085" max="13085" width="10.26953125" style="224" bestFit="1" customWidth="1"/>
    <col min="13086" max="13086" width="4.81640625" style="224" bestFit="1" customWidth="1"/>
    <col min="13087" max="13087" width="8.453125" style="224" bestFit="1" customWidth="1"/>
    <col min="13088" max="13088" width="10.26953125" style="224" bestFit="1" customWidth="1"/>
    <col min="13089" max="13089" width="4.81640625" style="224" bestFit="1" customWidth="1"/>
    <col min="13090" max="13090" width="8.453125" style="224" bestFit="1" customWidth="1"/>
    <col min="13091" max="13091" width="10.26953125" style="224" bestFit="1" customWidth="1"/>
    <col min="13092" max="13092" width="4.81640625" style="224" bestFit="1" customWidth="1"/>
    <col min="13093" max="13093" width="8.453125" style="224" bestFit="1" customWidth="1"/>
    <col min="13094" max="13094" width="10.7265625" style="224" bestFit="1" customWidth="1"/>
    <col min="13095" max="13095" width="4.81640625" style="224" bestFit="1" customWidth="1"/>
    <col min="13096" max="13096" width="8.453125" style="224" bestFit="1" customWidth="1"/>
    <col min="13097" max="13312" width="9.1796875" style="224"/>
    <col min="13313" max="13313" width="1.453125" style="224" bestFit="1" customWidth="1"/>
    <col min="13314" max="13314" width="6.1796875" style="224" customWidth="1"/>
    <col min="13315" max="13315" width="35.54296875" style="224" customWidth="1"/>
    <col min="13316" max="13316" width="5.7265625" style="224" customWidth="1"/>
    <col min="13317" max="13317" width="11.26953125" style="224" bestFit="1" customWidth="1"/>
    <col min="13318" max="13318" width="4.81640625" style="224" bestFit="1" customWidth="1"/>
    <col min="13319" max="13319" width="9.453125" style="224" bestFit="1" customWidth="1"/>
    <col min="13320" max="13320" width="4.08984375" style="224" bestFit="1" customWidth="1"/>
    <col min="13321" max="13321" width="4.81640625" style="224" bestFit="1" customWidth="1"/>
    <col min="13322" max="13322" width="4" style="224" bestFit="1" customWidth="1"/>
    <col min="13323" max="13323" width="10.26953125" style="224" bestFit="1" customWidth="1"/>
    <col min="13324" max="13324" width="4.81640625" style="224" bestFit="1" customWidth="1"/>
    <col min="13325" max="13325" width="8.453125" style="224" bestFit="1" customWidth="1"/>
    <col min="13326" max="13326" width="10.26953125" style="224" bestFit="1" customWidth="1"/>
    <col min="13327" max="13327" width="4.81640625" style="224" bestFit="1" customWidth="1"/>
    <col min="13328" max="13328" width="8.453125" style="224" bestFit="1" customWidth="1"/>
    <col min="13329" max="13329" width="10.26953125" style="224" bestFit="1" customWidth="1"/>
    <col min="13330" max="13330" width="4.81640625" style="224" bestFit="1" customWidth="1"/>
    <col min="13331" max="13331" width="8.453125" style="224" bestFit="1" customWidth="1"/>
    <col min="13332" max="13332" width="10.26953125" style="224" bestFit="1" customWidth="1"/>
    <col min="13333" max="13333" width="4.81640625" style="224" bestFit="1" customWidth="1"/>
    <col min="13334" max="13334" width="8.453125" style="224" bestFit="1" customWidth="1"/>
    <col min="13335" max="13335" width="10.26953125" style="224" bestFit="1" customWidth="1"/>
    <col min="13336" max="13336" width="4.81640625" style="224" bestFit="1" customWidth="1"/>
    <col min="13337" max="13337" width="8.453125" style="224" bestFit="1" customWidth="1"/>
    <col min="13338" max="13338" width="10.26953125" style="224" bestFit="1" customWidth="1"/>
    <col min="13339" max="13339" width="4.81640625" style="224" bestFit="1" customWidth="1"/>
    <col min="13340" max="13340" width="8.453125" style="224" bestFit="1" customWidth="1"/>
    <col min="13341" max="13341" width="10.26953125" style="224" bestFit="1" customWidth="1"/>
    <col min="13342" max="13342" width="4.81640625" style="224" bestFit="1" customWidth="1"/>
    <col min="13343" max="13343" width="8.453125" style="224" bestFit="1" customWidth="1"/>
    <col min="13344" max="13344" width="10.26953125" style="224" bestFit="1" customWidth="1"/>
    <col min="13345" max="13345" width="4.81640625" style="224" bestFit="1" customWidth="1"/>
    <col min="13346" max="13346" width="8.453125" style="224" bestFit="1" customWidth="1"/>
    <col min="13347" max="13347" width="10.26953125" style="224" bestFit="1" customWidth="1"/>
    <col min="13348" max="13348" width="4.81640625" style="224" bestFit="1" customWidth="1"/>
    <col min="13349" max="13349" width="8.453125" style="224" bestFit="1" customWidth="1"/>
    <col min="13350" max="13350" width="10.7265625" style="224" bestFit="1" customWidth="1"/>
    <col min="13351" max="13351" width="4.81640625" style="224" bestFit="1" customWidth="1"/>
    <col min="13352" max="13352" width="8.453125" style="224" bestFit="1" customWidth="1"/>
    <col min="13353" max="13568" width="9.1796875" style="224"/>
    <col min="13569" max="13569" width="1.453125" style="224" bestFit="1" customWidth="1"/>
    <col min="13570" max="13570" width="6.1796875" style="224" customWidth="1"/>
    <col min="13571" max="13571" width="35.54296875" style="224" customWidth="1"/>
    <col min="13572" max="13572" width="5.7265625" style="224" customWidth="1"/>
    <col min="13573" max="13573" width="11.26953125" style="224" bestFit="1" customWidth="1"/>
    <col min="13574" max="13574" width="4.81640625" style="224" bestFit="1" customWidth="1"/>
    <col min="13575" max="13575" width="9.453125" style="224" bestFit="1" customWidth="1"/>
    <col min="13576" max="13576" width="4.08984375" style="224" bestFit="1" customWidth="1"/>
    <col min="13577" max="13577" width="4.81640625" style="224" bestFit="1" customWidth="1"/>
    <col min="13578" max="13578" width="4" style="224" bestFit="1" customWidth="1"/>
    <col min="13579" max="13579" width="10.26953125" style="224" bestFit="1" customWidth="1"/>
    <col min="13580" max="13580" width="4.81640625" style="224" bestFit="1" customWidth="1"/>
    <col min="13581" max="13581" width="8.453125" style="224" bestFit="1" customWidth="1"/>
    <col min="13582" max="13582" width="10.26953125" style="224" bestFit="1" customWidth="1"/>
    <col min="13583" max="13583" width="4.81640625" style="224" bestFit="1" customWidth="1"/>
    <col min="13584" max="13584" width="8.453125" style="224" bestFit="1" customWidth="1"/>
    <col min="13585" max="13585" width="10.26953125" style="224" bestFit="1" customWidth="1"/>
    <col min="13586" max="13586" width="4.81640625" style="224" bestFit="1" customWidth="1"/>
    <col min="13587" max="13587" width="8.453125" style="224" bestFit="1" customWidth="1"/>
    <col min="13588" max="13588" width="10.26953125" style="224" bestFit="1" customWidth="1"/>
    <col min="13589" max="13589" width="4.81640625" style="224" bestFit="1" customWidth="1"/>
    <col min="13590" max="13590" width="8.453125" style="224" bestFit="1" customWidth="1"/>
    <col min="13591" max="13591" width="10.26953125" style="224" bestFit="1" customWidth="1"/>
    <col min="13592" max="13592" width="4.81640625" style="224" bestFit="1" customWidth="1"/>
    <col min="13593" max="13593" width="8.453125" style="224" bestFit="1" customWidth="1"/>
    <col min="13594" max="13594" width="10.26953125" style="224" bestFit="1" customWidth="1"/>
    <col min="13595" max="13595" width="4.81640625" style="224" bestFit="1" customWidth="1"/>
    <col min="13596" max="13596" width="8.453125" style="224" bestFit="1" customWidth="1"/>
    <col min="13597" max="13597" width="10.26953125" style="224" bestFit="1" customWidth="1"/>
    <col min="13598" max="13598" width="4.81640625" style="224" bestFit="1" customWidth="1"/>
    <col min="13599" max="13599" width="8.453125" style="224" bestFit="1" customWidth="1"/>
    <col min="13600" max="13600" width="10.26953125" style="224" bestFit="1" customWidth="1"/>
    <col min="13601" max="13601" width="4.81640625" style="224" bestFit="1" customWidth="1"/>
    <col min="13602" max="13602" width="8.453125" style="224" bestFit="1" customWidth="1"/>
    <col min="13603" max="13603" width="10.26953125" style="224" bestFit="1" customWidth="1"/>
    <col min="13604" max="13604" width="4.81640625" style="224" bestFit="1" customWidth="1"/>
    <col min="13605" max="13605" width="8.453125" style="224" bestFit="1" customWidth="1"/>
    <col min="13606" max="13606" width="10.7265625" style="224" bestFit="1" customWidth="1"/>
    <col min="13607" max="13607" width="4.81640625" style="224" bestFit="1" customWidth="1"/>
    <col min="13608" max="13608" width="8.453125" style="224" bestFit="1" customWidth="1"/>
    <col min="13609" max="13824" width="9.1796875" style="224"/>
    <col min="13825" max="13825" width="1.453125" style="224" bestFit="1" customWidth="1"/>
    <col min="13826" max="13826" width="6.1796875" style="224" customWidth="1"/>
    <col min="13827" max="13827" width="35.54296875" style="224" customWidth="1"/>
    <col min="13828" max="13828" width="5.7265625" style="224" customWidth="1"/>
    <col min="13829" max="13829" width="11.26953125" style="224" bestFit="1" customWidth="1"/>
    <col min="13830" max="13830" width="4.81640625" style="224" bestFit="1" customWidth="1"/>
    <col min="13831" max="13831" width="9.453125" style="224" bestFit="1" customWidth="1"/>
    <col min="13832" max="13832" width="4.08984375" style="224" bestFit="1" customWidth="1"/>
    <col min="13833" max="13833" width="4.81640625" style="224" bestFit="1" customWidth="1"/>
    <col min="13834" max="13834" width="4" style="224" bestFit="1" customWidth="1"/>
    <col min="13835" max="13835" width="10.26953125" style="224" bestFit="1" customWidth="1"/>
    <col min="13836" max="13836" width="4.81640625" style="224" bestFit="1" customWidth="1"/>
    <col min="13837" max="13837" width="8.453125" style="224" bestFit="1" customWidth="1"/>
    <col min="13838" max="13838" width="10.26953125" style="224" bestFit="1" customWidth="1"/>
    <col min="13839" max="13839" width="4.81640625" style="224" bestFit="1" customWidth="1"/>
    <col min="13840" max="13840" width="8.453125" style="224" bestFit="1" customWidth="1"/>
    <col min="13841" max="13841" width="10.26953125" style="224" bestFit="1" customWidth="1"/>
    <col min="13842" max="13842" width="4.81640625" style="224" bestFit="1" customWidth="1"/>
    <col min="13843" max="13843" width="8.453125" style="224" bestFit="1" customWidth="1"/>
    <col min="13844" max="13844" width="10.26953125" style="224" bestFit="1" customWidth="1"/>
    <col min="13845" max="13845" width="4.81640625" style="224" bestFit="1" customWidth="1"/>
    <col min="13846" max="13846" width="8.453125" style="224" bestFit="1" customWidth="1"/>
    <col min="13847" max="13847" width="10.26953125" style="224" bestFit="1" customWidth="1"/>
    <col min="13848" max="13848" width="4.81640625" style="224" bestFit="1" customWidth="1"/>
    <col min="13849" max="13849" width="8.453125" style="224" bestFit="1" customWidth="1"/>
    <col min="13850" max="13850" width="10.26953125" style="224" bestFit="1" customWidth="1"/>
    <col min="13851" max="13851" width="4.81640625" style="224" bestFit="1" customWidth="1"/>
    <col min="13852" max="13852" width="8.453125" style="224" bestFit="1" customWidth="1"/>
    <col min="13853" max="13853" width="10.26953125" style="224" bestFit="1" customWidth="1"/>
    <col min="13854" max="13854" width="4.81640625" style="224" bestFit="1" customWidth="1"/>
    <col min="13855" max="13855" width="8.453125" style="224" bestFit="1" customWidth="1"/>
    <col min="13856" max="13856" width="10.26953125" style="224" bestFit="1" customWidth="1"/>
    <col min="13857" max="13857" width="4.81640625" style="224" bestFit="1" customWidth="1"/>
    <col min="13858" max="13858" width="8.453125" style="224" bestFit="1" customWidth="1"/>
    <col min="13859" max="13859" width="10.26953125" style="224" bestFit="1" customWidth="1"/>
    <col min="13860" max="13860" width="4.81640625" style="224" bestFit="1" customWidth="1"/>
    <col min="13861" max="13861" width="8.453125" style="224" bestFit="1" customWidth="1"/>
    <col min="13862" max="13862" width="10.7265625" style="224" bestFit="1" customWidth="1"/>
    <col min="13863" max="13863" width="4.81640625" style="224" bestFit="1" customWidth="1"/>
    <col min="13864" max="13864" width="8.453125" style="224" bestFit="1" customWidth="1"/>
    <col min="13865" max="14080" width="9.1796875" style="224"/>
    <col min="14081" max="14081" width="1.453125" style="224" bestFit="1" customWidth="1"/>
    <col min="14082" max="14082" width="6.1796875" style="224" customWidth="1"/>
    <col min="14083" max="14083" width="35.54296875" style="224" customWidth="1"/>
    <col min="14084" max="14084" width="5.7265625" style="224" customWidth="1"/>
    <col min="14085" max="14085" width="11.26953125" style="224" bestFit="1" customWidth="1"/>
    <col min="14086" max="14086" width="4.81640625" style="224" bestFit="1" customWidth="1"/>
    <col min="14087" max="14087" width="9.453125" style="224" bestFit="1" customWidth="1"/>
    <col min="14088" max="14088" width="4.08984375" style="224" bestFit="1" customWidth="1"/>
    <col min="14089" max="14089" width="4.81640625" style="224" bestFit="1" customWidth="1"/>
    <col min="14090" max="14090" width="4" style="224" bestFit="1" customWidth="1"/>
    <col min="14091" max="14091" width="10.26953125" style="224" bestFit="1" customWidth="1"/>
    <col min="14092" max="14092" width="4.81640625" style="224" bestFit="1" customWidth="1"/>
    <col min="14093" max="14093" width="8.453125" style="224" bestFit="1" customWidth="1"/>
    <col min="14094" max="14094" width="10.26953125" style="224" bestFit="1" customWidth="1"/>
    <col min="14095" max="14095" width="4.81640625" style="224" bestFit="1" customWidth="1"/>
    <col min="14096" max="14096" width="8.453125" style="224" bestFit="1" customWidth="1"/>
    <col min="14097" max="14097" width="10.26953125" style="224" bestFit="1" customWidth="1"/>
    <col min="14098" max="14098" width="4.81640625" style="224" bestFit="1" customWidth="1"/>
    <col min="14099" max="14099" width="8.453125" style="224" bestFit="1" customWidth="1"/>
    <col min="14100" max="14100" width="10.26953125" style="224" bestFit="1" customWidth="1"/>
    <col min="14101" max="14101" width="4.81640625" style="224" bestFit="1" customWidth="1"/>
    <col min="14102" max="14102" width="8.453125" style="224" bestFit="1" customWidth="1"/>
    <col min="14103" max="14103" width="10.26953125" style="224" bestFit="1" customWidth="1"/>
    <col min="14104" max="14104" width="4.81640625" style="224" bestFit="1" customWidth="1"/>
    <col min="14105" max="14105" width="8.453125" style="224" bestFit="1" customWidth="1"/>
    <col min="14106" max="14106" width="10.26953125" style="224" bestFit="1" customWidth="1"/>
    <col min="14107" max="14107" width="4.81640625" style="224" bestFit="1" customWidth="1"/>
    <col min="14108" max="14108" width="8.453125" style="224" bestFit="1" customWidth="1"/>
    <col min="14109" max="14109" width="10.26953125" style="224" bestFit="1" customWidth="1"/>
    <col min="14110" max="14110" width="4.81640625" style="224" bestFit="1" customWidth="1"/>
    <col min="14111" max="14111" width="8.453125" style="224" bestFit="1" customWidth="1"/>
    <col min="14112" max="14112" width="10.26953125" style="224" bestFit="1" customWidth="1"/>
    <col min="14113" max="14113" width="4.81640625" style="224" bestFit="1" customWidth="1"/>
    <col min="14114" max="14114" width="8.453125" style="224" bestFit="1" customWidth="1"/>
    <col min="14115" max="14115" width="10.26953125" style="224" bestFit="1" customWidth="1"/>
    <col min="14116" max="14116" width="4.81640625" style="224" bestFit="1" customWidth="1"/>
    <col min="14117" max="14117" width="8.453125" style="224" bestFit="1" customWidth="1"/>
    <col min="14118" max="14118" width="10.7265625" style="224" bestFit="1" customWidth="1"/>
    <col min="14119" max="14119" width="4.81640625" style="224" bestFit="1" customWidth="1"/>
    <col min="14120" max="14120" width="8.453125" style="224" bestFit="1" customWidth="1"/>
    <col min="14121" max="14336" width="9.1796875" style="224"/>
    <col min="14337" max="14337" width="1.453125" style="224" bestFit="1" customWidth="1"/>
    <col min="14338" max="14338" width="6.1796875" style="224" customWidth="1"/>
    <col min="14339" max="14339" width="35.54296875" style="224" customWidth="1"/>
    <col min="14340" max="14340" width="5.7265625" style="224" customWidth="1"/>
    <col min="14341" max="14341" width="11.26953125" style="224" bestFit="1" customWidth="1"/>
    <col min="14342" max="14342" width="4.81640625" style="224" bestFit="1" customWidth="1"/>
    <col min="14343" max="14343" width="9.453125" style="224" bestFit="1" customWidth="1"/>
    <col min="14344" max="14344" width="4.08984375" style="224" bestFit="1" customWidth="1"/>
    <col min="14345" max="14345" width="4.81640625" style="224" bestFit="1" customWidth="1"/>
    <col min="14346" max="14346" width="4" style="224" bestFit="1" customWidth="1"/>
    <col min="14347" max="14347" width="10.26953125" style="224" bestFit="1" customWidth="1"/>
    <col min="14348" max="14348" width="4.81640625" style="224" bestFit="1" customWidth="1"/>
    <col min="14349" max="14349" width="8.453125" style="224" bestFit="1" customWidth="1"/>
    <col min="14350" max="14350" width="10.26953125" style="224" bestFit="1" customWidth="1"/>
    <col min="14351" max="14351" width="4.81640625" style="224" bestFit="1" customWidth="1"/>
    <col min="14352" max="14352" width="8.453125" style="224" bestFit="1" customWidth="1"/>
    <col min="14353" max="14353" width="10.26953125" style="224" bestFit="1" customWidth="1"/>
    <col min="14354" max="14354" width="4.81640625" style="224" bestFit="1" customWidth="1"/>
    <col min="14355" max="14355" width="8.453125" style="224" bestFit="1" customWidth="1"/>
    <col min="14356" max="14356" width="10.26953125" style="224" bestFit="1" customWidth="1"/>
    <col min="14357" max="14357" width="4.81640625" style="224" bestFit="1" customWidth="1"/>
    <col min="14358" max="14358" width="8.453125" style="224" bestFit="1" customWidth="1"/>
    <col min="14359" max="14359" width="10.26953125" style="224" bestFit="1" customWidth="1"/>
    <col min="14360" max="14360" width="4.81640625" style="224" bestFit="1" customWidth="1"/>
    <col min="14361" max="14361" width="8.453125" style="224" bestFit="1" customWidth="1"/>
    <col min="14362" max="14362" width="10.26953125" style="224" bestFit="1" customWidth="1"/>
    <col min="14363" max="14363" width="4.81640625" style="224" bestFit="1" customWidth="1"/>
    <col min="14364" max="14364" width="8.453125" style="224" bestFit="1" customWidth="1"/>
    <col min="14365" max="14365" width="10.26953125" style="224" bestFit="1" customWidth="1"/>
    <col min="14366" max="14366" width="4.81640625" style="224" bestFit="1" customWidth="1"/>
    <col min="14367" max="14367" width="8.453125" style="224" bestFit="1" customWidth="1"/>
    <col min="14368" max="14368" width="10.26953125" style="224" bestFit="1" customWidth="1"/>
    <col min="14369" max="14369" width="4.81640625" style="224" bestFit="1" customWidth="1"/>
    <col min="14370" max="14370" width="8.453125" style="224" bestFit="1" customWidth="1"/>
    <col min="14371" max="14371" width="10.26953125" style="224" bestFit="1" customWidth="1"/>
    <col min="14372" max="14372" width="4.81640625" style="224" bestFit="1" customWidth="1"/>
    <col min="14373" max="14373" width="8.453125" style="224" bestFit="1" customWidth="1"/>
    <col min="14374" max="14374" width="10.7265625" style="224" bestFit="1" customWidth="1"/>
    <col min="14375" max="14375" width="4.81640625" style="224" bestFit="1" customWidth="1"/>
    <col min="14376" max="14376" width="8.453125" style="224" bestFit="1" customWidth="1"/>
    <col min="14377" max="14592" width="9.1796875" style="224"/>
    <col min="14593" max="14593" width="1.453125" style="224" bestFit="1" customWidth="1"/>
    <col min="14594" max="14594" width="6.1796875" style="224" customWidth="1"/>
    <col min="14595" max="14595" width="35.54296875" style="224" customWidth="1"/>
    <col min="14596" max="14596" width="5.7265625" style="224" customWidth="1"/>
    <col min="14597" max="14597" width="11.26953125" style="224" bestFit="1" customWidth="1"/>
    <col min="14598" max="14598" width="4.81640625" style="224" bestFit="1" customWidth="1"/>
    <col min="14599" max="14599" width="9.453125" style="224" bestFit="1" customWidth="1"/>
    <col min="14600" max="14600" width="4.08984375" style="224" bestFit="1" customWidth="1"/>
    <col min="14601" max="14601" width="4.81640625" style="224" bestFit="1" customWidth="1"/>
    <col min="14602" max="14602" width="4" style="224" bestFit="1" customWidth="1"/>
    <col min="14603" max="14603" width="10.26953125" style="224" bestFit="1" customWidth="1"/>
    <col min="14604" max="14604" width="4.81640625" style="224" bestFit="1" customWidth="1"/>
    <col min="14605" max="14605" width="8.453125" style="224" bestFit="1" customWidth="1"/>
    <col min="14606" max="14606" width="10.26953125" style="224" bestFit="1" customWidth="1"/>
    <col min="14607" max="14607" width="4.81640625" style="224" bestFit="1" customWidth="1"/>
    <col min="14608" max="14608" width="8.453125" style="224" bestFit="1" customWidth="1"/>
    <col min="14609" max="14609" width="10.26953125" style="224" bestFit="1" customWidth="1"/>
    <col min="14610" max="14610" width="4.81640625" style="224" bestFit="1" customWidth="1"/>
    <col min="14611" max="14611" width="8.453125" style="224" bestFit="1" customWidth="1"/>
    <col min="14612" max="14612" width="10.26953125" style="224" bestFit="1" customWidth="1"/>
    <col min="14613" max="14613" width="4.81640625" style="224" bestFit="1" customWidth="1"/>
    <col min="14614" max="14614" width="8.453125" style="224" bestFit="1" customWidth="1"/>
    <col min="14615" max="14615" width="10.26953125" style="224" bestFit="1" customWidth="1"/>
    <col min="14616" max="14616" width="4.81640625" style="224" bestFit="1" customWidth="1"/>
    <col min="14617" max="14617" width="8.453125" style="224" bestFit="1" customWidth="1"/>
    <col min="14618" max="14618" width="10.26953125" style="224" bestFit="1" customWidth="1"/>
    <col min="14619" max="14619" width="4.81640625" style="224" bestFit="1" customWidth="1"/>
    <col min="14620" max="14620" width="8.453125" style="224" bestFit="1" customWidth="1"/>
    <col min="14621" max="14621" width="10.26953125" style="224" bestFit="1" customWidth="1"/>
    <col min="14622" max="14622" width="4.81640625" style="224" bestFit="1" customWidth="1"/>
    <col min="14623" max="14623" width="8.453125" style="224" bestFit="1" customWidth="1"/>
    <col min="14624" max="14624" width="10.26953125" style="224" bestFit="1" customWidth="1"/>
    <col min="14625" max="14625" width="4.81640625" style="224" bestFit="1" customWidth="1"/>
    <col min="14626" max="14626" width="8.453125" style="224" bestFit="1" customWidth="1"/>
    <col min="14627" max="14627" width="10.26953125" style="224" bestFit="1" customWidth="1"/>
    <col min="14628" max="14628" width="4.81640625" style="224" bestFit="1" customWidth="1"/>
    <col min="14629" max="14629" width="8.453125" style="224" bestFit="1" customWidth="1"/>
    <col min="14630" max="14630" width="10.7265625" style="224" bestFit="1" customWidth="1"/>
    <col min="14631" max="14631" width="4.81640625" style="224" bestFit="1" customWidth="1"/>
    <col min="14632" max="14632" width="8.453125" style="224" bestFit="1" customWidth="1"/>
    <col min="14633" max="14848" width="9.1796875" style="224"/>
    <col min="14849" max="14849" width="1.453125" style="224" bestFit="1" customWidth="1"/>
    <col min="14850" max="14850" width="6.1796875" style="224" customWidth="1"/>
    <col min="14851" max="14851" width="35.54296875" style="224" customWidth="1"/>
    <col min="14852" max="14852" width="5.7265625" style="224" customWidth="1"/>
    <col min="14853" max="14853" width="11.26953125" style="224" bestFit="1" customWidth="1"/>
    <col min="14854" max="14854" width="4.81640625" style="224" bestFit="1" customWidth="1"/>
    <col min="14855" max="14855" width="9.453125" style="224" bestFit="1" customWidth="1"/>
    <col min="14856" max="14856" width="4.08984375" style="224" bestFit="1" customWidth="1"/>
    <col min="14857" max="14857" width="4.81640625" style="224" bestFit="1" customWidth="1"/>
    <col min="14858" max="14858" width="4" style="224" bestFit="1" customWidth="1"/>
    <col min="14859" max="14859" width="10.26953125" style="224" bestFit="1" customWidth="1"/>
    <col min="14860" max="14860" width="4.81640625" style="224" bestFit="1" customWidth="1"/>
    <col min="14861" max="14861" width="8.453125" style="224" bestFit="1" customWidth="1"/>
    <col min="14862" max="14862" width="10.26953125" style="224" bestFit="1" customWidth="1"/>
    <col min="14863" max="14863" width="4.81640625" style="224" bestFit="1" customWidth="1"/>
    <col min="14864" max="14864" width="8.453125" style="224" bestFit="1" customWidth="1"/>
    <col min="14865" max="14865" width="10.26953125" style="224" bestFit="1" customWidth="1"/>
    <col min="14866" max="14866" width="4.81640625" style="224" bestFit="1" customWidth="1"/>
    <col min="14867" max="14867" width="8.453125" style="224" bestFit="1" customWidth="1"/>
    <col min="14868" max="14868" width="10.26953125" style="224" bestFit="1" customWidth="1"/>
    <col min="14869" max="14869" width="4.81640625" style="224" bestFit="1" customWidth="1"/>
    <col min="14870" max="14870" width="8.453125" style="224" bestFit="1" customWidth="1"/>
    <col min="14871" max="14871" width="10.26953125" style="224" bestFit="1" customWidth="1"/>
    <col min="14872" max="14872" width="4.81640625" style="224" bestFit="1" customWidth="1"/>
    <col min="14873" max="14873" width="8.453125" style="224" bestFit="1" customWidth="1"/>
    <col min="14874" max="14874" width="10.26953125" style="224" bestFit="1" customWidth="1"/>
    <col min="14875" max="14875" width="4.81640625" style="224" bestFit="1" customWidth="1"/>
    <col min="14876" max="14876" width="8.453125" style="224" bestFit="1" customWidth="1"/>
    <col min="14877" max="14877" width="10.26953125" style="224" bestFit="1" customWidth="1"/>
    <col min="14878" max="14878" width="4.81640625" style="224" bestFit="1" customWidth="1"/>
    <col min="14879" max="14879" width="8.453125" style="224" bestFit="1" customWidth="1"/>
    <col min="14880" max="14880" width="10.26953125" style="224" bestFit="1" customWidth="1"/>
    <col min="14881" max="14881" width="4.81640625" style="224" bestFit="1" customWidth="1"/>
    <col min="14882" max="14882" width="8.453125" style="224" bestFit="1" customWidth="1"/>
    <col min="14883" max="14883" width="10.26953125" style="224" bestFit="1" customWidth="1"/>
    <col min="14884" max="14884" width="4.81640625" style="224" bestFit="1" customWidth="1"/>
    <col min="14885" max="14885" width="8.453125" style="224" bestFit="1" customWidth="1"/>
    <col min="14886" max="14886" width="10.7265625" style="224" bestFit="1" customWidth="1"/>
    <col min="14887" max="14887" width="4.81640625" style="224" bestFit="1" customWidth="1"/>
    <col min="14888" max="14888" width="8.453125" style="224" bestFit="1" customWidth="1"/>
    <col min="14889" max="15104" width="9.1796875" style="224"/>
    <col min="15105" max="15105" width="1.453125" style="224" bestFit="1" customWidth="1"/>
    <col min="15106" max="15106" width="6.1796875" style="224" customWidth="1"/>
    <col min="15107" max="15107" width="35.54296875" style="224" customWidth="1"/>
    <col min="15108" max="15108" width="5.7265625" style="224" customWidth="1"/>
    <col min="15109" max="15109" width="11.26953125" style="224" bestFit="1" customWidth="1"/>
    <col min="15110" max="15110" width="4.81640625" style="224" bestFit="1" customWidth="1"/>
    <col min="15111" max="15111" width="9.453125" style="224" bestFit="1" customWidth="1"/>
    <col min="15112" max="15112" width="4.08984375" style="224" bestFit="1" customWidth="1"/>
    <col min="15113" max="15113" width="4.81640625" style="224" bestFit="1" customWidth="1"/>
    <col min="15114" max="15114" width="4" style="224" bestFit="1" customWidth="1"/>
    <col min="15115" max="15115" width="10.26953125" style="224" bestFit="1" customWidth="1"/>
    <col min="15116" max="15116" width="4.81640625" style="224" bestFit="1" customWidth="1"/>
    <col min="15117" max="15117" width="8.453125" style="224" bestFit="1" customWidth="1"/>
    <col min="15118" max="15118" width="10.26953125" style="224" bestFit="1" customWidth="1"/>
    <col min="15119" max="15119" width="4.81640625" style="224" bestFit="1" customWidth="1"/>
    <col min="15120" max="15120" width="8.453125" style="224" bestFit="1" customWidth="1"/>
    <col min="15121" max="15121" width="10.26953125" style="224" bestFit="1" customWidth="1"/>
    <col min="15122" max="15122" width="4.81640625" style="224" bestFit="1" customWidth="1"/>
    <col min="15123" max="15123" width="8.453125" style="224" bestFit="1" customWidth="1"/>
    <col min="15124" max="15124" width="10.26953125" style="224" bestFit="1" customWidth="1"/>
    <col min="15125" max="15125" width="4.81640625" style="224" bestFit="1" customWidth="1"/>
    <col min="15126" max="15126" width="8.453125" style="224" bestFit="1" customWidth="1"/>
    <col min="15127" max="15127" width="10.26953125" style="224" bestFit="1" customWidth="1"/>
    <col min="15128" max="15128" width="4.81640625" style="224" bestFit="1" customWidth="1"/>
    <col min="15129" max="15129" width="8.453125" style="224" bestFit="1" customWidth="1"/>
    <col min="15130" max="15130" width="10.26953125" style="224" bestFit="1" customWidth="1"/>
    <col min="15131" max="15131" width="4.81640625" style="224" bestFit="1" customWidth="1"/>
    <col min="15132" max="15132" width="8.453125" style="224" bestFit="1" customWidth="1"/>
    <col min="15133" max="15133" width="10.26953125" style="224" bestFit="1" customWidth="1"/>
    <col min="15134" max="15134" width="4.81640625" style="224" bestFit="1" customWidth="1"/>
    <col min="15135" max="15135" width="8.453125" style="224" bestFit="1" customWidth="1"/>
    <col min="15136" max="15136" width="10.26953125" style="224" bestFit="1" customWidth="1"/>
    <col min="15137" max="15137" width="4.81640625" style="224" bestFit="1" customWidth="1"/>
    <col min="15138" max="15138" width="8.453125" style="224" bestFit="1" customWidth="1"/>
    <col min="15139" max="15139" width="10.26953125" style="224" bestFit="1" customWidth="1"/>
    <col min="15140" max="15140" width="4.81640625" style="224" bestFit="1" customWidth="1"/>
    <col min="15141" max="15141" width="8.453125" style="224" bestFit="1" customWidth="1"/>
    <col min="15142" max="15142" width="10.7265625" style="224" bestFit="1" customWidth="1"/>
    <col min="15143" max="15143" width="4.81640625" style="224" bestFit="1" customWidth="1"/>
    <col min="15144" max="15144" width="8.453125" style="224" bestFit="1" customWidth="1"/>
    <col min="15145" max="15360" width="9.1796875" style="224"/>
    <col min="15361" max="15361" width="1.453125" style="224" bestFit="1" customWidth="1"/>
    <col min="15362" max="15362" width="6.1796875" style="224" customWidth="1"/>
    <col min="15363" max="15363" width="35.54296875" style="224" customWidth="1"/>
    <col min="15364" max="15364" width="5.7265625" style="224" customWidth="1"/>
    <col min="15365" max="15365" width="11.26953125" style="224" bestFit="1" customWidth="1"/>
    <col min="15366" max="15366" width="4.81640625" style="224" bestFit="1" customWidth="1"/>
    <col min="15367" max="15367" width="9.453125" style="224" bestFit="1" customWidth="1"/>
    <col min="15368" max="15368" width="4.08984375" style="224" bestFit="1" customWidth="1"/>
    <col min="15369" max="15369" width="4.81640625" style="224" bestFit="1" customWidth="1"/>
    <col min="15370" max="15370" width="4" style="224" bestFit="1" customWidth="1"/>
    <col min="15371" max="15371" width="10.26953125" style="224" bestFit="1" customWidth="1"/>
    <col min="15372" max="15372" width="4.81640625" style="224" bestFit="1" customWidth="1"/>
    <col min="15373" max="15373" width="8.453125" style="224" bestFit="1" customWidth="1"/>
    <col min="15374" max="15374" width="10.26953125" style="224" bestFit="1" customWidth="1"/>
    <col min="15375" max="15375" width="4.81640625" style="224" bestFit="1" customWidth="1"/>
    <col min="15376" max="15376" width="8.453125" style="224" bestFit="1" customWidth="1"/>
    <col min="15377" max="15377" width="10.26953125" style="224" bestFit="1" customWidth="1"/>
    <col min="15378" max="15378" width="4.81640625" style="224" bestFit="1" customWidth="1"/>
    <col min="15379" max="15379" width="8.453125" style="224" bestFit="1" customWidth="1"/>
    <col min="15380" max="15380" width="10.26953125" style="224" bestFit="1" customWidth="1"/>
    <col min="15381" max="15381" width="4.81640625" style="224" bestFit="1" customWidth="1"/>
    <col min="15382" max="15382" width="8.453125" style="224" bestFit="1" customWidth="1"/>
    <col min="15383" max="15383" width="10.26953125" style="224" bestFit="1" customWidth="1"/>
    <col min="15384" max="15384" width="4.81640625" style="224" bestFit="1" customWidth="1"/>
    <col min="15385" max="15385" width="8.453125" style="224" bestFit="1" customWidth="1"/>
    <col min="15386" max="15386" width="10.26953125" style="224" bestFit="1" customWidth="1"/>
    <col min="15387" max="15387" width="4.81640625" style="224" bestFit="1" customWidth="1"/>
    <col min="15388" max="15388" width="8.453125" style="224" bestFit="1" customWidth="1"/>
    <col min="15389" max="15389" width="10.26953125" style="224" bestFit="1" customWidth="1"/>
    <col min="15390" max="15390" width="4.81640625" style="224" bestFit="1" customWidth="1"/>
    <col min="15391" max="15391" width="8.453125" style="224" bestFit="1" customWidth="1"/>
    <col min="15392" max="15392" width="10.26953125" style="224" bestFit="1" customWidth="1"/>
    <col min="15393" max="15393" width="4.81640625" style="224" bestFit="1" customWidth="1"/>
    <col min="15394" max="15394" width="8.453125" style="224" bestFit="1" customWidth="1"/>
    <col min="15395" max="15395" width="10.26953125" style="224" bestFit="1" customWidth="1"/>
    <col min="15396" max="15396" width="4.81640625" style="224" bestFit="1" customWidth="1"/>
    <col min="15397" max="15397" width="8.453125" style="224" bestFit="1" customWidth="1"/>
    <col min="15398" max="15398" width="10.7265625" style="224" bestFit="1" customWidth="1"/>
    <col min="15399" max="15399" width="4.81640625" style="224" bestFit="1" customWidth="1"/>
    <col min="15400" max="15400" width="8.453125" style="224" bestFit="1" customWidth="1"/>
    <col min="15401" max="15616" width="9.1796875" style="224"/>
    <col min="15617" max="15617" width="1.453125" style="224" bestFit="1" customWidth="1"/>
    <col min="15618" max="15618" width="6.1796875" style="224" customWidth="1"/>
    <col min="15619" max="15619" width="35.54296875" style="224" customWidth="1"/>
    <col min="15620" max="15620" width="5.7265625" style="224" customWidth="1"/>
    <col min="15621" max="15621" width="11.26953125" style="224" bestFit="1" customWidth="1"/>
    <col min="15622" max="15622" width="4.81640625" style="224" bestFit="1" customWidth="1"/>
    <col min="15623" max="15623" width="9.453125" style="224" bestFit="1" customWidth="1"/>
    <col min="15624" max="15624" width="4.08984375" style="224" bestFit="1" customWidth="1"/>
    <col min="15625" max="15625" width="4.81640625" style="224" bestFit="1" customWidth="1"/>
    <col min="15626" max="15626" width="4" style="224" bestFit="1" customWidth="1"/>
    <col min="15627" max="15627" width="10.26953125" style="224" bestFit="1" customWidth="1"/>
    <col min="15628" max="15628" width="4.81640625" style="224" bestFit="1" customWidth="1"/>
    <col min="15629" max="15629" width="8.453125" style="224" bestFit="1" customWidth="1"/>
    <col min="15630" max="15630" width="10.26953125" style="224" bestFit="1" customWidth="1"/>
    <col min="15631" max="15631" width="4.81640625" style="224" bestFit="1" customWidth="1"/>
    <col min="15632" max="15632" width="8.453125" style="224" bestFit="1" customWidth="1"/>
    <col min="15633" max="15633" width="10.26953125" style="224" bestFit="1" customWidth="1"/>
    <col min="15634" max="15634" width="4.81640625" style="224" bestFit="1" customWidth="1"/>
    <col min="15635" max="15635" width="8.453125" style="224" bestFit="1" customWidth="1"/>
    <col min="15636" max="15636" width="10.26953125" style="224" bestFit="1" customWidth="1"/>
    <col min="15637" max="15637" width="4.81640625" style="224" bestFit="1" customWidth="1"/>
    <col min="15638" max="15638" width="8.453125" style="224" bestFit="1" customWidth="1"/>
    <col min="15639" max="15639" width="10.26953125" style="224" bestFit="1" customWidth="1"/>
    <col min="15640" max="15640" width="4.81640625" style="224" bestFit="1" customWidth="1"/>
    <col min="15641" max="15641" width="8.453125" style="224" bestFit="1" customWidth="1"/>
    <col min="15642" max="15642" width="10.26953125" style="224" bestFit="1" customWidth="1"/>
    <col min="15643" max="15643" width="4.81640625" style="224" bestFit="1" customWidth="1"/>
    <col min="15644" max="15644" width="8.453125" style="224" bestFit="1" customWidth="1"/>
    <col min="15645" max="15645" width="10.26953125" style="224" bestFit="1" customWidth="1"/>
    <col min="15646" max="15646" width="4.81640625" style="224" bestFit="1" customWidth="1"/>
    <col min="15647" max="15647" width="8.453125" style="224" bestFit="1" customWidth="1"/>
    <col min="15648" max="15648" width="10.26953125" style="224" bestFit="1" customWidth="1"/>
    <col min="15649" max="15649" width="4.81640625" style="224" bestFit="1" customWidth="1"/>
    <col min="15650" max="15650" width="8.453125" style="224" bestFit="1" customWidth="1"/>
    <col min="15651" max="15651" width="10.26953125" style="224" bestFit="1" customWidth="1"/>
    <col min="15652" max="15652" width="4.81640625" style="224" bestFit="1" customWidth="1"/>
    <col min="15653" max="15653" width="8.453125" style="224" bestFit="1" customWidth="1"/>
    <col min="15654" max="15654" width="10.7265625" style="224" bestFit="1" customWidth="1"/>
    <col min="15655" max="15655" width="4.81640625" style="224" bestFit="1" customWidth="1"/>
    <col min="15656" max="15656" width="8.453125" style="224" bestFit="1" customWidth="1"/>
    <col min="15657" max="15872" width="9.1796875" style="224"/>
    <col min="15873" max="15873" width="1.453125" style="224" bestFit="1" customWidth="1"/>
    <col min="15874" max="15874" width="6.1796875" style="224" customWidth="1"/>
    <col min="15875" max="15875" width="35.54296875" style="224" customWidth="1"/>
    <col min="15876" max="15876" width="5.7265625" style="224" customWidth="1"/>
    <col min="15877" max="15877" width="11.26953125" style="224" bestFit="1" customWidth="1"/>
    <col min="15878" max="15878" width="4.81640625" style="224" bestFit="1" customWidth="1"/>
    <col min="15879" max="15879" width="9.453125" style="224" bestFit="1" customWidth="1"/>
    <col min="15880" max="15880" width="4.08984375" style="224" bestFit="1" customWidth="1"/>
    <col min="15881" max="15881" width="4.81640625" style="224" bestFit="1" customWidth="1"/>
    <col min="15882" max="15882" width="4" style="224" bestFit="1" customWidth="1"/>
    <col min="15883" max="15883" width="10.26953125" style="224" bestFit="1" customWidth="1"/>
    <col min="15884" max="15884" width="4.81640625" style="224" bestFit="1" customWidth="1"/>
    <col min="15885" max="15885" width="8.453125" style="224" bestFit="1" customWidth="1"/>
    <col min="15886" max="15886" width="10.26953125" style="224" bestFit="1" customWidth="1"/>
    <col min="15887" max="15887" width="4.81640625" style="224" bestFit="1" customWidth="1"/>
    <col min="15888" max="15888" width="8.453125" style="224" bestFit="1" customWidth="1"/>
    <col min="15889" max="15889" width="10.26953125" style="224" bestFit="1" customWidth="1"/>
    <col min="15890" max="15890" width="4.81640625" style="224" bestFit="1" customWidth="1"/>
    <col min="15891" max="15891" width="8.453125" style="224" bestFit="1" customWidth="1"/>
    <col min="15892" max="15892" width="10.26953125" style="224" bestFit="1" customWidth="1"/>
    <col min="15893" max="15893" width="4.81640625" style="224" bestFit="1" customWidth="1"/>
    <col min="15894" max="15894" width="8.453125" style="224" bestFit="1" customWidth="1"/>
    <col min="15895" max="15895" width="10.26953125" style="224" bestFit="1" customWidth="1"/>
    <col min="15896" max="15896" width="4.81640625" style="224" bestFit="1" customWidth="1"/>
    <col min="15897" max="15897" width="8.453125" style="224" bestFit="1" customWidth="1"/>
    <col min="15898" max="15898" width="10.26953125" style="224" bestFit="1" customWidth="1"/>
    <col min="15899" max="15899" width="4.81640625" style="224" bestFit="1" customWidth="1"/>
    <col min="15900" max="15900" width="8.453125" style="224" bestFit="1" customWidth="1"/>
    <col min="15901" max="15901" width="10.26953125" style="224" bestFit="1" customWidth="1"/>
    <col min="15902" max="15902" width="4.81640625" style="224" bestFit="1" customWidth="1"/>
    <col min="15903" max="15903" width="8.453125" style="224" bestFit="1" customWidth="1"/>
    <col min="15904" max="15904" width="10.26953125" style="224" bestFit="1" customWidth="1"/>
    <col min="15905" max="15905" width="4.81640625" style="224" bestFit="1" customWidth="1"/>
    <col min="15906" max="15906" width="8.453125" style="224" bestFit="1" customWidth="1"/>
    <col min="15907" max="15907" width="10.26953125" style="224" bestFit="1" customWidth="1"/>
    <col min="15908" max="15908" width="4.81640625" style="224" bestFit="1" customWidth="1"/>
    <col min="15909" max="15909" width="8.453125" style="224" bestFit="1" customWidth="1"/>
    <col min="15910" max="15910" width="10.7265625" style="224" bestFit="1" customWidth="1"/>
    <col min="15911" max="15911" width="4.81640625" style="224" bestFit="1" customWidth="1"/>
    <col min="15912" max="15912" width="8.453125" style="224" bestFit="1" customWidth="1"/>
    <col min="15913" max="16128" width="9.1796875" style="224"/>
    <col min="16129" max="16129" width="1.453125" style="224" bestFit="1" customWidth="1"/>
    <col min="16130" max="16130" width="6.1796875" style="224" customWidth="1"/>
    <col min="16131" max="16131" width="35.54296875" style="224" customWidth="1"/>
    <col min="16132" max="16132" width="5.7265625" style="224" customWidth="1"/>
    <col min="16133" max="16133" width="11.26953125" style="224" bestFit="1" customWidth="1"/>
    <col min="16134" max="16134" width="4.81640625" style="224" bestFit="1" customWidth="1"/>
    <col min="16135" max="16135" width="9.453125" style="224" bestFit="1" customWidth="1"/>
    <col min="16136" max="16136" width="4.08984375" style="224" bestFit="1" customWidth="1"/>
    <col min="16137" max="16137" width="4.81640625" style="224" bestFit="1" customWidth="1"/>
    <col min="16138" max="16138" width="4" style="224" bestFit="1" customWidth="1"/>
    <col min="16139" max="16139" width="10.26953125" style="224" bestFit="1" customWidth="1"/>
    <col min="16140" max="16140" width="4.81640625" style="224" bestFit="1" customWidth="1"/>
    <col min="16141" max="16141" width="8.453125" style="224" bestFit="1" customWidth="1"/>
    <col min="16142" max="16142" width="10.26953125" style="224" bestFit="1" customWidth="1"/>
    <col min="16143" max="16143" width="4.81640625" style="224" bestFit="1" customWidth="1"/>
    <col min="16144" max="16144" width="8.453125" style="224" bestFit="1" customWidth="1"/>
    <col min="16145" max="16145" width="10.26953125" style="224" bestFit="1" customWidth="1"/>
    <col min="16146" max="16146" width="4.81640625" style="224" bestFit="1" customWidth="1"/>
    <col min="16147" max="16147" width="8.453125" style="224" bestFit="1" customWidth="1"/>
    <col min="16148" max="16148" width="10.26953125" style="224" bestFit="1" customWidth="1"/>
    <col min="16149" max="16149" width="4.81640625" style="224" bestFit="1" customWidth="1"/>
    <col min="16150" max="16150" width="8.453125" style="224" bestFit="1" customWidth="1"/>
    <col min="16151" max="16151" width="10.26953125" style="224" bestFit="1" customWidth="1"/>
    <col min="16152" max="16152" width="4.81640625" style="224" bestFit="1" customWidth="1"/>
    <col min="16153" max="16153" width="8.453125" style="224" bestFit="1" customWidth="1"/>
    <col min="16154" max="16154" width="10.26953125" style="224" bestFit="1" customWidth="1"/>
    <col min="16155" max="16155" width="4.81640625" style="224" bestFit="1" customWidth="1"/>
    <col min="16156" max="16156" width="8.453125" style="224" bestFit="1" customWidth="1"/>
    <col min="16157" max="16157" width="10.26953125" style="224" bestFit="1" customWidth="1"/>
    <col min="16158" max="16158" width="4.81640625" style="224" bestFit="1" customWidth="1"/>
    <col min="16159" max="16159" width="8.453125" style="224" bestFit="1" customWidth="1"/>
    <col min="16160" max="16160" width="10.26953125" style="224" bestFit="1" customWidth="1"/>
    <col min="16161" max="16161" width="4.81640625" style="224" bestFit="1" customWidth="1"/>
    <col min="16162" max="16162" width="8.453125" style="224" bestFit="1" customWidth="1"/>
    <col min="16163" max="16163" width="10.26953125" style="224" bestFit="1" customWidth="1"/>
    <col min="16164" max="16164" width="4.81640625" style="224" bestFit="1" customWidth="1"/>
    <col min="16165" max="16165" width="8.453125" style="224" bestFit="1" customWidth="1"/>
    <col min="16166" max="16166" width="10.7265625" style="224" bestFit="1" customWidth="1"/>
    <col min="16167" max="16167" width="4.81640625" style="224" bestFit="1" customWidth="1"/>
    <col min="16168" max="16168" width="8.453125" style="224" bestFit="1" customWidth="1"/>
    <col min="16169" max="16384" width="9.1796875" style="224"/>
  </cols>
  <sheetData>
    <row r="2" spans="3:40" x14ac:dyDescent="0.15">
      <c r="C2" s="220" t="s">
        <v>57</v>
      </c>
      <c r="D2" s="220"/>
      <c r="E2" s="221"/>
      <c r="F2" s="222"/>
      <c r="G2" s="222"/>
      <c r="H2" s="220"/>
      <c r="I2" s="222"/>
      <c r="J2" s="220"/>
      <c r="K2" s="223"/>
      <c r="L2" s="222"/>
      <c r="M2" s="220"/>
      <c r="N2" s="220"/>
      <c r="O2" s="222"/>
      <c r="P2" s="220"/>
      <c r="R2" s="222"/>
      <c r="U2" s="222"/>
      <c r="X2" s="222"/>
      <c r="AA2" s="222"/>
      <c r="AD2" s="222"/>
      <c r="AG2" s="222"/>
      <c r="AJ2" s="222"/>
      <c r="AM2" s="222"/>
    </row>
    <row r="3" spans="3:40" ht="7.5" thickBot="1" x14ac:dyDescent="0.2">
      <c r="C3" s="220" t="s">
        <v>74</v>
      </c>
      <c r="D3" s="220"/>
      <c r="E3" s="220"/>
      <c r="F3" s="220"/>
      <c r="G3" s="223"/>
      <c r="H3" s="220"/>
      <c r="I3" s="220"/>
      <c r="J3" s="220"/>
      <c r="K3" s="223"/>
      <c r="L3" s="220"/>
      <c r="M3" s="223"/>
      <c r="N3" s="220"/>
      <c r="O3" s="220"/>
      <c r="P3" s="220"/>
      <c r="R3" s="220"/>
      <c r="U3" s="220"/>
      <c r="X3" s="220"/>
      <c r="AA3" s="220"/>
      <c r="AD3" s="220"/>
      <c r="AG3" s="220"/>
      <c r="AJ3" s="220"/>
      <c r="AM3" s="220"/>
    </row>
    <row r="4" spans="3:40" s="226" customFormat="1" ht="7.5" thickBot="1" x14ac:dyDescent="0.4">
      <c r="C4" s="225"/>
      <c r="D4" s="225"/>
      <c r="E4" s="587" t="s">
        <v>63</v>
      </c>
      <c r="F4" s="588"/>
      <c r="G4" s="589"/>
      <c r="H4" s="579">
        <v>2023</v>
      </c>
      <c r="I4" s="580"/>
      <c r="J4" s="581"/>
      <c r="K4" s="586">
        <v>45657</v>
      </c>
      <c r="L4" s="578"/>
      <c r="M4" s="578"/>
      <c r="N4" s="582">
        <v>46022</v>
      </c>
      <c r="O4" s="580"/>
      <c r="P4" s="581"/>
      <c r="Q4" s="586">
        <v>46387</v>
      </c>
      <c r="R4" s="578"/>
      <c r="S4" s="578"/>
      <c r="T4" s="582">
        <v>46752</v>
      </c>
      <c r="U4" s="580"/>
      <c r="V4" s="581"/>
      <c r="W4" s="586">
        <v>47118</v>
      </c>
      <c r="X4" s="578"/>
      <c r="Y4" s="578"/>
      <c r="Z4" s="582">
        <v>47483</v>
      </c>
      <c r="AA4" s="580"/>
      <c r="AB4" s="581"/>
      <c r="AC4" s="586">
        <v>47848</v>
      </c>
      <c r="AD4" s="578"/>
      <c r="AE4" s="578"/>
      <c r="AF4" s="582">
        <v>48213</v>
      </c>
      <c r="AG4" s="580"/>
      <c r="AH4" s="581"/>
      <c r="AI4" s="586">
        <v>48579</v>
      </c>
      <c r="AJ4" s="578"/>
      <c r="AK4" s="578"/>
      <c r="AL4" s="582">
        <v>48944</v>
      </c>
      <c r="AM4" s="580"/>
      <c r="AN4" s="581"/>
    </row>
    <row r="5" spans="3:40" s="226" customFormat="1" ht="23.5" customHeight="1" thickBot="1" x14ac:dyDescent="0.4">
      <c r="C5" s="227"/>
      <c r="D5" s="227"/>
      <c r="E5" s="274"/>
      <c r="F5" s="275"/>
      <c r="G5" s="276"/>
      <c r="H5" s="583" t="s">
        <v>64</v>
      </c>
      <c r="I5" s="584"/>
      <c r="J5" s="585"/>
      <c r="K5" s="577">
        <v>1</v>
      </c>
      <c r="L5" s="578"/>
      <c r="M5" s="578"/>
      <c r="N5" s="579">
        <f>K5+1</f>
        <v>2</v>
      </c>
      <c r="O5" s="580"/>
      <c r="P5" s="581"/>
      <c r="Q5" s="577">
        <f>N5+1</f>
        <v>3</v>
      </c>
      <c r="R5" s="578"/>
      <c r="S5" s="578"/>
      <c r="T5" s="579">
        <f>Q5+1</f>
        <v>4</v>
      </c>
      <c r="U5" s="580"/>
      <c r="V5" s="581"/>
      <c r="W5" s="577">
        <f>T5+1</f>
        <v>5</v>
      </c>
      <c r="X5" s="578"/>
      <c r="Y5" s="578"/>
      <c r="Z5" s="579">
        <f>W5+1</f>
        <v>6</v>
      </c>
      <c r="AA5" s="580"/>
      <c r="AB5" s="581"/>
      <c r="AC5" s="577">
        <f>Z5+1</f>
        <v>7</v>
      </c>
      <c r="AD5" s="578"/>
      <c r="AE5" s="578"/>
      <c r="AF5" s="579">
        <f>AC5+1</f>
        <v>8</v>
      </c>
      <c r="AG5" s="580"/>
      <c r="AH5" s="581"/>
      <c r="AI5" s="577">
        <f>AF5+1</f>
        <v>9</v>
      </c>
      <c r="AJ5" s="578"/>
      <c r="AK5" s="578"/>
      <c r="AL5" s="579">
        <f>AI5+1</f>
        <v>10</v>
      </c>
      <c r="AM5" s="580"/>
      <c r="AN5" s="581"/>
    </row>
    <row r="6" spans="3:40" s="226" customFormat="1" ht="7.5" thickBot="1" x14ac:dyDescent="0.4">
      <c r="C6" s="228"/>
      <c r="D6" s="446"/>
      <c r="E6" s="277" t="s">
        <v>1</v>
      </c>
      <c r="F6" s="2" t="s">
        <v>65</v>
      </c>
      <c r="G6" s="2" t="s">
        <v>66</v>
      </c>
      <c r="H6" s="229" t="s">
        <v>1</v>
      </c>
      <c r="I6" s="229" t="s">
        <v>65</v>
      </c>
      <c r="J6" s="230" t="s">
        <v>66</v>
      </c>
      <c r="K6" s="277" t="s">
        <v>1</v>
      </c>
      <c r="L6" s="2" t="s">
        <v>65</v>
      </c>
      <c r="M6" s="384" t="s">
        <v>66</v>
      </c>
      <c r="N6" s="229" t="s">
        <v>1</v>
      </c>
      <c r="O6" s="229" t="s">
        <v>65</v>
      </c>
      <c r="P6" s="230" t="s">
        <v>66</v>
      </c>
      <c r="Q6" s="2" t="s">
        <v>1</v>
      </c>
      <c r="R6" s="2" t="s">
        <v>65</v>
      </c>
      <c r="S6" s="384" t="s">
        <v>66</v>
      </c>
      <c r="T6" s="229" t="s">
        <v>1</v>
      </c>
      <c r="U6" s="229" t="s">
        <v>65</v>
      </c>
      <c r="V6" s="230" t="s">
        <v>66</v>
      </c>
      <c r="W6" s="2" t="s">
        <v>1</v>
      </c>
      <c r="X6" s="2" t="s">
        <v>65</v>
      </c>
      <c r="Y6" s="384" t="s">
        <v>66</v>
      </c>
      <c r="Z6" s="229" t="s">
        <v>1</v>
      </c>
      <c r="AA6" s="229" t="s">
        <v>65</v>
      </c>
      <c r="AB6" s="230" t="s">
        <v>66</v>
      </c>
      <c r="AC6" s="2" t="s">
        <v>1</v>
      </c>
      <c r="AD6" s="2" t="s">
        <v>65</v>
      </c>
      <c r="AE6" s="384" t="s">
        <v>66</v>
      </c>
      <c r="AF6" s="229" t="s">
        <v>1</v>
      </c>
      <c r="AG6" s="229" t="s">
        <v>65</v>
      </c>
      <c r="AH6" s="230" t="s">
        <v>66</v>
      </c>
      <c r="AI6" s="2" t="s">
        <v>1</v>
      </c>
      <c r="AJ6" s="2" t="s">
        <v>65</v>
      </c>
      <c r="AK6" s="384" t="s">
        <v>66</v>
      </c>
      <c r="AL6" s="229" t="s">
        <v>1</v>
      </c>
      <c r="AM6" s="229" t="s">
        <v>65</v>
      </c>
      <c r="AN6" s="230" t="s">
        <v>66</v>
      </c>
    </row>
    <row r="7" spans="3:40" ht="7.5" thickBot="1" x14ac:dyDescent="0.2">
      <c r="C7" s="231" t="s">
        <v>67</v>
      </c>
      <c r="D7" s="231"/>
      <c r="E7" s="278"/>
      <c r="F7" s="279"/>
      <c r="G7" s="3"/>
      <c r="H7" s="387"/>
      <c r="I7" s="232"/>
      <c r="J7" s="233"/>
      <c r="K7" s="278"/>
      <c r="L7" s="279"/>
      <c r="M7" s="385"/>
      <c r="N7" s="387"/>
      <c r="O7" s="232"/>
      <c r="P7" s="233"/>
      <c r="Q7" s="388"/>
      <c r="R7" s="279"/>
      <c r="S7" s="385"/>
      <c r="T7" s="387"/>
      <c r="U7" s="232"/>
      <c r="V7" s="233"/>
      <c r="W7" s="388"/>
      <c r="X7" s="279"/>
      <c r="Y7" s="385"/>
      <c r="Z7" s="387"/>
      <c r="AA7" s="232"/>
      <c r="AB7" s="233"/>
      <c r="AC7" s="388"/>
      <c r="AD7" s="279"/>
      <c r="AE7" s="385"/>
      <c r="AF7" s="387"/>
      <c r="AG7" s="232"/>
      <c r="AH7" s="233"/>
      <c r="AI7" s="388"/>
      <c r="AJ7" s="279"/>
      <c r="AK7" s="385"/>
      <c r="AL7" s="387"/>
      <c r="AM7" s="232"/>
      <c r="AN7" s="233"/>
    </row>
    <row r="8" spans="3:40" x14ac:dyDescent="0.15">
      <c r="C8" s="234"/>
      <c r="D8" s="234"/>
      <c r="E8" s="280"/>
      <c r="F8" s="281"/>
      <c r="G8" s="4"/>
      <c r="H8" s="118"/>
      <c r="I8" s="118"/>
      <c r="J8" s="235"/>
      <c r="K8" s="280"/>
      <c r="L8" s="281"/>
      <c r="M8" s="301"/>
      <c r="N8" s="118"/>
      <c r="O8" s="118"/>
      <c r="P8" s="235"/>
      <c r="Q8" s="281"/>
      <c r="R8" s="281"/>
      <c r="S8" s="301"/>
      <c r="T8" s="118"/>
      <c r="U8" s="118"/>
      <c r="V8" s="235"/>
      <c r="W8" s="281"/>
      <c r="X8" s="281"/>
      <c r="Y8" s="301"/>
      <c r="Z8" s="118"/>
      <c r="AA8" s="118"/>
      <c r="AB8" s="235"/>
      <c r="AC8" s="281"/>
      <c r="AD8" s="281"/>
      <c r="AE8" s="301"/>
      <c r="AF8" s="118"/>
      <c r="AG8" s="118"/>
      <c r="AH8" s="235"/>
      <c r="AI8" s="281"/>
      <c r="AJ8" s="281"/>
      <c r="AK8" s="301"/>
      <c r="AL8" s="118"/>
      <c r="AM8" s="118"/>
      <c r="AN8" s="235"/>
    </row>
    <row r="9" spans="3:40" x14ac:dyDescent="0.15">
      <c r="C9" s="236" t="s">
        <v>68</v>
      </c>
      <c r="D9" s="236"/>
      <c r="E9" s="282"/>
      <c r="F9" s="283"/>
      <c r="G9" s="5"/>
      <c r="H9" s="116"/>
      <c r="I9" s="116"/>
      <c r="J9" s="117"/>
      <c r="K9" s="282"/>
      <c r="L9" s="283"/>
      <c r="M9" s="302"/>
      <c r="N9" s="116"/>
      <c r="O9" s="116"/>
      <c r="P9" s="117"/>
      <c r="Q9" s="283"/>
      <c r="R9" s="283"/>
      <c r="S9" s="302"/>
      <c r="T9" s="116"/>
      <c r="U9" s="116"/>
      <c r="V9" s="117"/>
      <c r="W9" s="283"/>
      <c r="X9" s="283"/>
      <c r="Y9" s="302"/>
      <c r="Z9" s="116"/>
      <c r="AA9" s="116"/>
      <c r="AB9" s="117"/>
      <c r="AC9" s="283"/>
      <c r="AD9" s="283"/>
      <c r="AE9" s="302"/>
      <c r="AF9" s="116"/>
      <c r="AG9" s="116"/>
      <c r="AH9" s="117"/>
      <c r="AI9" s="283"/>
      <c r="AJ9" s="283"/>
      <c r="AK9" s="302"/>
      <c r="AL9" s="116"/>
      <c r="AM9" s="116"/>
      <c r="AN9" s="117"/>
    </row>
    <row r="10" spans="3:40" x14ac:dyDescent="0.15">
      <c r="C10" s="237" t="s">
        <v>11</v>
      </c>
      <c r="D10" s="243"/>
      <c r="E10" s="282">
        <f t="shared" ref="E10:E11" si="0">K10+N10+Q10+T10+W10+Z10+AC10+AF10+AI10+AL10</f>
        <v>785149747524.45581</v>
      </c>
      <c r="F10" s="283">
        <f>'Parameters and Summary'!E70</f>
        <v>952.63900000000001</v>
      </c>
      <c r="G10" s="5">
        <f t="shared" ref="G10:G11" si="1">E10/F10</f>
        <v>824183922.26694036</v>
      </c>
      <c r="H10" s="116"/>
      <c r="I10" s="116">
        <f>F10</f>
        <v>952.63900000000001</v>
      </c>
      <c r="J10" s="117">
        <f>H10/I10</f>
        <v>0</v>
      </c>
      <c r="K10" s="389">
        <f>'Revenue Schedule'!AE31</f>
        <v>14990400000</v>
      </c>
      <c r="L10" s="283">
        <f>I10</f>
        <v>952.63900000000001</v>
      </c>
      <c r="M10" s="302">
        <f t="shared" ref="M10:M11" si="2">K10/L10</f>
        <v>15735656.423891947</v>
      </c>
      <c r="N10" s="116">
        <f>'Cashflow Statement'!Q16</f>
        <v>31479840000</v>
      </c>
      <c r="O10" s="116">
        <f>'Exchange Rate growth '!E6</f>
        <v>1047.9029</v>
      </c>
      <c r="P10" s="117">
        <f>N10/O10</f>
        <v>30040798.627430078</v>
      </c>
      <c r="Q10" s="283">
        <f>'Cashflow Statement'!T16</f>
        <v>49580748000</v>
      </c>
      <c r="R10" s="283">
        <f>'Exchange Rate growth '!F6</f>
        <v>1152.6931900000002</v>
      </c>
      <c r="S10" s="302">
        <f t="shared" ref="S10:S11" si="3">Q10/R10</f>
        <v>43012961.671093062</v>
      </c>
      <c r="T10" s="116">
        <f>'Cashflow Statement'!W16</f>
        <v>69413047200</v>
      </c>
      <c r="U10" s="116">
        <f>'Exchange Rate growth '!G6</f>
        <v>1267.9625090000004</v>
      </c>
      <c r="V10" s="117">
        <f t="shared" ref="V10:V11" si="4">T10/U10</f>
        <v>54743769.399572976</v>
      </c>
      <c r="W10" s="283">
        <f>'Cashflow Statement'!Z16</f>
        <v>91104624450</v>
      </c>
      <c r="X10" s="283">
        <f>'Exchange Rate growth '!H6</f>
        <v>1394.7587599000005</v>
      </c>
      <c r="Y10" s="302">
        <f t="shared" ref="Y10:Y11" si="5">W10/X10</f>
        <v>65319270.306308664</v>
      </c>
      <c r="Z10" s="116">
        <f>'Cashflow Statement'!AC16</f>
        <v>95659855672.5</v>
      </c>
      <c r="AA10" s="116">
        <f>'Exchange Rate growth '!I6</f>
        <v>1534.2346358900006</v>
      </c>
      <c r="AB10" s="117">
        <f t="shared" ref="AB10:AB11" si="6">Z10/AA10</f>
        <v>62350212.565112814</v>
      </c>
      <c r="AC10" s="283">
        <f>'Cashflow Statement'!AF16</f>
        <v>100442848456.125</v>
      </c>
      <c r="AD10" s="283">
        <f>'Exchange Rate growth '!J6</f>
        <v>1687.6580994790008</v>
      </c>
      <c r="AE10" s="302">
        <f t="shared" ref="AE10:AE11" si="7">AC10/AD10</f>
        <v>59516111.993971318</v>
      </c>
      <c r="AF10" s="116">
        <f>'Cashflow Statement'!AI16</f>
        <v>105464990878.93127</v>
      </c>
      <c r="AG10" s="116">
        <f>'Exchange Rate growth '!K6</f>
        <v>1856.423909426901</v>
      </c>
      <c r="AH10" s="117">
        <f t="shared" ref="AH10:AH11" si="8">AF10/AG10</f>
        <v>56810834.176063538</v>
      </c>
      <c r="AI10" s="283">
        <f>'Cashflow Statement'!AL16</f>
        <v>110738240422.87784</v>
      </c>
      <c r="AJ10" s="283">
        <f>'Exchange Rate growth '!L6</f>
        <v>2042.0663003695913</v>
      </c>
      <c r="AK10" s="302">
        <f t="shared" ref="AK10:AK11" si="9">AI10/AJ10</f>
        <v>54228523.531697012</v>
      </c>
      <c r="AL10" s="116">
        <f>'Cashflow Statement'!AO16</f>
        <v>116275152444.02174</v>
      </c>
      <c r="AM10" s="116">
        <f>'Exchange Rate growth '!M6</f>
        <v>2246.2729304065506</v>
      </c>
      <c r="AN10" s="117">
        <f t="shared" ref="AN10:AN12" si="10">AL10/AM10</f>
        <v>51763590.643892601</v>
      </c>
    </row>
    <row r="11" spans="3:40" x14ac:dyDescent="0.15">
      <c r="C11" s="237" t="s">
        <v>12</v>
      </c>
      <c r="D11" s="243"/>
      <c r="E11" s="282">
        <f t="shared" si="0"/>
        <v>1154125716533.5056</v>
      </c>
      <c r="F11" s="283">
        <f>F10</f>
        <v>952.63900000000001</v>
      </c>
      <c r="G11" s="5">
        <f t="shared" si="1"/>
        <v>1211503745.4203591</v>
      </c>
      <c r="H11" s="116"/>
      <c r="I11" s="116">
        <f>I10</f>
        <v>952.63900000000001</v>
      </c>
      <c r="J11" s="117"/>
      <c r="K11" s="389">
        <f>'Revenue Schedule'!AE64</f>
        <v>15662809512</v>
      </c>
      <c r="L11" s="283">
        <f>L10</f>
        <v>952.63900000000001</v>
      </c>
      <c r="M11" s="302">
        <f t="shared" si="2"/>
        <v>16441495.164485183</v>
      </c>
      <c r="N11" s="116">
        <f>'Cashflow Statement'!Q17</f>
        <v>32891899975.200001</v>
      </c>
      <c r="O11" s="116">
        <f>O10</f>
        <v>1047.9029</v>
      </c>
      <c r="P11" s="117">
        <f>N11/O11</f>
        <v>31388308.950380802</v>
      </c>
      <c r="Q11" s="283">
        <f>'Cashflow Statement'!T17</f>
        <v>74206793254.860001</v>
      </c>
      <c r="R11" s="283">
        <f>R10</f>
        <v>1152.6931900000002</v>
      </c>
      <c r="S11" s="302">
        <f t="shared" si="3"/>
        <v>64376881.80916553</v>
      </c>
      <c r="T11" s="116">
        <f>'Cashflow Statement'!W17</f>
        <v>103889510556.804</v>
      </c>
      <c r="U11" s="116">
        <f>U10</f>
        <v>1267.9625090000004</v>
      </c>
      <c r="V11" s="117">
        <f t="shared" si="4"/>
        <v>81934213.211665213</v>
      </c>
      <c r="W11" s="283">
        <f>'Cashflow Statement'!Z17</f>
        <v>136354982605.80527</v>
      </c>
      <c r="X11" s="283">
        <f>X10</f>
        <v>1394.7587599000005</v>
      </c>
      <c r="Y11" s="302">
        <f t="shared" si="5"/>
        <v>97762413.491191447</v>
      </c>
      <c r="Z11" s="116">
        <f>'Cashflow Statement'!AC17</f>
        <v>143172731736.09552</v>
      </c>
      <c r="AA11" s="116">
        <f>AA10</f>
        <v>1534.2346358900006</v>
      </c>
      <c r="AB11" s="117">
        <f t="shared" si="6"/>
        <v>93318667.423410013</v>
      </c>
      <c r="AC11" s="283">
        <f>'Cashflow Statement'!AF17</f>
        <v>150331368322.90033</v>
      </c>
      <c r="AD11" s="283">
        <f>AD10</f>
        <v>1687.6580994790008</v>
      </c>
      <c r="AE11" s="302">
        <f t="shared" si="7"/>
        <v>89076909.813255027</v>
      </c>
      <c r="AF11" s="116">
        <f>'Cashflow Statement'!AI17</f>
        <v>157847936739.04532</v>
      </c>
      <c r="AG11" s="116">
        <f>AG10</f>
        <v>1856.423909426901</v>
      </c>
      <c r="AH11" s="117">
        <f t="shared" si="8"/>
        <v>85027959.367197961</v>
      </c>
      <c r="AI11" s="283">
        <f>'Cashflow Statement'!AL17</f>
        <v>165740333575.99768</v>
      </c>
      <c r="AJ11" s="283">
        <f>AJ10</f>
        <v>2042.0663003695913</v>
      </c>
      <c r="AK11" s="302">
        <f t="shared" si="9"/>
        <v>81163052.123234451</v>
      </c>
      <c r="AL11" s="116">
        <f>'Cashflow Statement'!AO17</f>
        <v>174027350254.79755</v>
      </c>
      <c r="AM11" s="116">
        <f>AM10</f>
        <v>2246.2729304065506</v>
      </c>
      <c r="AN11" s="117">
        <f t="shared" si="10"/>
        <v>77473822.48126924</v>
      </c>
    </row>
    <row r="12" spans="3:40" x14ac:dyDescent="0.15">
      <c r="C12" s="390" t="str">
        <f>'Cashflow Statement'!C20</f>
        <v>Fleets Disposal</v>
      </c>
      <c r="D12" s="245"/>
      <c r="E12" s="282">
        <f t="shared" ref="E12" si="11">K12+N12+Q12+T12+W12+Z12+AC12+AF12+AI12+AL12</f>
        <v>100000000000</v>
      </c>
      <c r="F12" s="283">
        <f>F11</f>
        <v>952.63900000000001</v>
      </c>
      <c r="G12" s="5">
        <f t="shared" ref="G12" si="12">E12/F12</f>
        <v>104971557.95637172</v>
      </c>
      <c r="H12" s="246"/>
      <c r="I12" s="246">
        <f>I11</f>
        <v>952.63900000000001</v>
      </c>
      <c r="J12" s="247"/>
      <c r="K12" s="391"/>
      <c r="L12" s="287"/>
      <c r="M12" s="304"/>
      <c r="N12" s="246">
        <f>'Cashflow Statement'!Q20</f>
        <v>0</v>
      </c>
      <c r="O12" s="246"/>
      <c r="P12" s="247"/>
      <c r="Q12" s="287">
        <f>'Cashflow Statement'!T20</f>
        <v>0</v>
      </c>
      <c r="R12" s="287"/>
      <c r="S12" s="304"/>
      <c r="T12" s="246">
        <f>'Cashflow Statement'!W20</f>
        <v>0</v>
      </c>
      <c r="U12" s="246"/>
      <c r="V12" s="247"/>
      <c r="W12" s="287">
        <f>'Cashflow Statement'!Z20</f>
        <v>0</v>
      </c>
      <c r="X12" s="287"/>
      <c r="Y12" s="304"/>
      <c r="Z12" s="246">
        <f>'Cashflow Statement'!AC20</f>
        <v>0</v>
      </c>
      <c r="AA12" s="246"/>
      <c r="AB12" s="247"/>
      <c r="AC12" s="287">
        <f>'Cashflow Statement'!AF20</f>
        <v>0</v>
      </c>
      <c r="AD12" s="287"/>
      <c r="AE12" s="304"/>
      <c r="AF12" s="246">
        <f>'Cashflow Statement'!AI20</f>
        <v>0</v>
      </c>
      <c r="AG12" s="246"/>
      <c r="AH12" s="247"/>
      <c r="AI12" s="287">
        <f>'Cashflow Statement'!AL20</f>
        <v>0</v>
      </c>
      <c r="AJ12" s="287"/>
      <c r="AK12" s="304"/>
      <c r="AL12" s="246">
        <f>'Cashflow Statement'!AO20</f>
        <v>100000000000</v>
      </c>
      <c r="AM12" s="116">
        <f>AM11</f>
        <v>2246.2729304065506</v>
      </c>
      <c r="AN12" s="117">
        <f t="shared" si="10"/>
        <v>44518187.726146489</v>
      </c>
    </row>
    <row r="13" spans="3:40" ht="7.5" thickBot="1" x14ac:dyDescent="0.2">
      <c r="C13" s="390" t="s">
        <v>261</v>
      </c>
      <c r="D13" s="245"/>
      <c r="E13" s="282">
        <f t="shared" ref="E13" si="13">K13+N13+Q13+T13+W13+Z13+AC13+AF13+AI13+AL13</f>
        <v>100000000000</v>
      </c>
      <c r="F13" s="283">
        <f>F12</f>
        <v>952.63900000000001</v>
      </c>
      <c r="G13" s="5">
        <f t="shared" ref="G13" si="14">E13/F13</f>
        <v>104971557.95637172</v>
      </c>
      <c r="H13" s="246"/>
      <c r="I13" s="246">
        <f>I12</f>
        <v>952.63900000000001</v>
      </c>
      <c r="J13" s="247"/>
      <c r="K13" s="391"/>
      <c r="L13" s="287"/>
      <c r="M13" s="304"/>
      <c r="N13" s="246">
        <f>'Cashflow Statement'!Q21</f>
        <v>0</v>
      </c>
      <c r="O13" s="246"/>
      <c r="P13" s="247"/>
      <c r="Q13" s="287">
        <f>'Cashflow Statement'!T21</f>
        <v>0</v>
      </c>
      <c r="R13" s="287"/>
      <c r="S13" s="304"/>
      <c r="T13" s="246">
        <f>'Cashflow Statement'!W21</f>
        <v>0</v>
      </c>
      <c r="U13" s="246"/>
      <c r="V13" s="247"/>
      <c r="W13" s="287">
        <f>'Cashflow Statement'!Z21</f>
        <v>0</v>
      </c>
      <c r="X13" s="287"/>
      <c r="Y13" s="304"/>
      <c r="Z13" s="246">
        <f>'Cashflow Statement'!AC13</f>
        <v>100000000000</v>
      </c>
      <c r="AA13" s="246"/>
      <c r="AB13" s="247"/>
      <c r="AC13" s="287">
        <f>'Cashflow Statement'!AF21</f>
        <v>0</v>
      </c>
      <c r="AD13" s="287"/>
      <c r="AE13" s="304"/>
      <c r="AF13" s="246">
        <f>'Cashflow Statement'!AI21</f>
        <v>0</v>
      </c>
      <c r="AG13" s="246"/>
      <c r="AH13" s="247"/>
      <c r="AI13" s="287">
        <f>'Cashflow Statement'!AL21</f>
        <v>0</v>
      </c>
      <c r="AJ13" s="287"/>
      <c r="AK13" s="304"/>
      <c r="AL13" s="246">
        <f>'Cashflow Statement'!AO21</f>
        <v>0</v>
      </c>
      <c r="AM13" s="116">
        <f>AM12</f>
        <v>2246.2729304065506</v>
      </c>
      <c r="AN13" s="117">
        <f t="shared" ref="AN13" si="15">AL13/AM13</f>
        <v>0</v>
      </c>
    </row>
    <row r="14" spans="3:40" ht="7.5" thickBot="1" x14ac:dyDescent="0.2">
      <c r="C14" s="239" t="s">
        <v>69</v>
      </c>
      <c r="D14" s="239"/>
      <c r="E14" s="290">
        <f>SUM(E10:E12)</f>
        <v>2039275464057.9614</v>
      </c>
      <c r="F14" s="9"/>
      <c r="G14" s="9">
        <f>SUM(G10:G12)</f>
        <v>2140659225.6436713</v>
      </c>
      <c r="H14" s="252">
        <f>SUM(H10:H12)</f>
        <v>0</v>
      </c>
      <c r="I14" s="252"/>
      <c r="J14" s="252">
        <f>SUM(J10:J12)</f>
        <v>0</v>
      </c>
      <c r="K14" s="290">
        <f>SUM(K10:K12)</f>
        <v>30653209512</v>
      </c>
      <c r="L14" s="9"/>
      <c r="M14" s="290">
        <f>SUM(M10:M12)</f>
        <v>32177151.588377129</v>
      </c>
      <c r="N14" s="252">
        <f>SUM(N10:N12)</f>
        <v>64371739975.199997</v>
      </c>
      <c r="O14" s="252"/>
      <c r="P14" s="252">
        <f>SUM(P10:P12)</f>
        <v>61429107.577810884</v>
      </c>
      <c r="Q14" s="9">
        <f>SUM(Q10:Q12)</f>
        <v>123787541254.86</v>
      </c>
      <c r="R14" s="9"/>
      <c r="S14" s="290">
        <f>SUM(S10:S12)</f>
        <v>107389843.48025858</v>
      </c>
      <c r="T14" s="252">
        <f>SUM(T10:T12)</f>
        <v>173302557756.80402</v>
      </c>
      <c r="U14" s="252"/>
      <c r="V14" s="252">
        <f>SUM(V10:V12)</f>
        <v>136677982.61123818</v>
      </c>
      <c r="W14" s="9">
        <f>SUM(W10:W12)</f>
        <v>227459607055.80527</v>
      </c>
      <c r="X14" s="9"/>
      <c r="Y14" s="290">
        <f>SUM(Y10:Y12)</f>
        <v>163081683.7975001</v>
      </c>
      <c r="Z14" s="252">
        <f>SUM(Z10:Z13)</f>
        <v>338832587408.59552</v>
      </c>
      <c r="AA14" s="252"/>
      <c r="AB14" s="252">
        <f>SUM(AB10:AB12)</f>
        <v>155668879.98852283</v>
      </c>
      <c r="AC14" s="9">
        <f>SUM(AC10:AC12)</f>
        <v>250774216779.02533</v>
      </c>
      <c r="AD14" s="9"/>
      <c r="AE14" s="290">
        <f>SUM(AE10:AE12)</f>
        <v>148593021.80722636</v>
      </c>
      <c r="AF14" s="252">
        <f>SUM(AF10:AF12)</f>
        <v>263312927617.97659</v>
      </c>
      <c r="AG14" s="252"/>
      <c r="AH14" s="252">
        <f>SUM(AH10:AH12)</f>
        <v>141838793.5432615</v>
      </c>
      <c r="AI14" s="9">
        <f>SUM(AI10:AI12)</f>
        <v>276478573998.87549</v>
      </c>
      <c r="AJ14" s="9"/>
      <c r="AK14" s="290">
        <f>SUM(AK10:AK12)</f>
        <v>135391575.65493146</v>
      </c>
      <c r="AL14" s="252">
        <f>SUM(AL10:AL12)</f>
        <v>390302502698.81927</v>
      </c>
      <c r="AM14" s="252"/>
      <c r="AN14" s="252">
        <f>SUM(AN10:AN12)</f>
        <v>173755600.85130835</v>
      </c>
    </row>
    <row r="15" spans="3:40" ht="7.5" thickBot="1" x14ac:dyDescent="0.2">
      <c r="C15" s="239"/>
      <c r="D15" s="239"/>
      <c r="E15" s="284"/>
      <c r="F15" s="6"/>
      <c r="G15" s="6"/>
      <c r="H15" s="240"/>
      <c r="I15" s="240"/>
      <c r="J15" s="240"/>
      <c r="K15" s="284"/>
      <c r="L15" s="6"/>
      <c r="M15" s="284"/>
      <c r="N15" s="240"/>
      <c r="O15" s="240"/>
      <c r="P15" s="240"/>
      <c r="Q15" s="6"/>
      <c r="R15" s="6"/>
      <c r="S15" s="284"/>
      <c r="T15" s="240"/>
      <c r="U15" s="240"/>
      <c r="V15" s="240"/>
      <c r="W15" s="6"/>
      <c r="X15" s="6"/>
      <c r="Y15" s="284"/>
      <c r="Z15" s="240"/>
      <c r="AA15" s="240"/>
      <c r="AB15" s="240"/>
      <c r="AC15" s="6"/>
      <c r="AD15" s="6"/>
      <c r="AE15" s="284"/>
      <c r="AF15" s="240"/>
      <c r="AG15" s="240"/>
      <c r="AH15" s="240"/>
      <c r="AI15" s="6"/>
      <c r="AJ15" s="6"/>
      <c r="AK15" s="284"/>
      <c r="AL15" s="240"/>
      <c r="AM15" s="240"/>
      <c r="AN15" s="240"/>
    </row>
    <row r="16" spans="3:40" x14ac:dyDescent="0.15">
      <c r="C16" s="234"/>
      <c r="D16" s="234"/>
      <c r="E16" s="280"/>
      <c r="F16" s="281"/>
      <c r="G16" s="4"/>
      <c r="H16" s="118"/>
      <c r="I16" s="118"/>
      <c r="J16" s="235"/>
      <c r="K16" s="280"/>
      <c r="L16" s="281"/>
      <c r="M16" s="301"/>
      <c r="N16" s="118"/>
      <c r="O16" s="118"/>
      <c r="P16" s="235"/>
      <c r="Q16" s="281"/>
      <c r="R16" s="281"/>
      <c r="S16" s="301"/>
      <c r="T16" s="118"/>
      <c r="U16" s="118"/>
      <c r="V16" s="235"/>
      <c r="W16" s="281"/>
      <c r="X16" s="281"/>
      <c r="Y16" s="301"/>
      <c r="Z16" s="118"/>
      <c r="AA16" s="118"/>
      <c r="AB16" s="235"/>
      <c r="AC16" s="281"/>
      <c r="AD16" s="281"/>
      <c r="AE16" s="301"/>
      <c r="AF16" s="118"/>
      <c r="AG16" s="118"/>
      <c r="AH16" s="235"/>
      <c r="AI16" s="281"/>
      <c r="AJ16" s="281"/>
      <c r="AK16" s="301"/>
      <c r="AL16" s="118"/>
      <c r="AM16" s="118"/>
      <c r="AN16" s="235"/>
    </row>
    <row r="17" spans="3:40" x14ac:dyDescent="0.15">
      <c r="C17" s="242" t="s">
        <v>22</v>
      </c>
      <c r="D17" s="242"/>
      <c r="E17" s="282"/>
      <c r="F17" s="283"/>
      <c r="G17" s="5"/>
      <c r="H17" s="116"/>
      <c r="I17" s="116"/>
      <c r="J17" s="117"/>
      <c r="K17" s="282"/>
      <c r="L17" s="283"/>
      <c r="M17" s="302"/>
      <c r="N17" s="116"/>
      <c r="O17" s="116"/>
      <c r="P17" s="117"/>
      <c r="Q17" s="283"/>
      <c r="R17" s="283"/>
      <c r="S17" s="302"/>
      <c r="T17" s="116"/>
      <c r="U17" s="116"/>
      <c r="V17" s="117"/>
      <c r="W17" s="283"/>
      <c r="X17" s="283"/>
      <c r="Y17" s="302"/>
      <c r="Z17" s="116"/>
      <c r="AA17" s="116"/>
      <c r="AB17" s="117"/>
      <c r="AC17" s="283"/>
      <c r="AD17" s="283"/>
      <c r="AE17" s="302"/>
      <c r="AF17" s="116"/>
      <c r="AG17" s="116"/>
      <c r="AH17" s="117"/>
      <c r="AI17" s="283"/>
      <c r="AJ17" s="283"/>
      <c r="AK17" s="302"/>
      <c r="AL17" s="116"/>
      <c r="AM17" s="116"/>
      <c r="AN17" s="117"/>
    </row>
    <row r="18" spans="3:40" x14ac:dyDescent="0.15">
      <c r="C18" s="242"/>
      <c r="D18" s="242"/>
      <c r="E18" s="282"/>
      <c r="F18" s="283"/>
      <c r="G18" s="5"/>
      <c r="H18" s="116"/>
      <c r="I18" s="116"/>
      <c r="J18" s="117"/>
      <c r="K18" s="282"/>
      <c r="L18" s="283"/>
      <c r="M18" s="302"/>
      <c r="N18" s="116"/>
      <c r="O18" s="116"/>
      <c r="P18" s="117"/>
      <c r="Q18" s="283"/>
      <c r="R18" s="283"/>
      <c r="S18" s="302"/>
      <c r="T18" s="116"/>
      <c r="U18" s="116"/>
      <c r="V18" s="117"/>
      <c r="W18" s="283"/>
      <c r="X18" s="283"/>
      <c r="Y18" s="302"/>
      <c r="Z18" s="116"/>
      <c r="AA18" s="116"/>
      <c r="AB18" s="117"/>
      <c r="AC18" s="283"/>
      <c r="AD18" s="283"/>
      <c r="AE18" s="302"/>
      <c r="AF18" s="116"/>
      <c r="AG18" s="116"/>
      <c r="AH18" s="117"/>
      <c r="AI18" s="283"/>
      <c r="AJ18" s="283"/>
      <c r="AK18" s="302"/>
      <c r="AL18" s="116"/>
      <c r="AM18" s="116"/>
      <c r="AN18" s="117"/>
    </row>
    <row r="19" spans="3:40" x14ac:dyDescent="0.15">
      <c r="C19" s="242" t="s">
        <v>75</v>
      </c>
      <c r="D19" s="242"/>
      <c r="E19" s="282"/>
      <c r="F19" s="283"/>
      <c r="G19" s="5"/>
      <c r="H19" s="116"/>
      <c r="I19" s="116"/>
      <c r="J19" s="117"/>
      <c r="K19" s="282"/>
      <c r="L19" s="283"/>
      <c r="M19" s="302"/>
      <c r="N19" s="116"/>
      <c r="O19" s="116"/>
      <c r="P19" s="117"/>
      <c r="Q19" s="283"/>
      <c r="R19" s="283"/>
      <c r="S19" s="302"/>
      <c r="T19" s="116"/>
      <c r="U19" s="116"/>
      <c r="V19" s="117"/>
      <c r="W19" s="283"/>
      <c r="X19" s="283"/>
      <c r="Y19" s="302"/>
      <c r="Z19" s="116"/>
      <c r="AA19" s="116"/>
      <c r="AB19" s="117"/>
      <c r="AC19" s="283"/>
      <c r="AD19" s="283"/>
      <c r="AE19" s="302"/>
      <c r="AF19" s="116"/>
      <c r="AG19" s="116"/>
      <c r="AH19" s="117"/>
      <c r="AI19" s="283"/>
      <c r="AJ19" s="283"/>
      <c r="AK19" s="302"/>
      <c r="AL19" s="116"/>
      <c r="AM19" s="116"/>
      <c r="AN19" s="117"/>
    </row>
    <row r="20" spans="3:40" x14ac:dyDescent="0.15">
      <c r="C20" s="243" t="s">
        <v>24</v>
      </c>
      <c r="D20" s="243"/>
      <c r="E20" s="282">
        <f>K20+N20+Q20+T20+W20+Z20+AC20+AF20+AI20+AL20</f>
        <v>53071623921.330025</v>
      </c>
      <c r="F20" s="283">
        <f>F10</f>
        <v>952.63900000000001</v>
      </c>
      <c r="G20" s="5">
        <f>E20/F20</f>
        <v>55710110.462966584</v>
      </c>
      <c r="H20" s="116"/>
      <c r="I20" s="116">
        <f>I10</f>
        <v>952.63900000000001</v>
      </c>
      <c r="J20" s="117">
        <f>H20/I20</f>
        <v>0</v>
      </c>
      <c r="K20" s="282">
        <f>'Cashflow Statement'!N38</f>
        <v>3330000000</v>
      </c>
      <c r="L20" s="283">
        <f>L10</f>
        <v>952.63900000000001</v>
      </c>
      <c r="M20" s="302">
        <f>K20/L20</f>
        <v>3495552.8799471781</v>
      </c>
      <c r="N20" s="116">
        <f>'Cashflow Statement'!Q38</f>
        <v>3663000000.0000005</v>
      </c>
      <c r="O20" s="116">
        <f>O10</f>
        <v>1047.9029</v>
      </c>
      <c r="P20" s="117">
        <f>N20/O20</f>
        <v>3495552.8799471785</v>
      </c>
      <c r="Q20" s="283">
        <f>'Cashflow Statement'!T38</f>
        <v>4029300000.000001</v>
      </c>
      <c r="R20" s="283">
        <f>R10</f>
        <v>1152.6931900000002</v>
      </c>
      <c r="S20" s="302">
        <f>Q20/R20</f>
        <v>3495552.8799471785</v>
      </c>
      <c r="T20" s="116">
        <f>'Cashflow Statement'!W38</f>
        <v>4432230000.000001</v>
      </c>
      <c r="U20" s="116">
        <f>U10</f>
        <v>1267.9625090000004</v>
      </c>
      <c r="V20" s="117">
        <f>T20/U20</f>
        <v>3495552.8799471781</v>
      </c>
      <c r="W20" s="283">
        <f>'Cashflow Statement'!Z38</f>
        <v>4875453000.0000019</v>
      </c>
      <c r="X20" s="283">
        <f>X10</f>
        <v>1394.7587599000005</v>
      </c>
      <c r="Y20" s="302">
        <f>W20/X20</f>
        <v>3495552.8799471785</v>
      </c>
      <c r="Z20" s="116">
        <f>'Cashflow Statement'!AC38</f>
        <v>5362998300.0000029</v>
      </c>
      <c r="AA20" s="116">
        <f>AA10</f>
        <v>1534.2346358900006</v>
      </c>
      <c r="AB20" s="117">
        <f>Z20/AA20</f>
        <v>3495552.879947179</v>
      </c>
      <c r="AC20" s="283">
        <f>'Cashflow Statement'!AF38</f>
        <v>5899298130.0000038</v>
      </c>
      <c r="AD20" s="283">
        <f>AD10</f>
        <v>1687.6580994790008</v>
      </c>
      <c r="AE20" s="302">
        <f>AC20/AD20</f>
        <v>3495552.879947179</v>
      </c>
      <c r="AF20" s="116">
        <f>'Cashflow Statement'!AI38</f>
        <v>6489227943.0000048</v>
      </c>
      <c r="AG20" s="116">
        <f>AG10</f>
        <v>1856.423909426901</v>
      </c>
      <c r="AH20" s="117">
        <f>AF20/AG20</f>
        <v>3495552.879947179</v>
      </c>
      <c r="AI20" s="283">
        <f>'Cashflow Statement'!AL38</f>
        <v>7138150737.3000059</v>
      </c>
      <c r="AJ20" s="283">
        <f>AJ10</f>
        <v>2042.0663003695913</v>
      </c>
      <c r="AK20" s="302">
        <f>AI20/AJ20</f>
        <v>3495552.879947179</v>
      </c>
      <c r="AL20" s="116">
        <f>'Cashflow Statement'!AO38</f>
        <v>7851965811.0300074</v>
      </c>
      <c r="AM20" s="116">
        <f>AM10</f>
        <v>2246.2729304065506</v>
      </c>
      <c r="AN20" s="117">
        <f>AL20/AM20</f>
        <v>3495552.879947179</v>
      </c>
    </row>
    <row r="21" spans="3:40" x14ac:dyDescent="0.15">
      <c r="C21" s="243" t="s">
        <v>169</v>
      </c>
      <c r="D21" s="243"/>
      <c r="E21" s="282">
        <f>K21+N21+Q21+T21+W21+Z21+AC21+AF21+AI21+AL21</f>
        <v>10040577498.630005</v>
      </c>
      <c r="F21" s="283">
        <f>F11</f>
        <v>952.63900000000001</v>
      </c>
      <c r="G21" s="5">
        <f>E21/F21</f>
        <v>10539750.628128814</v>
      </c>
      <c r="H21" s="116"/>
      <c r="I21" s="116">
        <f>I11</f>
        <v>952.63900000000001</v>
      </c>
      <c r="J21" s="117">
        <f>H21/I21</f>
        <v>0</v>
      </c>
      <c r="K21" s="282">
        <f>'Cashflow Statement'!N39</f>
        <v>630000000</v>
      </c>
      <c r="L21" s="283">
        <f>L11</f>
        <v>952.63900000000001</v>
      </c>
      <c r="M21" s="302">
        <f>K21/L21</f>
        <v>661320.81512514187</v>
      </c>
      <c r="N21" s="116">
        <f>'Cashflow Statement'!Q39</f>
        <v>693000000</v>
      </c>
      <c r="O21" s="116">
        <f>O11</f>
        <v>1047.9029</v>
      </c>
      <c r="P21" s="117">
        <f>N21/O21</f>
        <v>661320.81512514176</v>
      </c>
      <c r="Q21" s="283">
        <f>'Cashflow Statement'!T39</f>
        <v>762300000.00000012</v>
      </c>
      <c r="R21" s="283">
        <f>R11</f>
        <v>1152.6931900000002</v>
      </c>
      <c r="S21" s="302">
        <f>Q21/R21</f>
        <v>661320.81512514187</v>
      </c>
      <c r="T21" s="116">
        <f>'Cashflow Statement'!W39</f>
        <v>838530000.00000024</v>
      </c>
      <c r="U21" s="116">
        <f>U11</f>
        <v>1267.9625090000004</v>
      </c>
      <c r="V21" s="117">
        <f>T21/U21</f>
        <v>661320.81512514187</v>
      </c>
      <c r="W21" s="283">
        <f>'Cashflow Statement'!Z39</f>
        <v>922383000.00000036</v>
      </c>
      <c r="X21" s="283">
        <f>X11</f>
        <v>1394.7587599000005</v>
      </c>
      <c r="Y21" s="302">
        <f>W21/X21</f>
        <v>661320.81512514187</v>
      </c>
      <c r="Z21" s="116">
        <f>'Cashflow Statement'!AC39</f>
        <v>1014621300.0000005</v>
      </c>
      <c r="AA21" s="116">
        <f>AA11</f>
        <v>1534.2346358900006</v>
      </c>
      <c r="AB21" s="117">
        <f>Z21/AA21</f>
        <v>661320.81512514187</v>
      </c>
      <c r="AC21" s="283">
        <f>'Cashflow Statement'!AF39</f>
        <v>1116083430.0000007</v>
      </c>
      <c r="AD21" s="283">
        <f>AD11</f>
        <v>1687.6580994790008</v>
      </c>
      <c r="AE21" s="302">
        <f>AC21/AD21</f>
        <v>661320.81512514199</v>
      </c>
      <c r="AF21" s="116">
        <f>'Cashflow Statement'!AI39</f>
        <v>1227691773.000001</v>
      </c>
      <c r="AG21" s="116">
        <f>AG11</f>
        <v>1856.423909426901</v>
      </c>
      <c r="AH21" s="117">
        <f>AF21/AG21</f>
        <v>661320.81512514199</v>
      </c>
      <c r="AI21" s="283">
        <f>'Cashflow Statement'!AL39</f>
        <v>1350460950.3000011</v>
      </c>
      <c r="AJ21" s="283">
        <f>AJ11</f>
        <v>2042.0663003695913</v>
      </c>
      <c r="AK21" s="302">
        <f>AI21/AJ21</f>
        <v>661320.81512514199</v>
      </c>
      <c r="AL21" s="116">
        <f>'Cashflow Statement'!AO39</f>
        <v>1485507045.3300014</v>
      </c>
      <c r="AM21" s="116">
        <f>AM11</f>
        <v>2246.2729304065506</v>
      </c>
      <c r="AN21" s="117">
        <f>AL21/AM21</f>
        <v>661320.81512514199</v>
      </c>
    </row>
    <row r="22" spans="3:40" x14ac:dyDescent="0.15">
      <c r="C22" s="243"/>
      <c r="D22" s="243"/>
      <c r="E22" s="282"/>
      <c r="F22" s="283"/>
      <c r="G22" s="5"/>
      <c r="H22" s="116"/>
      <c r="I22" s="116"/>
      <c r="J22" s="117"/>
      <c r="K22" s="282"/>
      <c r="L22" s="283"/>
      <c r="M22" s="302"/>
      <c r="N22" s="116"/>
      <c r="O22" s="116"/>
      <c r="P22" s="117"/>
      <c r="Q22" s="283"/>
      <c r="R22" s="283"/>
      <c r="S22" s="302"/>
      <c r="T22" s="116"/>
      <c r="U22" s="116"/>
      <c r="V22" s="117"/>
      <c r="W22" s="283"/>
      <c r="X22" s="283"/>
      <c r="Y22" s="302"/>
      <c r="Z22" s="116"/>
      <c r="AA22" s="116"/>
      <c r="AB22" s="117"/>
      <c r="AC22" s="283"/>
      <c r="AD22" s="283"/>
      <c r="AE22" s="302"/>
      <c r="AF22" s="116"/>
      <c r="AG22" s="116"/>
      <c r="AH22" s="117"/>
      <c r="AI22" s="283"/>
      <c r="AJ22" s="283"/>
      <c r="AK22" s="302"/>
      <c r="AL22" s="116"/>
      <c r="AM22" s="116"/>
      <c r="AN22" s="117"/>
    </row>
    <row r="23" spans="3:40" x14ac:dyDescent="0.15">
      <c r="C23" s="237" t="s">
        <v>170</v>
      </c>
      <c r="D23" s="243"/>
      <c r="E23" s="282">
        <f>K23+N23+Q23+T23+W23+Z23+AC23+AF23+AI23+AL23</f>
        <v>360000000</v>
      </c>
      <c r="F23" s="283">
        <f>F21</f>
        <v>952.63900000000001</v>
      </c>
      <c r="G23" s="5">
        <f>E23/F23</f>
        <v>377897.6086429382</v>
      </c>
      <c r="H23" s="116"/>
      <c r="I23" s="116">
        <f>I21</f>
        <v>952.63900000000001</v>
      </c>
      <c r="J23" s="117">
        <f>H23/I23</f>
        <v>0</v>
      </c>
      <c r="K23" s="282">
        <f>'Cashflow Statement'!N42</f>
        <v>360000000</v>
      </c>
      <c r="L23" s="283">
        <f>L21</f>
        <v>952.63900000000001</v>
      </c>
      <c r="M23" s="302">
        <f>K23/L23</f>
        <v>377897.6086429382</v>
      </c>
      <c r="N23" s="116">
        <f>'Cashflow Statement'!Q42</f>
        <v>0</v>
      </c>
      <c r="O23" s="116">
        <f>O21</f>
        <v>1047.9029</v>
      </c>
      <c r="P23" s="117">
        <f>N23/O23</f>
        <v>0</v>
      </c>
      <c r="Q23" s="283">
        <f>'Cashflow Statement'!T42</f>
        <v>0</v>
      </c>
      <c r="R23" s="283">
        <f>R21</f>
        <v>1152.6931900000002</v>
      </c>
      <c r="S23" s="302">
        <f>Q23/R23</f>
        <v>0</v>
      </c>
      <c r="T23" s="116">
        <f>'Cashflow Statement'!W42</f>
        <v>0</v>
      </c>
      <c r="U23" s="116">
        <f>U21</f>
        <v>1267.9625090000004</v>
      </c>
      <c r="V23" s="117">
        <f>T23/U23</f>
        <v>0</v>
      </c>
      <c r="W23" s="283">
        <f>'Cashflow Statement'!Z42</f>
        <v>0</v>
      </c>
      <c r="X23" s="283">
        <f>X21</f>
        <v>1394.7587599000005</v>
      </c>
      <c r="Y23" s="302">
        <f>W23/X23</f>
        <v>0</v>
      </c>
      <c r="Z23" s="116">
        <f>'Cashflow Statement'!AC42</f>
        <v>0</v>
      </c>
      <c r="AA23" s="116">
        <f>AA21</f>
        <v>1534.2346358900006</v>
      </c>
      <c r="AB23" s="117">
        <f>Z23/AA23</f>
        <v>0</v>
      </c>
      <c r="AC23" s="283">
        <f>'Cashflow Statement'!AF42</f>
        <v>0</v>
      </c>
      <c r="AD23" s="283">
        <f>AD21</f>
        <v>1687.6580994790008</v>
      </c>
      <c r="AE23" s="302">
        <f>AC23/AD23</f>
        <v>0</v>
      </c>
      <c r="AF23" s="116">
        <f>'Cashflow Statement'!AI42</f>
        <v>0</v>
      </c>
      <c r="AG23" s="116">
        <f>AG21</f>
        <v>1856.423909426901</v>
      </c>
      <c r="AH23" s="117">
        <f>AF23/AG23</f>
        <v>0</v>
      </c>
      <c r="AI23" s="283">
        <f>'Cashflow Statement'!AL42</f>
        <v>0</v>
      </c>
      <c r="AJ23" s="283">
        <f>AJ21</f>
        <v>2042.0663003695913</v>
      </c>
      <c r="AK23" s="302">
        <f>AI23/AJ23</f>
        <v>0</v>
      </c>
      <c r="AL23" s="116">
        <f>'Cashflow Statement'!AO42</f>
        <v>0</v>
      </c>
      <c r="AM23" s="116">
        <f>AM21</f>
        <v>2246.2729304065506</v>
      </c>
      <c r="AN23" s="117">
        <f>AL23/AM23</f>
        <v>0</v>
      </c>
    </row>
    <row r="24" spans="3:40" x14ac:dyDescent="0.15">
      <c r="C24" s="237" t="s">
        <v>61</v>
      </c>
      <c r="D24" s="243"/>
      <c r="E24" s="282">
        <f>K24+N24+Q24+T24+W24+Z24+AC24+AF24+AI24+AL24</f>
        <v>5299200000</v>
      </c>
      <c r="F24" s="283">
        <f>F23</f>
        <v>952.63900000000001</v>
      </c>
      <c r="G24" s="5">
        <f>E24/F24</f>
        <v>5562652.7992240498</v>
      </c>
      <c r="H24" s="116"/>
      <c r="I24" s="116">
        <f>I23</f>
        <v>952.63900000000001</v>
      </c>
      <c r="J24" s="117">
        <f>H24/I24</f>
        <v>0</v>
      </c>
      <c r="K24" s="282">
        <f>'Cashflow Statement'!N43</f>
        <v>5299200000</v>
      </c>
      <c r="L24" s="283">
        <f>L23</f>
        <v>952.63900000000001</v>
      </c>
      <c r="M24" s="302">
        <f>K24/L24</f>
        <v>5562652.7992240498</v>
      </c>
      <c r="N24" s="116">
        <f>'Cashflow Statement'!Q43</f>
        <v>0</v>
      </c>
      <c r="O24" s="116">
        <f>O23</f>
        <v>1047.9029</v>
      </c>
      <c r="P24" s="117">
        <f>N24/O24</f>
        <v>0</v>
      </c>
      <c r="Q24" s="283">
        <f>'Cashflow Statement'!T43</f>
        <v>0</v>
      </c>
      <c r="R24" s="283">
        <f>R23</f>
        <v>1152.6931900000002</v>
      </c>
      <c r="S24" s="302">
        <f>Q24/R24</f>
        <v>0</v>
      </c>
      <c r="T24" s="116">
        <f>'Cashflow Statement'!W43</f>
        <v>0</v>
      </c>
      <c r="U24" s="116">
        <f>U23</f>
        <v>1267.9625090000004</v>
      </c>
      <c r="V24" s="117">
        <f>T24/U24</f>
        <v>0</v>
      </c>
      <c r="W24" s="283">
        <f>'Cashflow Statement'!Z43</f>
        <v>0</v>
      </c>
      <c r="X24" s="283">
        <f>X23</f>
        <v>1394.7587599000005</v>
      </c>
      <c r="Y24" s="302">
        <f>W24/X24</f>
        <v>0</v>
      </c>
      <c r="Z24" s="116">
        <f>'Cashflow Statement'!AC43</f>
        <v>0</v>
      </c>
      <c r="AA24" s="116">
        <f>AA23</f>
        <v>1534.2346358900006</v>
      </c>
      <c r="AB24" s="117">
        <f>Z24/AA24</f>
        <v>0</v>
      </c>
      <c r="AC24" s="283">
        <f>'Cashflow Statement'!AF43</f>
        <v>0</v>
      </c>
      <c r="AD24" s="283">
        <f>AD23</f>
        <v>1687.6580994790008</v>
      </c>
      <c r="AE24" s="302">
        <f>AC24/AD24</f>
        <v>0</v>
      </c>
      <c r="AF24" s="116">
        <f>'Cashflow Statement'!AI43</f>
        <v>0</v>
      </c>
      <c r="AG24" s="116">
        <f>AG23</f>
        <v>1856.423909426901</v>
      </c>
      <c r="AH24" s="117">
        <f>AF24/AG24</f>
        <v>0</v>
      </c>
      <c r="AI24" s="283">
        <f>'Cashflow Statement'!AL43</f>
        <v>0</v>
      </c>
      <c r="AJ24" s="283">
        <f>AJ23</f>
        <v>2042.0663003695913</v>
      </c>
      <c r="AK24" s="302">
        <f>AI24/AJ24</f>
        <v>0</v>
      </c>
      <c r="AL24" s="116">
        <f>'Cashflow Statement'!AO43</f>
        <v>0</v>
      </c>
      <c r="AM24" s="116">
        <f>AM23</f>
        <v>2246.2729304065506</v>
      </c>
      <c r="AN24" s="117">
        <f>AL24/AM24</f>
        <v>0</v>
      </c>
    </row>
    <row r="25" spans="3:40" x14ac:dyDescent="0.15">
      <c r="C25" s="243"/>
      <c r="D25" s="243"/>
      <c r="E25" s="282"/>
      <c r="F25" s="283"/>
      <c r="G25" s="5"/>
      <c r="H25" s="116"/>
      <c r="I25" s="116"/>
      <c r="J25" s="117"/>
      <c r="K25" s="282"/>
      <c r="L25" s="283"/>
      <c r="M25" s="302"/>
      <c r="N25" s="116"/>
      <c r="O25" s="116"/>
      <c r="P25" s="117"/>
      <c r="Q25" s="283"/>
      <c r="R25" s="283"/>
      <c r="S25" s="302"/>
      <c r="T25" s="116"/>
      <c r="U25" s="116"/>
      <c r="V25" s="117"/>
      <c r="W25" s="283"/>
      <c r="X25" s="283"/>
      <c r="Y25" s="302"/>
      <c r="Z25" s="116"/>
      <c r="AA25" s="116"/>
      <c r="AB25" s="117"/>
      <c r="AC25" s="283"/>
      <c r="AD25" s="283"/>
      <c r="AE25" s="302"/>
      <c r="AF25" s="116"/>
      <c r="AG25" s="116"/>
      <c r="AH25" s="117"/>
      <c r="AI25" s="283"/>
      <c r="AJ25" s="283"/>
      <c r="AK25" s="302"/>
      <c r="AL25" s="116"/>
      <c r="AM25" s="116"/>
      <c r="AN25" s="117"/>
    </row>
    <row r="26" spans="3:40" x14ac:dyDescent="0.15">
      <c r="C26" s="243" t="s">
        <v>196</v>
      </c>
      <c r="D26" s="243"/>
      <c r="E26" s="282">
        <f>K26+N26+Q26+T26+W26+Z26+AC26+AF26+AI26+AL26</f>
        <v>769856768539.03174</v>
      </c>
      <c r="F26" s="283">
        <f>F24</f>
        <v>952.63900000000001</v>
      </c>
      <c r="G26" s="5">
        <f>E26/F26</f>
        <v>808130643.96800017</v>
      </c>
      <c r="H26" s="116"/>
      <c r="I26" s="116">
        <f>I24</f>
        <v>952.63900000000001</v>
      </c>
      <c r="J26" s="117">
        <f>H26/I26</f>
        <v>0</v>
      </c>
      <c r="K26" s="282">
        <f>CAPEX!C14</f>
        <v>16145783038.720001</v>
      </c>
      <c r="L26" s="283">
        <f>L24</f>
        <v>952.63900000000001</v>
      </c>
      <c r="M26" s="302">
        <f>K26/L26</f>
        <v>16948480</v>
      </c>
      <c r="N26" s="116">
        <f>CAPEX!D14</f>
        <v>33906144381.312</v>
      </c>
      <c r="O26" s="116">
        <f>O24</f>
        <v>1047.9029</v>
      </c>
      <c r="P26" s="117">
        <f>N26/O26</f>
        <v>32356189.09090909</v>
      </c>
      <c r="Q26" s="283">
        <f>CAPEX!E14</f>
        <v>53442541858.163208</v>
      </c>
      <c r="R26" s="283">
        <f>R24</f>
        <v>1152.6931900000002</v>
      </c>
      <c r="S26" s="302">
        <f>Q26/R26</f>
        <v>46363197.3553719</v>
      </c>
      <c r="T26" s="116">
        <f>CAPEX!F14</f>
        <v>74932579082.699539</v>
      </c>
      <c r="U26" s="116">
        <f>U24</f>
        <v>1267.9625090000004</v>
      </c>
      <c r="V26" s="117">
        <f>T26/U26</f>
        <v>59096841.232156269</v>
      </c>
      <c r="W26" s="283">
        <f>CAPEX!G14</f>
        <v>98571620029.689514</v>
      </c>
      <c r="X26" s="283">
        <f>X24</f>
        <v>1394.7587599000005</v>
      </c>
      <c r="Y26" s="302">
        <f>W26/X26</f>
        <v>70672881.120142072</v>
      </c>
      <c r="Z26" s="116">
        <f>CAPEX!H14</f>
        <v>98571620029.689514</v>
      </c>
      <c r="AA26" s="116">
        <f>AA24</f>
        <v>1534.2346358900006</v>
      </c>
      <c r="AB26" s="117">
        <f>Z26/AA26</f>
        <v>64248073.745583698</v>
      </c>
      <c r="AC26" s="283">
        <f>CAPEX!I14</f>
        <v>98571620029.689514</v>
      </c>
      <c r="AD26" s="283">
        <f>AD24</f>
        <v>1687.6580994790008</v>
      </c>
      <c r="AE26" s="302">
        <f>AC26/AD26</f>
        <v>58407339.768712446</v>
      </c>
      <c r="AF26" s="116">
        <f>CAPEX!J14</f>
        <v>98571620029.689514</v>
      </c>
      <c r="AG26" s="116">
        <f>AG24</f>
        <v>1856.423909426901</v>
      </c>
      <c r="AH26" s="117">
        <f>AF26/AG26</f>
        <v>53097581.607920408</v>
      </c>
      <c r="AI26" s="283">
        <f>CAPEX!K14</f>
        <v>98571620029.689514</v>
      </c>
      <c r="AJ26" s="283">
        <f>AJ24</f>
        <v>2042.0663003695913</v>
      </c>
      <c r="AK26" s="302">
        <f>AI26/AJ26</f>
        <v>48270528.734473087</v>
      </c>
      <c r="AL26" s="116">
        <f>CAPEX!L14</f>
        <v>98571620029.689514</v>
      </c>
      <c r="AM26" s="116">
        <f>AM24</f>
        <v>2246.2729304065506</v>
      </c>
      <c r="AN26" s="117">
        <f>AL26/AM26</f>
        <v>43882298.849520989</v>
      </c>
    </row>
    <row r="27" spans="3:40" x14ac:dyDescent="0.15">
      <c r="C27" s="243" t="s">
        <v>197</v>
      </c>
      <c r="D27" s="243"/>
      <c r="E27" s="282">
        <f>K27+N27+Q27+T27+W27+Z27+AC27+AF27+AI27+AL27</f>
        <v>76985676853.903168</v>
      </c>
      <c r="F27" s="283">
        <f>F23</f>
        <v>952.63900000000001</v>
      </c>
      <c r="G27" s="5">
        <f>E27/F27</f>
        <v>80813064.396800011</v>
      </c>
      <c r="H27" s="116"/>
      <c r="I27" s="116">
        <f>I23</f>
        <v>952.63900000000001</v>
      </c>
      <c r="J27" s="117">
        <f>H27/I27</f>
        <v>0</v>
      </c>
      <c r="K27" s="282">
        <f>'Cashflow Statement'!N46</f>
        <v>1614578303.8720002</v>
      </c>
      <c r="L27" s="283">
        <f>L23</f>
        <v>952.63900000000001</v>
      </c>
      <c r="M27" s="302">
        <f>K27/L27</f>
        <v>1694848.0000000002</v>
      </c>
      <c r="N27" s="116">
        <f>'Cashflow Statement'!Q46</f>
        <v>3390614438.1311998</v>
      </c>
      <c r="O27" s="116">
        <f>O23</f>
        <v>1047.9029</v>
      </c>
      <c r="P27" s="117">
        <f>N27/O27</f>
        <v>3235618.9090909087</v>
      </c>
      <c r="Q27" s="283">
        <f>'Cashflow Statement'!T46</f>
        <v>5344254185.8163204</v>
      </c>
      <c r="R27" s="283">
        <f>R23</f>
        <v>1152.6931900000002</v>
      </c>
      <c r="S27" s="302">
        <f>Q27/R27</f>
        <v>4636319.73553719</v>
      </c>
      <c r="T27" s="116">
        <f>'Cashflow Statement'!W46</f>
        <v>7493257908.2699537</v>
      </c>
      <c r="U27" s="116">
        <f>U23</f>
        <v>1267.9625090000004</v>
      </c>
      <c r="V27" s="117">
        <f>T27/U27</f>
        <v>5909684.1232156269</v>
      </c>
      <c r="W27" s="283">
        <f>'Cashflow Statement'!Z46</f>
        <v>9857162002.9689503</v>
      </c>
      <c r="X27" s="283">
        <f>X23</f>
        <v>1394.7587599000005</v>
      </c>
      <c r="Y27" s="302">
        <f>W27/X27</f>
        <v>7067288.1120142061</v>
      </c>
      <c r="Z27" s="116">
        <f>'Cashflow Statement'!AC46</f>
        <v>9857162002.9689503</v>
      </c>
      <c r="AA27" s="116">
        <f>AA23</f>
        <v>1534.2346358900006</v>
      </c>
      <c r="AB27" s="117">
        <f>Z27/AA27</f>
        <v>6424807.3745583687</v>
      </c>
      <c r="AC27" s="283">
        <f>'Cashflow Statement'!AF46</f>
        <v>9857162002.9689503</v>
      </c>
      <c r="AD27" s="283">
        <f>AD23</f>
        <v>1687.6580994790008</v>
      </c>
      <c r="AE27" s="302">
        <f>AC27/AD27</f>
        <v>5840733.9768712437</v>
      </c>
      <c r="AF27" s="116">
        <f>'Cashflow Statement'!AI46</f>
        <v>9857162002.9689503</v>
      </c>
      <c r="AG27" s="116">
        <f>AG23</f>
        <v>1856.423909426901</v>
      </c>
      <c r="AH27" s="117">
        <f>AF27/AG27</f>
        <v>5309758.1607920397</v>
      </c>
      <c r="AI27" s="283">
        <f>'Cashflow Statement'!AL46</f>
        <v>9857162002.9689503</v>
      </c>
      <c r="AJ27" s="283">
        <f>AJ23</f>
        <v>2042.0663003695913</v>
      </c>
      <c r="AK27" s="302">
        <f>AI27/AJ27</f>
        <v>4827052.8734473083</v>
      </c>
      <c r="AL27" s="116">
        <f>'Cashflow Statement'!AO46</f>
        <v>9857162002.9689503</v>
      </c>
      <c r="AM27" s="116">
        <f>AM23</f>
        <v>2246.2729304065506</v>
      </c>
      <c r="AN27" s="117">
        <f>AL27/AM27</f>
        <v>4388229.8849520981</v>
      </c>
    </row>
    <row r="28" spans="3:40" ht="7.5" thickBot="1" x14ac:dyDescent="0.2">
      <c r="C28" s="243"/>
      <c r="D28" s="243"/>
      <c r="E28" s="282"/>
      <c r="F28" s="283"/>
      <c r="G28" s="5"/>
      <c r="H28" s="116"/>
      <c r="I28" s="116"/>
      <c r="J28" s="117"/>
      <c r="K28" s="282"/>
      <c r="L28" s="283"/>
      <c r="M28" s="302"/>
      <c r="N28" s="116"/>
      <c r="O28" s="116"/>
      <c r="P28" s="117"/>
      <c r="Q28" s="283"/>
      <c r="R28" s="283"/>
      <c r="S28" s="302"/>
      <c r="T28" s="116"/>
      <c r="U28" s="116"/>
      <c r="V28" s="117"/>
      <c r="W28" s="283"/>
      <c r="X28" s="283"/>
      <c r="Y28" s="302"/>
      <c r="Z28" s="116"/>
      <c r="AA28" s="116"/>
      <c r="AB28" s="117"/>
      <c r="AC28" s="283"/>
      <c r="AD28" s="283"/>
      <c r="AE28" s="302"/>
      <c r="AF28" s="116"/>
      <c r="AG28" s="116"/>
      <c r="AH28" s="117"/>
      <c r="AI28" s="283"/>
      <c r="AJ28" s="283"/>
      <c r="AK28" s="302"/>
      <c r="AL28" s="116"/>
      <c r="AM28" s="116"/>
      <c r="AN28" s="117"/>
    </row>
    <row r="29" spans="3:40" ht="7.5" thickBot="1" x14ac:dyDescent="0.2">
      <c r="C29" s="244" t="s">
        <v>56</v>
      </c>
      <c r="D29" s="244"/>
      <c r="E29" s="284">
        <f>SUM(E17:E28)</f>
        <v>915613846812.8949</v>
      </c>
      <c r="F29" s="6"/>
      <c r="G29" s="285">
        <f>SUM(G17:G28)</f>
        <v>961134119.86376262</v>
      </c>
      <c r="H29" s="267">
        <f>SUM(H17:H28)</f>
        <v>0</v>
      </c>
      <c r="I29" s="240"/>
      <c r="J29" s="241">
        <f>SUM(J17:J28)</f>
        <v>0</v>
      </c>
      <c r="K29" s="284">
        <f>SUM(K17:K28)</f>
        <v>27379561342.592003</v>
      </c>
      <c r="L29" s="6"/>
      <c r="M29" s="303">
        <f>SUM(M17:M28)</f>
        <v>28740752.102939308</v>
      </c>
      <c r="N29" s="267">
        <f>SUM(N17:N28)</f>
        <v>41652758819.443199</v>
      </c>
      <c r="O29" s="240"/>
      <c r="P29" s="241">
        <f>SUM(P17:P28)</f>
        <v>39748681.695072316</v>
      </c>
      <c r="Q29" s="284">
        <f>SUM(Q17:Q28)</f>
        <v>63578396043.97953</v>
      </c>
      <c r="R29" s="6"/>
      <c r="S29" s="303">
        <f>SUM(S17:S28)</f>
        <v>55156390.785981417</v>
      </c>
      <c r="T29" s="267">
        <f>SUM(T17:T28)</f>
        <v>87696596990.969498</v>
      </c>
      <c r="U29" s="240"/>
      <c r="V29" s="241">
        <f>SUM(V17:V28)</f>
        <v>69163399.050444216</v>
      </c>
      <c r="W29" s="284">
        <f>SUM(W17:W28)</f>
        <v>114226618032.65846</v>
      </c>
      <c r="X29" s="6"/>
      <c r="Y29" s="303">
        <f>SUM(Y17:Y28)</f>
        <v>81897042.9272286</v>
      </c>
      <c r="Z29" s="267">
        <f>SUM(Z17:Z28)</f>
        <v>114806401632.65846</v>
      </c>
      <c r="AA29" s="240"/>
      <c r="AB29" s="241">
        <f>SUM(AB17:AB28)</f>
        <v>74829754.815214396</v>
      </c>
      <c r="AC29" s="284">
        <f>SUM(AC17:AC28)</f>
        <v>115444163592.65846</v>
      </c>
      <c r="AD29" s="6"/>
      <c r="AE29" s="303">
        <f>SUM(AE17:AE28)</f>
        <v>68404947.440656006</v>
      </c>
      <c r="AF29" s="267">
        <f>SUM(AF17:AF28)</f>
        <v>116145701748.65846</v>
      </c>
      <c r="AG29" s="240"/>
      <c r="AH29" s="241">
        <f>SUM(AH17:AH28)</f>
        <v>62564213.463784769</v>
      </c>
      <c r="AI29" s="284">
        <f>SUM(AI17:AI28)</f>
        <v>116917393720.25847</v>
      </c>
      <c r="AJ29" s="6"/>
      <c r="AK29" s="303">
        <f>SUM(AK17:AK28)</f>
        <v>57254455.302992716</v>
      </c>
      <c r="AL29" s="267">
        <f>SUM(AL17:AL28)</f>
        <v>117766254889.01848</v>
      </c>
      <c r="AM29" s="240"/>
      <c r="AN29" s="241">
        <f>SUM(AN17:AN28)</f>
        <v>52427402.42954541</v>
      </c>
    </row>
    <row r="30" spans="3:40" ht="7.5" thickBot="1" x14ac:dyDescent="0.2">
      <c r="C30" s="245"/>
      <c r="D30" s="245"/>
      <c r="E30" s="286"/>
      <c r="F30" s="287"/>
      <c r="G30" s="7"/>
      <c r="H30" s="246"/>
      <c r="I30" s="246"/>
      <c r="J30" s="247"/>
      <c r="K30" s="286"/>
      <c r="L30" s="287"/>
      <c r="M30" s="304"/>
      <c r="N30" s="246"/>
      <c r="O30" s="246"/>
      <c r="P30" s="247"/>
      <c r="Q30" s="287"/>
      <c r="R30" s="287"/>
      <c r="S30" s="304"/>
      <c r="T30" s="246"/>
      <c r="U30" s="246"/>
      <c r="V30" s="247"/>
      <c r="W30" s="287"/>
      <c r="X30" s="287"/>
      <c r="Y30" s="304"/>
      <c r="Z30" s="246"/>
      <c r="AA30" s="246"/>
      <c r="AB30" s="247"/>
      <c r="AC30" s="287"/>
      <c r="AD30" s="287"/>
      <c r="AE30" s="304"/>
      <c r="AF30" s="246"/>
      <c r="AG30" s="246"/>
      <c r="AH30" s="247"/>
      <c r="AI30" s="287"/>
      <c r="AJ30" s="287"/>
      <c r="AK30" s="304"/>
      <c r="AL30" s="246"/>
      <c r="AM30" s="246"/>
      <c r="AN30" s="247"/>
    </row>
    <row r="31" spans="3:40" ht="7.5" thickBot="1" x14ac:dyDescent="0.2">
      <c r="C31" s="244" t="s">
        <v>210</v>
      </c>
      <c r="D31" s="244"/>
      <c r="E31" s="6">
        <f>K31+N31+Q31+T31+W31+Z31+AC31+AF31+AI31+AL31</f>
        <v>1223661617245.0664</v>
      </c>
      <c r="F31" s="6"/>
      <c r="G31" s="285">
        <f>G14-G29</f>
        <v>1179525105.7799087</v>
      </c>
      <c r="H31" s="267">
        <f>H14-H29</f>
        <v>0</v>
      </c>
      <c r="I31" s="240"/>
      <c r="J31" s="241">
        <f>J14-J29</f>
        <v>0</v>
      </c>
      <c r="K31" s="284">
        <f>K14-K29</f>
        <v>3273648169.4079971</v>
      </c>
      <c r="L31" s="6"/>
      <c r="M31" s="303">
        <f>M14-M29</f>
        <v>3436399.4854378216</v>
      </c>
      <c r="N31" s="267">
        <f>N14-N29</f>
        <v>22718981155.756798</v>
      </c>
      <c r="O31" s="240"/>
      <c r="P31" s="241">
        <f>P14-P29</f>
        <v>21680425.882738568</v>
      </c>
      <c r="Q31" s="284">
        <f>Q14-Q29</f>
        <v>60209145210.88047</v>
      </c>
      <c r="R31" s="6"/>
      <c r="S31" s="303">
        <f>S14-S29</f>
        <v>52233452.694277167</v>
      </c>
      <c r="T31" s="267">
        <f>T14-T29</f>
        <v>85605960765.834518</v>
      </c>
      <c r="U31" s="240"/>
      <c r="V31" s="241">
        <f>V14-V29</f>
        <v>67514583.560793966</v>
      </c>
      <c r="W31" s="284">
        <f>W14-W29</f>
        <v>113232989023.1468</v>
      </c>
      <c r="X31" s="6"/>
      <c r="Y31" s="303">
        <f>Y14-Y29</f>
        <v>81184640.870271504</v>
      </c>
      <c r="Z31" s="267">
        <f>Z14-Z29</f>
        <v>224026185775.93707</v>
      </c>
      <c r="AA31" s="240"/>
      <c r="AB31" s="241">
        <f>AB14-AB29</f>
        <v>80839125.173308432</v>
      </c>
      <c r="AC31" s="284">
        <f>AC14-AC29</f>
        <v>135330053186.36687</v>
      </c>
      <c r="AD31" s="6"/>
      <c r="AE31" s="303">
        <f>AE14-AE29</f>
        <v>80188074.366570354</v>
      </c>
      <c r="AF31" s="267">
        <f>AF14-AF29</f>
        <v>147167225869.31812</v>
      </c>
      <c r="AG31" s="240"/>
      <c r="AH31" s="241">
        <f>AH14-AH29</f>
        <v>79274580.079476729</v>
      </c>
      <c r="AI31" s="284">
        <f>AI14-AI29</f>
        <v>159561180278.617</v>
      </c>
      <c r="AJ31" s="6"/>
      <c r="AK31" s="303">
        <f>AK14-AK29</f>
        <v>78137120.351938739</v>
      </c>
      <c r="AL31" s="267">
        <f>AL14-AL29</f>
        <v>272536247809.80078</v>
      </c>
      <c r="AM31" s="240"/>
      <c r="AN31" s="241">
        <f>AN14-AN29</f>
        <v>121328198.42176294</v>
      </c>
    </row>
    <row r="32" spans="3:40" x14ac:dyDescent="0.15">
      <c r="C32" s="236"/>
      <c r="D32" s="236"/>
      <c r="E32" s="282"/>
      <c r="F32" s="283"/>
      <c r="G32" s="5"/>
      <c r="H32" s="116"/>
      <c r="I32" s="116"/>
      <c r="J32" s="117"/>
      <c r="K32" s="282"/>
      <c r="L32" s="283"/>
      <c r="M32" s="302"/>
      <c r="N32" s="116"/>
      <c r="O32" s="116"/>
      <c r="P32" s="117"/>
      <c r="Q32" s="283"/>
      <c r="R32" s="283"/>
      <c r="S32" s="302"/>
      <c r="T32" s="116"/>
      <c r="U32" s="116"/>
      <c r="V32" s="117"/>
      <c r="W32" s="283"/>
      <c r="X32" s="283"/>
      <c r="Y32" s="302"/>
      <c r="Z32" s="116"/>
      <c r="AA32" s="116"/>
      <c r="AB32" s="117"/>
      <c r="AC32" s="283"/>
      <c r="AD32" s="283"/>
      <c r="AE32" s="302"/>
      <c r="AF32" s="116"/>
      <c r="AG32" s="116"/>
      <c r="AH32" s="117"/>
      <c r="AI32" s="283"/>
      <c r="AJ32" s="283"/>
      <c r="AK32" s="302"/>
      <c r="AL32" s="116"/>
      <c r="AM32" s="116"/>
      <c r="AN32" s="117"/>
    </row>
    <row r="33" spans="3:40" x14ac:dyDescent="0.15">
      <c r="C33" s="248" t="s">
        <v>126</v>
      </c>
      <c r="D33" s="248"/>
      <c r="E33" s="288"/>
      <c r="F33" s="289"/>
      <c r="G33" s="8"/>
      <c r="H33" s="249"/>
      <c r="I33" s="249"/>
      <c r="J33" s="250"/>
      <c r="K33" s="288"/>
      <c r="L33" s="289"/>
      <c r="M33" s="305"/>
      <c r="N33" s="249"/>
      <c r="O33" s="249"/>
      <c r="P33" s="250"/>
      <c r="Q33" s="289"/>
      <c r="R33" s="289"/>
      <c r="S33" s="305"/>
      <c r="T33" s="249"/>
      <c r="U33" s="249"/>
      <c r="V33" s="250"/>
      <c r="W33" s="289"/>
      <c r="X33" s="289"/>
      <c r="Y33" s="305"/>
      <c r="Z33" s="249"/>
      <c r="AA33" s="249"/>
      <c r="AB33" s="250"/>
      <c r="AC33" s="289"/>
      <c r="AD33" s="289"/>
      <c r="AE33" s="305"/>
      <c r="AF33" s="249"/>
      <c r="AG33" s="249"/>
      <c r="AH33" s="250"/>
      <c r="AI33" s="289"/>
      <c r="AJ33" s="289"/>
      <c r="AK33" s="305"/>
      <c r="AL33" s="249"/>
      <c r="AM33" s="249"/>
      <c r="AN33" s="250"/>
    </row>
    <row r="34" spans="3:40" x14ac:dyDescent="0.15">
      <c r="C34" s="251" t="s">
        <v>136</v>
      </c>
      <c r="D34" s="447"/>
      <c r="E34" s="282">
        <f>K34+N34+Q34+T34+W34+Z34+AC34+AF34+AI34+AL34</f>
        <v>9371205665.3880024</v>
      </c>
      <c r="F34" s="283">
        <f>F10</f>
        <v>952.63900000000001</v>
      </c>
      <c r="G34" s="5">
        <f>E34/F34</f>
        <v>9837100.5862535574</v>
      </c>
      <c r="H34" s="116"/>
      <c r="I34" s="116">
        <f>I10</f>
        <v>952.63900000000001</v>
      </c>
      <c r="J34" s="117">
        <f>H34/I34</f>
        <v>0</v>
      </c>
      <c r="K34" s="282">
        <f>'Cashflow Statement'!N51</f>
        <v>588000000</v>
      </c>
      <c r="L34" s="283">
        <f>L10</f>
        <v>952.63900000000001</v>
      </c>
      <c r="M34" s="302">
        <f>K34/L34</f>
        <v>617232.7607834657</v>
      </c>
      <c r="N34" s="116">
        <f>'Cashflow Statement'!Q51</f>
        <v>646800000</v>
      </c>
      <c r="O34" s="116">
        <f>O10</f>
        <v>1047.9029</v>
      </c>
      <c r="P34" s="117">
        <f>N34/O34</f>
        <v>617232.7607834657</v>
      </c>
      <c r="Q34" s="283">
        <f>'Cashflow Statement'!T51</f>
        <v>711480000</v>
      </c>
      <c r="R34" s="283">
        <f>R10</f>
        <v>1152.6931900000002</v>
      </c>
      <c r="S34" s="302">
        <f>Q34/R34</f>
        <v>617232.76078346558</v>
      </c>
      <c r="T34" s="116">
        <f>'Cashflow Statement'!W51</f>
        <v>782628000.00000012</v>
      </c>
      <c r="U34" s="116">
        <f>U10</f>
        <v>1267.9625090000004</v>
      </c>
      <c r="V34" s="117">
        <f>T34/U34</f>
        <v>617232.76078346558</v>
      </c>
      <c r="W34" s="283">
        <f>'Cashflow Statement'!Z51</f>
        <v>860890800.00000024</v>
      </c>
      <c r="X34" s="283">
        <f>X10</f>
        <v>1394.7587599000005</v>
      </c>
      <c r="Y34" s="302">
        <f>W34/X34</f>
        <v>617232.7607834657</v>
      </c>
      <c r="Z34" s="116">
        <f>'Cashflow Statement'!AC51</f>
        <v>946979880.00000036</v>
      </c>
      <c r="AA34" s="116">
        <f>AA10</f>
        <v>1534.2346358900006</v>
      </c>
      <c r="AB34" s="117">
        <f>Z34/AA34</f>
        <v>617232.7607834657</v>
      </c>
      <c r="AC34" s="283">
        <f>'Cashflow Statement'!AF51</f>
        <v>1041677868.0000005</v>
      </c>
      <c r="AD34" s="283">
        <f>AD10</f>
        <v>1687.6580994790008</v>
      </c>
      <c r="AE34" s="302">
        <f>AC34/AD34</f>
        <v>617232.7607834657</v>
      </c>
      <c r="AF34" s="116">
        <f>'Cashflow Statement'!AI51</f>
        <v>1145845654.8000007</v>
      </c>
      <c r="AG34" s="116">
        <f>AG10</f>
        <v>1856.423909426901</v>
      </c>
      <c r="AH34" s="117">
        <f>AF34/AG34</f>
        <v>617232.7607834657</v>
      </c>
      <c r="AI34" s="283">
        <f>'Cashflow Statement'!AL51</f>
        <v>1260430220.2800009</v>
      </c>
      <c r="AJ34" s="283">
        <f>AJ10</f>
        <v>2042.0663003695913</v>
      </c>
      <c r="AK34" s="302">
        <f>AI34/AJ34</f>
        <v>617232.76078346581</v>
      </c>
      <c r="AL34" s="116">
        <f>'Cashflow Statement'!AO51</f>
        <v>1386473242.308001</v>
      </c>
      <c r="AM34" s="116">
        <f>AM10</f>
        <v>2246.2729304065506</v>
      </c>
      <c r="AN34" s="117">
        <f>AL34/AM34</f>
        <v>617232.7607834657</v>
      </c>
    </row>
    <row r="35" spans="3:40" x14ac:dyDescent="0.15">
      <c r="C35" s="251"/>
      <c r="D35" s="447"/>
      <c r="E35" s="282"/>
      <c r="F35" s="283"/>
      <c r="G35" s="5"/>
      <c r="H35" s="116"/>
      <c r="I35" s="116"/>
      <c r="J35" s="117"/>
      <c r="K35" s="282"/>
      <c r="L35" s="283"/>
      <c r="M35" s="302"/>
      <c r="N35" s="116">
        <f>'Cashflow Statement'!Q52</f>
        <v>0</v>
      </c>
      <c r="O35" s="116"/>
      <c r="P35" s="117"/>
      <c r="Q35" s="283">
        <f>'Cashflow Statement'!T52</f>
        <v>0</v>
      </c>
      <c r="R35" s="283"/>
      <c r="S35" s="302"/>
      <c r="T35" s="116">
        <f>'Cashflow Statement'!W52</f>
        <v>0</v>
      </c>
      <c r="U35" s="116"/>
      <c r="V35" s="117"/>
      <c r="W35" s="283">
        <f>'Cashflow Statement'!Z52</f>
        <v>0</v>
      </c>
      <c r="X35" s="283"/>
      <c r="Y35" s="302"/>
      <c r="Z35" s="116">
        <f>'Cashflow Statement'!AC52</f>
        <v>0</v>
      </c>
      <c r="AA35" s="116"/>
      <c r="AB35" s="117"/>
      <c r="AC35" s="283">
        <f>'Cashflow Statement'!AF52</f>
        <v>0</v>
      </c>
      <c r="AD35" s="283"/>
      <c r="AE35" s="302"/>
      <c r="AF35" s="116">
        <f>'Cashflow Statement'!AI52</f>
        <v>0</v>
      </c>
      <c r="AG35" s="116"/>
      <c r="AH35" s="117"/>
      <c r="AI35" s="283">
        <f>'Cashflow Statement'!AL52</f>
        <v>0</v>
      </c>
      <c r="AJ35" s="283"/>
      <c r="AK35" s="302"/>
      <c r="AL35" s="116">
        <f>'Cashflow Statement'!AO52</f>
        <v>0</v>
      </c>
      <c r="AM35" s="116"/>
      <c r="AN35" s="117"/>
    </row>
    <row r="36" spans="3:40" x14ac:dyDescent="0.15">
      <c r="C36" s="248" t="s">
        <v>137</v>
      </c>
      <c r="D36" s="448"/>
      <c r="E36" s="282"/>
      <c r="F36" s="283"/>
      <c r="G36" s="5"/>
      <c r="H36" s="116"/>
      <c r="I36" s="116"/>
      <c r="J36" s="117"/>
      <c r="K36" s="282"/>
      <c r="L36" s="283"/>
      <c r="M36" s="302"/>
      <c r="N36" s="116">
        <f>'Cashflow Statement'!Q53</f>
        <v>0</v>
      </c>
      <c r="O36" s="116"/>
      <c r="P36" s="117"/>
      <c r="Q36" s="283">
        <f>'Cashflow Statement'!T53</f>
        <v>0</v>
      </c>
      <c r="R36" s="283"/>
      <c r="S36" s="302"/>
      <c r="T36" s="116">
        <f>'Cashflow Statement'!W53</f>
        <v>0</v>
      </c>
      <c r="U36" s="116"/>
      <c r="V36" s="117"/>
      <c r="W36" s="283">
        <f>'Cashflow Statement'!Z53</f>
        <v>0</v>
      </c>
      <c r="X36" s="283"/>
      <c r="Y36" s="302"/>
      <c r="Z36" s="116">
        <f>'Cashflow Statement'!AC53</f>
        <v>0</v>
      </c>
      <c r="AA36" s="116"/>
      <c r="AB36" s="117"/>
      <c r="AC36" s="283">
        <f>'Cashflow Statement'!AF53</f>
        <v>0</v>
      </c>
      <c r="AD36" s="283"/>
      <c r="AE36" s="302"/>
      <c r="AF36" s="116">
        <f>'Cashflow Statement'!AI53</f>
        <v>0</v>
      </c>
      <c r="AG36" s="116"/>
      <c r="AH36" s="117"/>
      <c r="AI36" s="283">
        <f>'Cashflow Statement'!AL53</f>
        <v>0</v>
      </c>
      <c r="AJ36" s="283"/>
      <c r="AK36" s="302"/>
      <c r="AL36" s="116">
        <f>'Cashflow Statement'!AO53</f>
        <v>0</v>
      </c>
      <c r="AM36" s="116"/>
      <c r="AN36" s="117"/>
    </row>
    <row r="37" spans="3:40" x14ac:dyDescent="0.15">
      <c r="C37" s="243" t="s">
        <v>198</v>
      </c>
      <c r="D37" s="449">
        <f>'Cashflow Statement'!G54</f>
        <v>1.1000000000000001</v>
      </c>
      <c r="E37" s="282">
        <f>K37+N37+Q37+T37+W37+Z37+AC37+AF37+AI37+AL37</f>
        <v>5500000</v>
      </c>
      <c r="F37" s="283">
        <f>F34</f>
        <v>952.63900000000001</v>
      </c>
      <c r="G37" s="5">
        <f>E37/F37</f>
        <v>5773.4356876004449</v>
      </c>
      <c r="H37" s="116"/>
      <c r="I37" s="116">
        <f>I34</f>
        <v>952.63900000000001</v>
      </c>
      <c r="J37" s="117">
        <f>H37/I37</f>
        <v>0</v>
      </c>
      <c r="K37" s="282">
        <f>'Cashflow Statement'!N54</f>
        <v>550000</v>
      </c>
      <c r="L37" s="283">
        <f>L34</f>
        <v>952.63900000000001</v>
      </c>
      <c r="M37" s="302">
        <f>K37/L37</f>
        <v>577.34356876004449</v>
      </c>
      <c r="N37" s="116">
        <f>'Cashflow Statement'!Q54</f>
        <v>550000</v>
      </c>
      <c r="O37" s="116">
        <f>O34</f>
        <v>1047.9029</v>
      </c>
      <c r="P37" s="117">
        <f>N37/O37</f>
        <v>524.85778978185863</v>
      </c>
      <c r="Q37" s="283">
        <f>'Cashflow Statement'!T54</f>
        <v>550000</v>
      </c>
      <c r="R37" s="283">
        <f>R34</f>
        <v>1152.6931900000002</v>
      </c>
      <c r="S37" s="302">
        <f>Q37/R37</f>
        <v>477.143445256235</v>
      </c>
      <c r="T37" s="116">
        <f>'Cashflow Statement'!W54</f>
        <v>550000</v>
      </c>
      <c r="U37" s="116">
        <f>U34</f>
        <v>1267.9625090000004</v>
      </c>
      <c r="V37" s="117">
        <f t="shared" ref="V37:V44" si="16">T37/U37</f>
        <v>433.76676841475904</v>
      </c>
      <c r="W37" s="283">
        <f>'Cashflow Statement'!Z54</f>
        <v>550000</v>
      </c>
      <c r="X37" s="283">
        <f>X34</f>
        <v>1394.7587599000005</v>
      </c>
      <c r="Y37" s="302">
        <f t="shared" ref="Y37:Y44" si="17">W37/X37</f>
        <v>394.33342583159907</v>
      </c>
      <c r="Z37" s="116">
        <f>'Cashflow Statement'!AC54</f>
        <v>550000</v>
      </c>
      <c r="AA37" s="116">
        <f>AA34</f>
        <v>1534.2346358900006</v>
      </c>
      <c r="AB37" s="117">
        <f t="shared" ref="AB37:AB44" si="18">Z37/AA37</f>
        <v>358.48493257418102</v>
      </c>
      <c r="AC37" s="283">
        <f>'Cashflow Statement'!AF54</f>
        <v>550000</v>
      </c>
      <c r="AD37" s="283">
        <f>AD34</f>
        <v>1687.6580994790008</v>
      </c>
      <c r="AE37" s="302">
        <f t="shared" ref="AE37:AE44" si="19">AC37/AD37</f>
        <v>325.89539324925539</v>
      </c>
      <c r="AF37" s="116">
        <f>'Cashflow Statement'!AI54</f>
        <v>550000</v>
      </c>
      <c r="AG37" s="116">
        <f>AG34</f>
        <v>1856.423909426901</v>
      </c>
      <c r="AH37" s="117">
        <f t="shared" ref="AH37:AH44" si="20">AF37/AG37</f>
        <v>296.26853931750492</v>
      </c>
      <c r="AI37" s="283">
        <f>'Cashflow Statement'!AL54</f>
        <v>550000</v>
      </c>
      <c r="AJ37" s="283">
        <f>AJ34</f>
        <v>2042.0663003695913</v>
      </c>
      <c r="AK37" s="302">
        <f t="shared" ref="AK37:AK44" si="21">AI37/AJ37</f>
        <v>269.33503574318627</v>
      </c>
      <c r="AL37" s="116">
        <f>'Cashflow Statement'!AO54</f>
        <v>550000</v>
      </c>
      <c r="AM37" s="116">
        <f>AM34</f>
        <v>2246.2729304065506</v>
      </c>
      <c r="AN37" s="117">
        <f t="shared" ref="AN37:AN44" si="22">AL37/AM37</f>
        <v>244.85003249380568</v>
      </c>
    </row>
    <row r="38" spans="3:40" x14ac:dyDescent="0.15">
      <c r="C38" s="251" t="s">
        <v>206</v>
      </c>
      <c r="D38" s="449">
        <f>'Cashflow Statement'!G55</f>
        <v>1.1000000000000001</v>
      </c>
      <c r="E38" s="282">
        <f>K38+N38+Q38+T38+W38+Z38+AC38+AF38+AI38+AL38</f>
        <v>76866410419.378159</v>
      </c>
      <c r="F38" s="283">
        <f t="shared" ref="F38:F51" si="23">F37</f>
        <v>952.63900000000001</v>
      </c>
      <c r="G38" s="5">
        <f t="shared" ref="G38:G60" si="24">E38/F38</f>
        <v>80687868.562360093</v>
      </c>
      <c r="H38" s="116"/>
      <c r="I38" s="116">
        <f t="shared" ref="I38:I51" si="25">I37</f>
        <v>952.63900000000001</v>
      </c>
      <c r="J38" s="117">
        <f t="shared" ref="J38:J60" si="26">H38/I38</f>
        <v>0</v>
      </c>
      <c r="K38" s="282">
        <f>'Cashflow Statement'!N55</f>
        <v>621964190.24000001</v>
      </c>
      <c r="L38" s="283">
        <f t="shared" ref="L38:L51" si="27">L37</f>
        <v>952.63900000000001</v>
      </c>
      <c r="M38" s="302">
        <f t="shared" ref="M38:M60" si="28">K38/L38</f>
        <v>652885.5004256597</v>
      </c>
      <c r="N38" s="116">
        <f>'Cashflow Statement'!Q55</f>
        <v>1579299300.4619081</v>
      </c>
      <c r="O38" s="116">
        <f t="shared" ref="O38:O51" si="29">O37</f>
        <v>1047.9029</v>
      </c>
      <c r="P38" s="117">
        <f t="shared" ref="P38:P60" si="30">N38/O38</f>
        <v>1507104.6186263135</v>
      </c>
      <c r="Q38" s="283">
        <f>'Cashflow Statement'!T55</f>
        <v>3737807608.2389627</v>
      </c>
      <c r="R38" s="283">
        <f t="shared" ref="R38:R51" si="31">R37</f>
        <v>1152.6931900000002</v>
      </c>
      <c r="S38" s="302">
        <f t="shared" ref="S38:S60" si="32">Q38/R38</f>
        <v>3242673.4543638295</v>
      </c>
      <c r="T38" s="116">
        <f>'Cashflow Statement'!W55</f>
        <v>6598552523.0834026</v>
      </c>
      <c r="U38" s="116">
        <f t="shared" ref="U38:U51" si="33">U37</f>
        <v>1267.9625090000004</v>
      </c>
      <c r="V38" s="117">
        <f t="shared" si="16"/>
        <v>5204059.6439144406</v>
      </c>
      <c r="W38" s="283">
        <f>'Cashflow Statement'!Z55</f>
        <v>10095914055.331955</v>
      </c>
      <c r="X38" s="283">
        <f t="shared" ref="X38:X51" si="34">X37</f>
        <v>1394.7587599000005</v>
      </c>
      <c r="Y38" s="302">
        <f t="shared" si="17"/>
        <v>7238466.1388008045</v>
      </c>
      <c r="Z38" s="116">
        <f>'Cashflow Statement'!AC55</f>
        <v>15428676158.968252</v>
      </c>
      <c r="AA38" s="116">
        <f t="shared" ref="AA38:AA51" si="35">AA37</f>
        <v>1534.2346358900006</v>
      </c>
      <c r="AB38" s="117">
        <f t="shared" si="18"/>
        <v>10056268.968284741</v>
      </c>
      <c r="AC38" s="283">
        <f>'Cashflow Statement'!AF55</f>
        <v>13340302101.949326</v>
      </c>
      <c r="AD38" s="283">
        <f t="shared" ref="AD38:AD51" si="36">AD37</f>
        <v>1687.6580994790008</v>
      </c>
      <c r="AE38" s="302">
        <f t="shared" si="19"/>
        <v>7904623.6355975345</v>
      </c>
      <c r="AF38" s="116">
        <f>'Cashflow Statement'!AI55</f>
        <v>10432784651.343369</v>
      </c>
      <c r="AG38" s="116">
        <f t="shared" ref="AG38:AG51" si="37">AG37</f>
        <v>1856.423909426901</v>
      </c>
      <c r="AH38" s="117">
        <f t="shared" si="20"/>
        <v>5619828.8539410625</v>
      </c>
      <c r="AI38" s="283">
        <f>'Cashflow Statement'!AL55</f>
        <v>7944350995.2633305</v>
      </c>
      <c r="AJ38" s="283">
        <f t="shared" ref="AJ38:AJ51" si="38">AJ37</f>
        <v>2042.0663003695913</v>
      </c>
      <c r="AK38" s="302">
        <f t="shared" si="21"/>
        <v>3890349.1986648482</v>
      </c>
      <c r="AL38" s="116">
        <f>'Cashflow Statement'!AO55</f>
        <v>7086758834.4976444</v>
      </c>
      <c r="AM38" s="116">
        <f t="shared" ref="AM38:AM51" si="39">AM37</f>
        <v>2246.2729304065506</v>
      </c>
      <c r="AN38" s="117">
        <f t="shared" si="22"/>
        <v>3154896.6016409323</v>
      </c>
    </row>
    <row r="39" spans="3:40" x14ac:dyDescent="0.15">
      <c r="C39" s="251" t="s">
        <v>173</v>
      </c>
      <c r="D39" s="449">
        <f>'Cashflow Statement'!G56</f>
        <v>1.1000000000000001</v>
      </c>
      <c r="E39" s="282">
        <f t="shared" ref="E39:E60" si="40">K39+N39+Q39+T39+W39+Z39+AC39+AF39+AI39+AL39</f>
        <v>5798672566.8278427</v>
      </c>
      <c r="F39" s="283">
        <f t="shared" si="23"/>
        <v>952.63900000000001</v>
      </c>
      <c r="G39" s="5">
        <f t="shared" si="24"/>
        <v>6086956.9341879161</v>
      </c>
      <c r="H39" s="116"/>
      <c r="I39" s="116">
        <f t="shared" si="25"/>
        <v>952.63900000000001</v>
      </c>
      <c r="J39" s="117">
        <f t="shared" si="26"/>
        <v>0</v>
      </c>
      <c r="K39" s="282">
        <f>'Cashflow Statement'!N56</f>
        <v>363840000</v>
      </c>
      <c r="L39" s="283">
        <f t="shared" si="27"/>
        <v>952.63900000000001</v>
      </c>
      <c r="M39" s="302">
        <f t="shared" si="28"/>
        <v>381928.51646846288</v>
      </c>
      <c r="N39" s="116">
        <f>'Cashflow Statement'!Q56</f>
        <v>400224000</v>
      </c>
      <c r="O39" s="116">
        <f t="shared" si="29"/>
        <v>1047.9029</v>
      </c>
      <c r="P39" s="117">
        <f t="shared" si="30"/>
        <v>381928.51646846283</v>
      </c>
      <c r="Q39" s="283">
        <f>'Cashflow Statement'!T56</f>
        <v>440246400.00000006</v>
      </c>
      <c r="R39" s="283">
        <f t="shared" si="31"/>
        <v>1152.6931900000002</v>
      </c>
      <c r="S39" s="302">
        <f t="shared" si="32"/>
        <v>381928.51646846288</v>
      </c>
      <c r="T39" s="116">
        <f>'Cashflow Statement'!W56</f>
        <v>484271040.00000006</v>
      </c>
      <c r="U39" s="116">
        <f t="shared" si="33"/>
        <v>1267.9625090000004</v>
      </c>
      <c r="V39" s="117">
        <f t="shared" si="16"/>
        <v>381928.51646846277</v>
      </c>
      <c r="W39" s="283">
        <f>'Cashflow Statement'!Z56</f>
        <v>532698144.00000018</v>
      </c>
      <c r="X39" s="283">
        <f t="shared" si="34"/>
        <v>1394.7587599000005</v>
      </c>
      <c r="Y39" s="302">
        <f t="shared" si="17"/>
        <v>381928.51646846283</v>
      </c>
      <c r="Z39" s="116">
        <f>'Cashflow Statement'!AC56</f>
        <v>585967958.40000033</v>
      </c>
      <c r="AA39" s="116">
        <f t="shared" si="35"/>
        <v>1534.2346358900006</v>
      </c>
      <c r="AB39" s="117">
        <f t="shared" si="18"/>
        <v>381928.51646846294</v>
      </c>
      <c r="AC39" s="283">
        <f>'Cashflow Statement'!AF56</f>
        <v>644564754.24000049</v>
      </c>
      <c r="AD39" s="283">
        <f t="shared" si="36"/>
        <v>1687.6580994790008</v>
      </c>
      <c r="AE39" s="302">
        <f t="shared" si="19"/>
        <v>381928.51646846294</v>
      </c>
      <c r="AF39" s="116">
        <f>'Cashflow Statement'!AI56</f>
        <v>709021229.66400051</v>
      </c>
      <c r="AG39" s="116">
        <f t="shared" si="37"/>
        <v>1856.423909426901</v>
      </c>
      <c r="AH39" s="117">
        <f t="shared" si="20"/>
        <v>381928.51646846294</v>
      </c>
      <c r="AI39" s="283">
        <f>'Cashflow Statement'!AL56</f>
        <v>779923352.63040066</v>
      </c>
      <c r="AJ39" s="283">
        <f t="shared" si="38"/>
        <v>2042.0663003695913</v>
      </c>
      <c r="AK39" s="302">
        <f t="shared" si="21"/>
        <v>381928.51646846294</v>
      </c>
      <c r="AL39" s="116">
        <f>'Cashflow Statement'!AO56</f>
        <v>857915687.89344072</v>
      </c>
      <c r="AM39" s="116">
        <f t="shared" si="39"/>
        <v>2246.2729304065506</v>
      </c>
      <c r="AN39" s="117">
        <f t="shared" si="22"/>
        <v>381928.51646846294</v>
      </c>
    </row>
    <row r="40" spans="3:40" x14ac:dyDescent="0.15">
      <c r="C40" s="251" t="s">
        <v>200</v>
      </c>
      <c r="D40" s="449">
        <f>'Cashflow Statement'!G57</f>
        <v>1.1000000000000001</v>
      </c>
      <c r="E40" s="282">
        <f t="shared" ref="E40" si="41">K40+N40+Q40+T40+W40+Z40+AC40+AF40+AI40+AL40</f>
        <v>724834070.85348034</v>
      </c>
      <c r="F40" s="283">
        <f t="shared" si="23"/>
        <v>952.63900000000001</v>
      </c>
      <c r="G40" s="5">
        <f t="shared" ref="G40" si="42">E40/F40</f>
        <v>760869.61677348951</v>
      </c>
      <c r="H40" s="116"/>
      <c r="I40" s="116">
        <f t="shared" si="25"/>
        <v>952.63900000000001</v>
      </c>
      <c r="J40" s="117">
        <f t="shared" ref="J40" si="43">H40/I40</f>
        <v>0</v>
      </c>
      <c r="K40" s="282">
        <f>'Cashflow Statement'!N57</f>
        <v>45480000</v>
      </c>
      <c r="L40" s="283">
        <f t="shared" si="27"/>
        <v>952.63900000000001</v>
      </c>
      <c r="M40" s="302">
        <f t="shared" ref="M40" si="44">K40/L40</f>
        <v>47741.06455855786</v>
      </c>
      <c r="N40" s="116">
        <f>'Cashflow Statement'!Q57</f>
        <v>50028000</v>
      </c>
      <c r="O40" s="116">
        <f t="shared" si="29"/>
        <v>1047.9029</v>
      </c>
      <c r="P40" s="117">
        <f t="shared" ref="P40" si="45">N40/O40</f>
        <v>47741.064558557853</v>
      </c>
      <c r="Q40" s="283">
        <f>'Cashflow Statement'!T57</f>
        <v>55030800.000000007</v>
      </c>
      <c r="R40" s="283">
        <f t="shared" si="31"/>
        <v>1152.6931900000002</v>
      </c>
      <c r="S40" s="302">
        <f t="shared" ref="S40" si="46">Q40/R40</f>
        <v>47741.06455855786</v>
      </c>
      <c r="T40" s="116">
        <f>'Cashflow Statement'!W57</f>
        <v>60533880.000000007</v>
      </c>
      <c r="U40" s="116">
        <f t="shared" si="33"/>
        <v>1267.9625090000004</v>
      </c>
      <c r="V40" s="117">
        <f t="shared" si="16"/>
        <v>47741.064558557846</v>
      </c>
      <c r="W40" s="283">
        <f>'Cashflow Statement'!Z57</f>
        <v>66587268.000000022</v>
      </c>
      <c r="X40" s="283">
        <f t="shared" si="34"/>
        <v>1394.7587599000005</v>
      </c>
      <c r="Y40" s="302">
        <f t="shared" si="17"/>
        <v>47741.064558557853</v>
      </c>
      <c r="Z40" s="116">
        <f>'Cashflow Statement'!AC57</f>
        <v>73245994.800000042</v>
      </c>
      <c r="AA40" s="116">
        <f t="shared" si="35"/>
        <v>1534.2346358900006</v>
      </c>
      <c r="AB40" s="117">
        <f t="shared" si="18"/>
        <v>47741.064558557868</v>
      </c>
      <c r="AC40" s="283">
        <f>'Cashflow Statement'!AF57</f>
        <v>80570594.280000061</v>
      </c>
      <c r="AD40" s="283">
        <f t="shared" si="36"/>
        <v>1687.6580994790008</v>
      </c>
      <c r="AE40" s="302">
        <f t="shared" si="19"/>
        <v>47741.064558557868</v>
      </c>
      <c r="AF40" s="116">
        <f>'Cashflow Statement'!AI57</f>
        <v>88627653.708000064</v>
      </c>
      <c r="AG40" s="116">
        <f t="shared" si="37"/>
        <v>1856.423909426901</v>
      </c>
      <c r="AH40" s="117">
        <f t="shared" si="20"/>
        <v>47741.064558557868</v>
      </c>
      <c r="AI40" s="283">
        <f>'Cashflow Statement'!AL57</f>
        <v>97490419.078800082</v>
      </c>
      <c r="AJ40" s="283">
        <f t="shared" si="38"/>
        <v>2042.0663003695913</v>
      </c>
      <c r="AK40" s="302">
        <f t="shared" si="21"/>
        <v>47741.064558557868</v>
      </c>
      <c r="AL40" s="116">
        <f>'Cashflow Statement'!AO57</f>
        <v>107239460.98668009</v>
      </c>
      <c r="AM40" s="116">
        <f t="shared" si="39"/>
        <v>2246.2729304065506</v>
      </c>
      <c r="AN40" s="117">
        <f t="shared" si="22"/>
        <v>47741.064558557868</v>
      </c>
    </row>
    <row r="41" spans="3:40" x14ac:dyDescent="0.15">
      <c r="C41" s="251" t="s">
        <v>172</v>
      </c>
      <c r="D41" s="449">
        <f>'Cashflow Statement'!G58</f>
        <v>1.1000000000000001</v>
      </c>
      <c r="E41" s="282">
        <f t="shared" ref="E41" si="47">K41+N41+Q41+T41+W41+Z41+AC41+AF41+AI41+AL41</f>
        <v>724834070.85348034</v>
      </c>
      <c r="F41" s="283">
        <f>F39</f>
        <v>952.63900000000001</v>
      </c>
      <c r="G41" s="5">
        <f t="shared" ref="G41" si="48">E41/F41</f>
        <v>760869.61677348951</v>
      </c>
      <c r="H41" s="116"/>
      <c r="I41" s="116">
        <f>I39</f>
        <v>952.63900000000001</v>
      </c>
      <c r="J41" s="117">
        <f t="shared" ref="J41" si="49">H41/I41</f>
        <v>0</v>
      </c>
      <c r="K41" s="282">
        <f>'Cashflow Statement'!N58</f>
        <v>45480000</v>
      </c>
      <c r="L41" s="283">
        <f>L39</f>
        <v>952.63900000000001</v>
      </c>
      <c r="M41" s="302">
        <f t="shared" ref="M41" si="50">K41/L41</f>
        <v>47741.06455855786</v>
      </c>
      <c r="N41" s="116">
        <f>'Cashflow Statement'!Q58</f>
        <v>50028000</v>
      </c>
      <c r="O41" s="116">
        <f>O39</f>
        <v>1047.9029</v>
      </c>
      <c r="P41" s="117">
        <f t="shared" ref="P41" si="51">N41/O41</f>
        <v>47741.064558557853</v>
      </c>
      <c r="Q41" s="283">
        <f>'Cashflow Statement'!T58</f>
        <v>55030800.000000007</v>
      </c>
      <c r="R41" s="283">
        <f>R39</f>
        <v>1152.6931900000002</v>
      </c>
      <c r="S41" s="302">
        <f t="shared" ref="S41" si="52">Q41/R41</f>
        <v>47741.06455855786</v>
      </c>
      <c r="T41" s="116">
        <f>'Cashflow Statement'!W58</f>
        <v>60533880.000000007</v>
      </c>
      <c r="U41" s="116">
        <f>U39</f>
        <v>1267.9625090000004</v>
      </c>
      <c r="V41" s="117">
        <f t="shared" si="16"/>
        <v>47741.064558557846</v>
      </c>
      <c r="W41" s="283">
        <f>'Cashflow Statement'!Z58</f>
        <v>66587268.000000022</v>
      </c>
      <c r="X41" s="283">
        <f>X39</f>
        <v>1394.7587599000005</v>
      </c>
      <c r="Y41" s="302">
        <f t="shared" si="17"/>
        <v>47741.064558557853</v>
      </c>
      <c r="Z41" s="116">
        <f>'Cashflow Statement'!AC58</f>
        <v>73245994.800000042</v>
      </c>
      <c r="AA41" s="116">
        <f>AA39</f>
        <v>1534.2346358900006</v>
      </c>
      <c r="AB41" s="117">
        <f t="shared" si="18"/>
        <v>47741.064558557868</v>
      </c>
      <c r="AC41" s="283">
        <f>'Cashflow Statement'!AF58</f>
        <v>80570594.280000061</v>
      </c>
      <c r="AD41" s="283">
        <f>AD39</f>
        <v>1687.6580994790008</v>
      </c>
      <c r="AE41" s="302">
        <f t="shared" si="19"/>
        <v>47741.064558557868</v>
      </c>
      <c r="AF41" s="116">
        <f>'Cashflow Statement'!AI58</f>
        <v>88627653.708000064</v>
      </c>
      <c r="AG41" s="116">
        <f>AG39</f>
        <v>1856.423909426901</v>
      </c>
      <c r="AH41" s="117">
        <f t="shared" si="20"/>
        <v>47741.064558557868</v>
      </c>
      <c r="AI41" s="283">
        <f>'Cashflow Statement'!AL58</f>
        <v>97490419.078800082</v>
      </c>
      <c r="AJ41" s="283">
        <f>AJ39</f>
        <v>2042.0663003695913</v>
      </c>
      <c r="AK41" s="302">
        <f t="shared" si="21"/>
        <v>47741.064558557868</v>
      </c>
      <c r="AL41" s="116">
        <f>'Cashflow Statement'!AO58</f>
        <v>107239460.98668009</v>
      </c>
      <c r="AM41" s="116">
        <f>AM39</f>
        <v>2246.2729304065506</v>
      </c>
      <c r="AN41" s="117">
        <f t="shared" si="22"/>
        <v>47741.064558557868</v>
      </c>
    </row>
    <row r="42" spans="3:40" x14ac:dyDescent="0.15">
      <c r="C42" s="251" t="s">
        <v>191</v>
      </c>
      <c r="D42" s="449">
        <f>'Cashflow Statement'!G59</f>
        <v>1.1000000000000001</v>
      </c>
      <c r="E42" s="282">
        <f t="shared" ref="E42" si="53">K42+N42+Q42+T42+W42+Z42+AC42+AF42+AI42+AL42</f>
        <v>1812085177.1337011</v>
      </c>
      <c r="F42" s="283">
        <f>F39</f>
        <v>952.63900000000001</v>
      </c>
      <c r="G42" s="5">
        <f t="shared" ref="G42" si="54">E42/F42</f>
        <v>1902174.0419337242</v>
      </c>
      <c r="H42" s="116"/>
      <c r="I42" s="116">
        <f>I39</f>
        <v>952.63900000000001</v>
      </c>
      <c r="J42" s="117">
        <f t="shared" ref="J42" si="55">H42/I42</f>
        <v>0</v>
      </c>
      <c r="K42" s="282">
        <f>'Cashflow Statement'!N59</f>
        <v>113700000</v>
      </c>
      <c r="L42" s="283">
        <f>L39</f>
        <v>952.63900000000001</v>
      </c>
      <c r="M42" s="302">
        <f t="shared" ref="M42" si="56">K42/L42</f>
        <v>119352.66139639464</v>
      </c>
      <c r="N42" s="116">
        <f>'Cashflow Statement'!Q59</f>
        <v>125070000</v>
      </c>
      <c r="O42" s="116">
        <f>O39</f>
        <v>1047.9029</v>
      </c>
      <c r="P42" s="117">
        <f t="shared" ref="P42" si="57">N42/O42</f>
        <v>119352.66139639464</v>
      </c>
      <c r="Q42" s="283">
        <f>'Cashflow Statement'!T59</f>
        <v>137577000.00000003</v>
      </c>
      <c r="R42" s="283">
        <f>R39</f>
        <v>1152.6931900000002</v>
      </c>
      <c r="S42" s="302">
        <f t="shared" ref="S42" si="58">Q42/R42</f>
        <v>119352.66139639466</v>
      </c>
      <c r="T42" s="116">
        <f>'Cashflow Statement'!W59</f>
        <v>151334700.00000003</v>
      </c>
      <c r="U42" s="116">
        <f>U39</f>
        <v>1267.9625090000004</v>
      </c>
      <c r="V42" s="117">
        <f t="shared" si="16"/>
        <v>119352.66139639463</v>
      </c>
      <c r="W42" s="283">
        <f>'Cashflow Statement'!Z59</f>
        <v>166468170.00000006</v>
      </c>
      <c r="X42" s="283">
        <f>X39</f>
        <v>1394.7587599000005</v>
      </c>
      <c r="Y42" s="302">
        <f t="shared" si="17"/>
        <v>119352.66139639464</v>
      </c>
      <c r="Z42" s="116">
        <f>'Cashflow Statement'!AC59</f>
        <v>183114987.00000012</v>
      </c>
      <c r="AA42" s="116">
        <f>AA39</f>
        <v>1534.2346358900006</v>
      </c>
      <c r="AB42" s="117">
        <f t="shared" si="18"/>
        <v>119352.66139639467</v>
      </c>
      <c r="AC42" s="283">
        <f>'Cashflow Statement'!AF59</f>
        <v>201426485.70000017</v>
      </c>
      <c r="AD42" s="283">
        <f>AD39</f>
        <v>1687.6580994790008</v>
      </c>
      <c r="AE42" s="302">
        <f t="shared" si="19"/>
        <v>119352.66139639469</v>
      </c>
      <c r="AF42" s="116">
        <f>'Cashflow Statement'!AI59</f>
        <v>221569134.27000019</v>
      </c>
      <c r="AG42" s="116">
        <f>AG39</f>
        <v>1856.423909426901</v>
      </c>
      <c r="AH42" s="117">
        <f t="shared" si="20"/>
        <v>119352.66139639469</v>
      </c>
      <c r="AI42" s="283">
        <f>'Cashflow Statement'!AL59</f>
        <v>243726047.69700024</v>
      </c>
      <c r="AJ42" s="283">
        <f>AJ39</f>
        <v>2042.0663003695913</v>
      </c>
      <c r="AK42" s="302">
        <f t="shared" si="21"/>
        <v>119352.66139639469</v>
      </c>
      <c r="AL42" s="116">
        <f>'Cashflow Statement'!AO59</f>
        <v>268098652.46670023</v>
      </c>
      <c r="AM42" s="116">
        <f>AM39</f>
        <v>2246.2729304065506</v>
      </c>
      <c r="AN42" s="117">
        <f t="shared" si="22"/>
        <v>119352.66139639466</v>
      </c>
    </row>
    <row r="43" spans="3:40" x14ac:dyDescent="0.15">
      <c r="C43" s="251" t="s">
        <v>174</v>
      </c>
      <c r="D43" s="449">
        <f>'Cashflow Statement'!G60</f>
        <v>1.1000000000000001</v>
      </c>
      <c r="E43" s="282">
        <f t="shared" si="40"/>
        <v>15937424601.000002</v>
      </c>
      <c r="F43" s="283">
        <f>F39</f>
        <v>952.63900000000001</v>
      </c>
      <c r="G43" s="5">
        <f t="shared" si="24"/>
        <v>16729762.901791761</v>
      </c>
      <c r="H43" s="116"/>
      <c r="I43" s="116">
        <f>I39</f>
        <v>952.63900000000001</v>
      </c>
      <c r="J43" s="117">
        <f t="shared" si="26"/>
        <v>0</v>
      </c>
      <c r="K43" s="282">
        <f>'Cashflow Statement'!N60</f>
        <v>1000000000</v>
      </c>
      <c r="L43" s="283">
        <f>L39</f>
        <v>952.63900000000001</v>
      </c>
      <c r="M43" s="302">
        <f t="shared" si="28"/>
        <v>1049715.5795637171</v>
      </c>
      <c r="N43" s="116">
        <f>'Cashflow Statement'!Q60</f>
        <v>1100000000</v>
      </c>
      <c r="O43" s="116">
        <f>O39</f>
        <v>1047.9029</v>
      </c>
      <c r="P43" s="117">
        <f t="shared" si="30"/>
        <v>1049715.5795637171</v>
      </c>
      <c r="Q43" s="283">
        <f>'Cashflow Statement'!T60</f>
        <v>1210000000</v>
      </c>
      <c r="R43" s="283">
        <f>R39</f>
        <v>1152.6931900000002</v>
      </c>
      <c r="S43" s="302">
        <f t="shared" si="32"/>
        <v>1049715.5795637171</v>
      </c>
      <c r="T43" s="116">
        <f>'Cashflow Statement'!W60</f>
        <v>1331000000</v>
      </c>
      <c r="U43" s="116">
        <f>U39</f>
        <v>1267.9625090000004</v>
      </c>
      <c r="V43" s="117">
        <f t="shared" si="16"/>
        <v>1049715.5795637169</v>
      </c>
      <c r="W43" s="283">
        <f>'Cashflow Statement'!Z60</f>
        <v>1464100000</v>
      </c>
      <c r="X43" s="283">
        <f>X39</f>
        <v>1394.7587599000005</v>
      </c>
      <c r="Y43" s="302">
        <f t="shared" si="17"/>
        <v>1049715.5795637169</v>
      </c>
      <c r="Z43" s="116">
        <f>'Cashflow Statement'!AC60</f>
        <v>1610510000.0000002</v>
      </c>
      <c r="AA43" s="116">
        <f>AA39</f>
        <v>1534.2346358900006</v>
      </c>
      <c r="AB43" s="117">
        <f t="shared" si="18"/>
        <v>1049715.5795637169</v>
      </c>
      <c r="AC43" s="283">
        <f>'Cashflow Statement'!AF60</f>
        <v>1771561000.0000005</v>
      </c>
      <c r="AD43" s="283">
        <f>AD39</f>
        <v>1687.6580994790008</v>
      </c>
      <c r="AE43" s="302">
        <f t="shared" si="19"/>
        <v>1049715.5795637169</v>
      </c>
      <c r="AF43" s="116">
        <f>'Cashflow Statement'!AI60</f>
        <v>1948717100.0000007</v>
      </c>
      <c r="AG43" s="116">
        <f>AG39</f>
        <v>1856.423909426901</v>
      </c>
      <c r="AH43" s="117">
        <f t="shared" si="20"/>
        <v>1049715.5795637171</v>
      </c>
      <c r="AI43" s="283">
        <f>'Cashflow Statement'!AL60</f>
        <v>2143588810.000001</v>
      </c>
      <c r="AJ43" s="283">
        <f>AJ39</f>
        <v>2042.0663003695913</v>
      </c>
      <c r="AK43" s="302">
        <f t="shared" si="21"/>
        <v>1049715.5795637169</v>
      </c>
      <c r="AL43" s="116">
        <f>'Cashflow Statement'!AO60</f>
        <v>2357947691.0000014</v>
      </c>
      <c r="AM43" s="116">
        <f>AM39</f>
        <v>2246.2729304065506</v>
      </c>
      <c r="AN43" s="117">
        <f t="shared" si="22"/>
        <v>1049715.5795637171</v>
      </c>
    </row>
    <row r="44" spans="3:40" x14ac:dyDescent="0.15">
      <c r="C44" s="251" t="s">
        <v>175</v>
      </c>
      <c r="D44" s="449">
        <f>'Cashflow Statement'!G61</f>
        <v>1.1000000000000001</v>
      </c>
      <c r="E44" s="282">
        <f t="shared" si="40"/>
        <v>159374246.01000008</v>
      </c>
      <c r="F44" s="283">
        <f t="shared" si="23"/>
        <v>952.63900000000001</v>
      </c>
      <c r="G44" s="5">
        <f t="shared" si="24"/>
        <v>167297.62901791767</v>
      </c>
      <c r="H44" s="116"/>
      <c r="I44" s="116">
        <f t="shared" si="25"/>
        <v>952.63900000000001</v>
      </c>
      <c r="J44" s="117">
        <f t="shared" si="26"/>
        <v>0</v>
      </c>
      <c r="K44" s="282">
        <f>'Cashflow Statement'!N61</f>
        <v>10000000</v>
      </c>
      <c r="L44" s="283">
        <f t="shared" si="27"/>
        <v>952.63900000000001</v>
      </c>
      <c r="M44" s="302">
        <f t="shared" si="28"/>
        <v>10497.155795637173</v>
      </c>
      <c r="N44" s="116">
        <f>'Cashflow Statement'!Q61</f>
        <v>11000000</v>
      </c>
      <c r="O44" s="116">
        <f t="shared" si="29"/>
        <v>1047.9029</v>
      </c>
      <c r="P44" s="117">
        <f t="shared" si="30"/>
        <v>10497.155795637173</v>
      </c>
      <c r="Q44" s="283">
        <f>'Cashflow Statement'!T61</f>
        <v>12100000.000000002</v>
      </c>
      <c r="R44" s="283">
        <f t="shared" si="31"/>
        <v>1152.6931900000002</v>
      </c>
      <c r="S44" s="302">
        <f t="shared" si="32"/>
        <v>10497.155795637173</v>
      </c>
      <c r="T44" s="116">
        <f>'Cashflow Statement'!W61</f>
        <v>13310000.000000004</v>
      </c>
      <c r="U44" s="116">
        <f t="shared" si="33"/>
        <v>1267.9625090000004</v>
      </c>
      <c r="V44" s="117">
        <f t="shared" si="16"/>
        <v>10497.155795637173</v>
      </c>
      <c r="W44" s="283">
        <f>'Cashflow Statement'!Z61</f>
        <v>14641000.000000006</v>
      </c>
      <c r="X44" s="283">
        <f t="shared" si="34"/>
        <v>1394.7587599000005</v>
      </c>
      <c r="Y44" s="302">
        <f t="shared" si="17"/>
        <v>10497.155795637173</v>
      </c>
      <c r="Z44" s="116">
        <f>'Cashflow Statement'!AC61</f>
        <v>16105100.000000007</v>
      </c>
      <c r="AA44" s="116">
        <f t="shared" si="35"/>
        <v>1534.2346358900006</v>
      </c>
      <c r="AB44" s="117">
        <f t="shared" si="18"/>
        <v>10497.155795637173</v>
      </c>
      <c r="AC44" s="283">
        <f>'Cashflow Statement'!AF61</f>
        <v>17715610.000000011</v>
      </c>
      <c r="AD44" s="283">
        <f t="shared" si="36"/>
        <v>1687.6580994790008</v>
      </c>
      <c r="AE44" s="302">
        <f t="shared" si="19"/>
        <v>10497.155795637174</v>
      </c>
      <c r="AF44" s="116">
        <f>'Cashflow Statement'!AI61</f>
        <v>19487171.000000015</v>
      </c>
      <c r="AG44" s="116">
        <f t="shared" si="37"/>
        <v>1856.423909426901</v>
      </c>
      <c r="AH44" s="117">
        <f t="shared" si="20"/>
        <v>10497.155795637174</v>
      </c>
      <c r="AI44" s="283">
        <f>'Cashflow Statement'!AL61</f>
        <v>21435888.100000016</v>
      </c>
      <c r="AJ44" s="283">
        <f t="shared" si="38"/>
        <v>2042.0663003695913</v>
      </c>
      <c r="AK44" s="302">
        <f t="shared" si="21"/>
        <v>10497.155795637173</v>
      </c>
      <c r="AL44" s="116">
        <f>'Cashflow Statement'!AO61</f>
        <v>23579476.910000019</v>
      </c>
      <c r="AM44" s="116">
        <f t="shared" si="39"/>
        <v>2246.2729304065506</v>
      </c>
      <c r="AN44" s="117">
        <f t="shared" si="22"/>
        <v>10497.155795637173</v>
      </c>
    </row>
    <row r="45" spans="3:40" x14ac:dyDescent="0.15">
      <c r="C45" s="251" t="s">
        <v>176</v>
      </c>
      <c r="D45" s="449">
        <f>'Cashflow Statement'!G62</f>
        <v>1.1000000000000001</v>
      </c>
      <c r="E45" s="282">
        <f t="shared" si="40"/>
        <v>264960000</v>
      </c>
      <c r="F45" s="283">
        <f t="shared" si="23"/>
        <v>952.63900000000001</v>
      </c>
      <c r="G45" s="5">
        <f t="shared" si="24"/>
        <v>278132.63996120251</v>
      </c>
      <c r="H45" s="116"/>
      <c r="I45" s="116">
        <f t="shared" si="25"/>
        <v>952.63900000000001</v>
      </c>
      <c r="J45" s="117">
        <f t="shared" si="26"/>
        <v>0</v>
      </c>
      <c r="K45" s="282">
        <f>'Cashflow Statement'!N62</f>
        <v>264960000</v>
      </c>
      <c r="L45" s="283">
        <f t="shared" si="27"/>
        <v>952.63900000000001</v>
      </c>
      <c r="M45" s="302">
        <f t="shared" si="28"/>
        <v>278132.63996120251</v>
      </c>
      <c r="N45" s="116">
        <f>'Cashflow Statement'!Q62</f>
        <v>0</v>
      </c>
      <c r="O45" s="116">
        <f t="shared" si="29"/>
        <v>1047.9029</v>
      </c>
      <c r="P45" s="117">
        <f>N45/O45</f>
        <v>0</v>
      </c>
      <c r="Q45" s="283">
        <f>'Cashflow Statement'!T62</f>
        <v>0</v>
      </c>
      <c r="R45" s="283">
        <f t="shared" si="31"/>
        <v>1152.6931900000002</v>
      </c>
      <c r="S45" s="302">
        <f t="shared" si="32"/>
        <v>0</v>
      </c>
      <c r="T45" s="116">
        <f>'Cashflow Statement'!W62</f>
        <v>0</v>
      </c>
      <c r="U45" s="116">
        <f t="shared" si="33"/>
        <v>1267.9625090000004</v>
      </c>
      <c r="V45" s="117">
        <f t="shared" ref="V45:V60" si="59">T45/U45</f>
        <v>0</v>
      </c>
      <c r="W45" s="283">
        <f>'Cashflow Statement'!Z62</f>
        <v>0</v>
      </c>
      <c r="X45" s="283">
        <f t="shared" si="34"/>
        <v>1394.7587599000005</v>
      </c>
      <c r="Y45" s="302">
        <f t="shared" ref="Y45:Y60" si="60">W45/X45</f>
        <v>0</v>
      </c>
      <c r="Z45" s="116">
        <f>'Cashflow Statement'!AC62</f>
        <v>0</v>
      </c>
      <c r="AA45" s="116">
        <f t="shared" si="35"/>
        <v>1534.2346358900006</v>
      </c>
      <c r="AB45" s="117">
        <f t="shared" ref="AB45:AB60" si="61">Z45/AA45</f>
        <v>0</v>
      </c>
      <c r="AC45" s="283">
        <f>'Cashflow Statement'!AF62</f>
        <v>0</v>
      </c>
      <c r="AD45" s="283">
        <f t="shared" si="36"/>
        <v>1687.6580994790008</v>
      </c>
      <c r="AE45" s="302">
        <f t="shared" ref="AE45:AE60" si="62">AC45/AD45</f>
        <v>0</v>
      </c>
      <c r="AF45" s="116">
        <f>'Cashflow Statement'!AI62</f>
        <v>0</v>
      </c>
      <c r="AG45" s="116">
        <f t="shared" si="37"/>
        <v>1856.423909426901</v>
      </c>
      <c r="AH45" s="117">
        <f t="shared" ref="AH45:AH60" si="63">AF45/AG45</f>
        <v>0</v>
      </c>
      <c r="AI45" s="283">
        <f>'Cashflow Statement'!AL62</f>
        <v>0</v>
      </c>
      <c r="AJ45" s="283">
        <f t="shared" si="38"/>
        <v>2042.0663003695913</v>
      </c>
      <c r="AK45" s="302">
        <f t="shared" ref="AK45:AK60" si="64">AI45/AJ45</f>
        <v>0</v>
      </c>
      <c r="AL45" s="116">
        <f>'Cashflow Statement'!AO62</f>
        <v>0</v>
      </c>
      <c r="AM45" s="116">
        <f t="shared" si="39"/>
        <v>2246.2729304065506</v>
      </c>
      <c r="AN45" s="117">
        <f t="shared" ref="AN45:AN60" si="65">AL45/AM45</f>
        <v>0</v>
      </c>
    </row>
    <row r="46" spans="3:40" x14ac:dyDescent="0.15">
      <c r="C46" s="251" t="s">
        <v>190</v>
      </c>
      <c r="D46" s="449">
        <f>'Cashflow Statement'!G63</f>
        <v>1.1000000000000001</v>
      </c>
      <c r="E46" s="282">
        <f t="shared" ref="E46" si="66">K46+N46+Q46+T46+W46+Z46+AC46+AF46+AI46+AL46</f>
        <v>796871230.05000043</v>
      </c>
      <c r="F46" s="283">
        <f t="shared" si="23"/>
        <v>952.63900000000001</v>
      </c>
      <c r="G46" s="5">
        <f t="shared" ref="G46" si="67">E46/F46</f>
        <v>836488.14508958836</v>
      </c>
      <c r="H46" s="116"/>
      <c r="I46" s="116">
        <f t="shared" si="25"/>
        <v>952.63900000000001</v>
      </c>
      <c r="J46" s="117">
        <f t="shared" ref="J46" si="68">H46/I46</f>
        <v>0</v>
      </c>
      <c r="K46" s="282">
        <f>'Cashflow Statement'!N63</f>
        <v>50000000</v>
      </c>
      <c r="L46" s="283">
        <f t="shared" si="27"/>
        <v>952.63900000000001</v>
      </c>
      <c r="M46" s="302">
        <f t="shared" ref="M46" si="69">K46/L46</f>
        <v>52485.778978185859</v>
      </c>
      <c r="N46" s="116">
        <f>'Cashflow Statement'!Q63</f>
        <v>55000000.000000007</v>
      </c>
      <c r="O46" s="116">
        <f t="shared" si="29"/>
        <v>1047.9029</v>
      </c>
      <c r="P46" s="117">
        <f t="shared" ref="P46" si="70">N46/O46</f>
        <v>52485.778978185866</v>
      </c>
      <c r="Q46" s="283">
        <f>'Cashflow Statement'!T63</f>
        <v>60500000.000000015</v>
      </c>
      <c r="R46" s="283">
        <f t="shared" si="31"/>
        <v>1152.6931900000002</v>
      </c>
      <c r="S46" s="302">
        <f t="shared" ref="S46" si="71">Q46/R46</f>
        <v>52485.778978185866</v>
      </c>
      <c r="T46" s="116">
        <f>'Cashflow Statement'!W63</f>
        <v>66550000.000000022</v>
      </c>
      <c r="U46" s="116">
        <f t="shared" si="33"/>
        <v>1267.9625090000004</v>
      </c>
      <c r="V46" s="117">
        <f>T46/U46</f>
        <v>52485.778978185859</v>
      </c>
      <c r="W46" s="283">
        <f>'Cashflow Statement'!Z63</f>
        <v>73205000.00000003</v>
      </c>
      <c r="X46" s="283">
        <f t="shared" si="34"/>
        <v>1394.7587599000005</v>
      </c>
      <c r="Y46" s="302">
        <f>W46/X46</f>
        <v>52485.778978185859</v>
      </c>
      <c r="Z46" s="116">
        <f>'Cashflow Statement'!AC63</f>
        <v>80525500.000000045</v>
      </c>
      <c r="AA46" s="116">
        <f t="shared" si="35"/>
        <v>1534.2346358900006</v>
      </c>
      <c r="AB46" s="117">
        <f>Z46/AA46</f>
        <v>52485.778978185866</v>
      </c>
      <c r="AC46" s="283">
        <f>'Cashflow Statement'!AF63</f>
        <v>88578050.00000006</v>
      </c>
      <c r="AD46" s="283">
        <f t="shared" si="36"/>
        <v>1687.6580994790008</v>
      </c>
      <c r="AE46" s="302">
        <f>AC46/AD46</f>
        <v>52485.778978185866</v>
      </c>
      <c r="AF46" s="116">
        <f>'Cashflow Statement'!AI63</f>
        <v>97435855.000000075</v>
      </c>
      <c r="AG46" s="116">
        <f t="shared" si="37"/>
        <v>1856.423909426901</v>
      </c>
      <c r="AH46" s="117">
        <f>AF46/AG46</f>
        <v>52485.778978185874</v>
      </c>
      <c r="AI46" s="283">
        <f>'Cashflow Statement'!AL63</f>
        <v>107179440.50000009</v>
      </c>
      <c r="AJ46" s="283">
        <f t="shared" si="38"/>
        <v>2042.0663003695913</v>
      </c>
      <c r="AK46" s="302">
        <f>AI46/AJ46</f>
        <v>52485.778978185874</v>
      </c>
      <c r="AL46" s="116">
        <f>'Cashflow Statement'!AO63</f>
        <v>117897384.5500001</v>
      </c>
      <c r="AM46" s="116">
        <f t="shared" si="39"/>
        <v>2246.2729304065506</v>
      </c>
      <c r="AN46" s="117">
        <f>AL46/AM46</f>
        <v>52485.778978185866</v>
      </c>
    </row>
    <row r="47" spans="3:40" x14ac:dyDescent="0.15">
      <c r="C47" s="251" t="s">
        <v>177</v>
      </c>
      <c r="D47" s="449">
        <f>'Cashflow Statement'!G64</f>
        <v>1.1000000000000001</v>
      </c>
      <c r="E47" s="282">
        <f t="shared" si="40"/>
        <v>159374246.01000011</v>
      </c>
      <c r="F47" s="283">
        <f>F45</f>
        <v>952.63900000000001</v>
      </c>
      <c r="G47" s="5">
        <f t="shared" si="24"/>
        <v>167297.6290179177</v>
      </c>
      <c r="H47" s="116"/>
      <c r="I47" s="116">
        <f>I45</f>
        <v>952.63900000000001</v>
      </c>
      <c r="J47" s="117">
        <f t="shared" si="26"/>
        <v>0</v>
      </c>
      <c r="K47" s="282">
        <f>'Cashflow Statement'!N64</f>
        <v>10000000</v>
      </c>
      <c r="L47" s="283">
        <f>L45</f>
        <v>952.63900000000001</v>
      </c>
      <c r="M47" s="302">
        <f t="shared" si="28"/>
        <v>10497.155795637173</v>
      </c>
      <c r="N47" s="116">
        <f>'Cashflow Statement'!Q64</f>
        <v>11000000.000000002</v>
      </c>
      <c r="O47" s="116">
        <f>O45</f>
        <v>1047.9029</v>
      </c>
      <c r="P47" s="117">
        <f t="shared" si="30"/>
        <v>10497.155795637173</v>
      </c>
      <c r="Q47" s="283">
        <f>'Cashflow Statement'!T64</f>
        <v>12100000.000000004</v>
      </c>
      <c r="R47" s="283">
        <f>R45</f>
        <v>1152.6931900000002</v>
      </c>
      <c r="S47" s="302">
        <f t="shared" si="32"/>
        <v>10497.155795637174</v>
      </c>
      <c r="T47" s="116">
        <f>'Cashflow Statement'!W64</f>
        <v>13310000.000000006</v>
      </c>
      <c r="U47" s="116">
        <f>U45</f>
        <v>1267.9625090000004</v>
      </c>
      <c r="V47" s="117">
        <f t="shared" si="59"/>
        <v>10497.155795637173</v>
      </c>
      <c r="W47" s="283">
        <f>'Cashflow Statement'!Z64</f>
        <v>14641000.000000007</v>
      </c>
      <c r="X47" s="283">
        <f>X45</f>
        <v>1394.7587599000005</v>
      </c>
      <c r="Y47" s="302">
        <f t="shared" si="60"/>
        <v>10497.155795637173</v>
      </c>
      <c r="Z47" s="116">
        <f>'Cashflow Statement'!AC64</f>
        <v>16105100.000000009</v>
      </c>
      <c r="AA47" s="116">
        <f>AA45</f>
        <v>1534.2346358900006</v>
      </c>
      <c r="AB47" s="117">
        <f t="shared" si="61"/>
        <v>10497.155795637174</v>
      </c>
      <c r="AC47" s="283">
        <f>'Cashflow Statement'!AF64</f>
        <v>17715610.000000011</v>
      </c>
      <c r="AD47" s="283">
        <f>AD45</f>
        <v>1687.6580994790008</v>
      </c>
      <c r="AE47" s="302">
        <f t="shared" si="62"/>
        <v>10497.155795637174</v>
      </c>
      <c r="AF47" s="116">
        <f>'Cashflow Statement'!AI64</f>
        <v>19487171.000000015</v>
      </c>
      <c r="AG47" s="116">
        <f>AG45</f>
        <v>1856.423909426901</v>
      </c>
      <c r="AH47" s="117">
        <f t="shared" si="63"/>
        <v>10497.155795637174</v>
      </c>
      <c r="AI47" s="283">
        <f>'Cashflow Statement'!AL64</f>
        <v>21435888.10000002</v>
      </c>
      <c r="AJ47" s="283">
        <f>AJ45</f>
        <v>2042.0663003695913</v>
      </c>
      <c r="AK47" s="302">
        <f t="shared" si="64"/>
        <v>10497.155795637174</v>
      </c>
      <c r="AL47" s="116">
        <f>'Cashflow Statement'!AO64</f>
        <v>23579476.910000023</v>
      </c>
      <c r="AM47" s="116">
        <f>AM45</f>
        <v>2246.2729304065506</v>
      </c>
      <c r="AN47" s="117">
        <f t="shared" si="65"/>
        <v>10497.155795637174</v>
      </c>
    </row>
    <row r="48" spans="3:40" x14ac:dyDescent="0.15">
      <c r="C48" s="251" t="s">
        <v>178</v>
      </c>
      <c r="D48" s="449">
        <f>'Cashflow Statement'!G65</f>
        <v>1.1000000000000001</v>
      </c>
      <c r="E48" s="282">
        <f t="shared" si="40"/>
        <v>8765583.5305500031</v>
      </c>
      <c r="F48" s="283">
        <f t="shared" si="23"/>
        <v>952.63900000000001</v>
      </c>
      <c r="G48" s="5">
        <f t="shared" si="24"/>
        <v>9201.3695959854704</v>
      </c>
      <c r="H48" s="116"/>
      <c r="I48" s="116">
        <f t="shared" si="25"/>
        <v>952.63900000000001</v>
      </c>
      <c r="J48" s="117">
        <f t="shared" si="26"/>
        <v>0</v>
      </c>
      <c r="K48" s="282">
        <f>'Cashflow Statement'!N65</f>
        <v>550000</v>
      </c>
      <c r="L48" s="283">
        <f t="shared" si="27"/>
        <v>952.63900000000001</v>
      </c>
      <c r="M48" s="302">
        <f t="shared" si="28"/>
        <v>577.34356876004449</v>
      </c>
      <c r="N48" s="116">
        <f>'Cashflow Statement'!Q65</f>
        <v>605000</v>
      </c>
      <c r="O48" s="116">
        <f t="shared" si="29"/>
        <v>1047.9029</v>
      </c>
      <c r="P48" s="117">
        <f t="shared" si="30"/>
        <v>577.34356876004449</v>
      </c>
      <c r="Q48" s="283">
        <f>'Cashflow Statement'!T65</f>
        <v>665500</v>
      </c>
      <c r="R48" s="283">
        <f t="shared" si="31"/>
        <v>1152.6931900000002</v>
      </c>
      <c r="S48" s="302">
        <f>Q48/R48</f>
        <v>577.34356876004438</v>
      </c>
      <c r="T48" s="116">
        <f>'Cashflow Statement'!W65</f>
        <v>732050.00000000012</v>
      </c>
      <c r="U48" s="116">
        <f t="shared" si="33"/>
        <v>1267.9625090000004</v>
      </c>
      <c r="V48" s="117">
        <f t="shared" si="59"/>
        <v>577.34356876004438</v>
      </c>
      <c r="W48" s="283">
        <f>'Cashflow Statement'!Z65</f>
        <v>805255.00000000023</v>
      </c>
      <c r="X48" s="283">
        <f t="shared" si="34"/>
        <v>1394.7587599000005</v>
      </c>
      <c r="Y48" s="302">
        <f t="shared" si="60"/>
        <v>577.34356876004438</v>
      </c>
      <c r="Z48" s="116">
        <f>'Cashflow Statement'!AC65</f>
        <v>885780.50000000035</v>
      </c>
      <c r="AA48" s="116">
        <f t="shared" si="35"/>
        <v>1534.2346358900006</v>
      </c>
      <c r="AB48" s="117">
        <f t="shared" si="61"/>
        <v>577.34356876004449</v>
      </c>
      <c r="AC48" s="283">
        <f>'Cashflow Statement'!AF65</f>
        <v>974358.55000000051</v>
      </c>
      <c r="AD48" s="283">
        <f t="shared" si="36"/>
        <v>1687.6580994790008</v>
      </c>
      <c r="AE48" s="302">
        <f t="shared" si="62"/>
        <v>577.34356876004449</v>
      </c>
      <c r="AF48" s="116">
        <f>'Cashflow Statement'!AI65</f>
        <v>1071794.4050000007</v>
      </c>
      <c r="AG48" s="116">
        <f t="shared" si="37"/>
        <v>1856.423909426901</v>
      </c>
      <c r="AH48" s="117">
        <f t="shared" si="63"/>
        <v>577.3435687600446</v>
      </c>
      <c r="AI48" s="283">
        <f>'Cashflow Statement'!AL65</f>
        <v>1178973.845500001</v>
      </c>
      <c r="AJ48" s="283">
        <f t="shared" si="38"/>
        <v>2042.0663003695913</v>
      </c>
      <c r="AK48" s="302">
        <f t="shared" si="64"/>
        <v>577.3435687600446</v>
      </c>
      <c r="AL48" s="116">
        <f>'Cashflow Statement'!AO65</f>
        <v>1296871.2300500013</v>
      </c>
      <c r="AM48" s="116">
        <f t="shared" si="39"/>
        <v>2246.2729304065506</v>
      </c>
      <c r="AN48" s="117">
        <f t="shared" si="65"/>
        <v>577.3435687600446</v>
      </c>
    </row>
    <row r="49" spans="3:40" x14ac:dyDescent="0.15">
      <c r="C49" s="251" t="s">
        <v>179</v>
      </c>
      <c r="D49" s="449">
        <f>'Cashflow Statement'!G66</f>
        <v>1.1000000000000001</v>
      </c>
      <c r="E49" s="282">
        <f t="shared" si="40"/>
        <v>1449668141.7069609</v>
      </c>
      <c r="F49" s="283">
        <f t="shared" si="23"/>
        <v>952.63900000000001</v>
      </c>
      <c r="G49" s="5">
        <f t="shared" si="24"/>
        <v>1521739.2335469795</v>
      </c>
      <c r="H49" s="116"/>
      <c r="I49" s="116">
        <f t="shared" si="25"/>
        <v>952.63900000000001</v>
      </c>
      <c r="J49" s="117">
        <f t="shared" si="26"/>
        <v>0</v>
      </c>
      <c r="K49" s="282">
        <f>'Cashflow Statement'!N66</f>
        <v>90960000</v>
      </c>
      <c r="L49" s="283">
        <f t="shared" si="27"/>
        <v>952.63900000000001</v>
      </c>
      <c r="M49" s="302">
        <f t="shared" si="28"/>
        <v>95482.129117115721</v>
      </c>
      <c r="N49" s="116">
        <f>'Cashflow Statement'!Q66</f>
        <v>100056000.00000001</v>
      </c>
      <c r="O49" s="116">
        <f t="shared" si="29"/>
        <v>1047.9029</v>
      </c>
      <c r="P49" s="117">
        <f t="shared" si="30"/>
        <v>95482.129117115721</v>
      </c>
      <c r="Q49" s="283">
        <f>'Cashflow Statement'!T66</f>
        <v>110061600.00000003</v>
      </c>
      <c r="R49" s="283">
        <f t="shared" si="31"/>
        <v>1152.6931900000002</v>
      </c>
      <c r="S49" s="302">
        <f t="shared" si="32"/>
        <v>95482.129117115721</v>
      </c>
      <c r="T49" s="116">
        <f>'Cashflow Statement'!W66</f>
        <v>121067760.00000004</v>
      </c>
      <c r="U49" s="116">
        <f t="shared" si="33"/>
        <v>1267.9625090000004</v>
      </c>
      <c r="V49" s="117">
        <f t="shared" si="59"/>
        <v>95482.129117115721</v>
      </c>
      <c r="W49" s="283">
        <f>'Cashflow Statement'!Z66</f>
        <v>133174536.00000006</v>
      </c>
      <c r="X49" s="283">
        <f t="shared" si="34"/>
        <v>1394.7587599000005</v>
      </c>
      <c r="Y49" s="302">
        <f t="shared" si="60"/>
        <v>95482.129117115721</v>
      </c>
      <c r="Z49" s="116">
        <f>'Cashflow Statement'!AC66</f>
        <v>146491989.60000008</v>
      </c>
      <c r="AA49" s="116">
        <f t="shared" si="35"/>
        <v>1534.2346358900006</v>
      </c>
      <c r="AB49" s="117">
        <f t="shared" si="61"/>
        <v>95482.129117115735</v>
      </c>
      <c r="AC49" s="283">
        <f>'Cashflow Statement'!AF66</f>
        <v>161141188.56000009</v>
      </c>
      <c r="AD49" s="283">
        <f t="shared" si="36"/>
        <v>1687.6580994790008</v>
      </c>
      <c r="AE49" s="302">
        <f t="shared" si="62"/>
        <v>95482.129117115721</v>
      </c>
      <c r="AF49" s="116">
        <f>'Cashflow Statement'!AI66</f>
        <v>177255307.41600013</v>
      </c>
      <c r="AG49" s="116">
        <f t="shared" si="37"/>
        <v>1856.423909426901</v>
      </c>
      <c r="AH49" s="117">
        <f t="shared" si="63"/>
        <v>95482.129117115735</v>
      </c>
      <c r="AI49" s="283">
        <f>'Cashflow Statement'!AL66</f>
        <v>194980838.15760016</v>
      </c>
      <c r="AJ49" s="283">
        <f t="shared" si="38"/>
        <v>2042.0663003695913</v>
      </c>
      <c r="AK49" s="302">
        <f t="shared" si="64"/>
        <v>95482.129117115735</v>
      </c>
      <c r="AL49" s="116">
        <f>'Cashflow Statement'!AO66</f>
        <v>214478921.97336021</v>
      </c>
      <c r="AM49" s="116">
        <f t="shared" si="39"/>
        <v>2246.2729304065506</v>
      </c>
      <c r="AN49" s="117">
        <f t="shared" si="65"/>
        <v>95482.12911711575</v>
      </c>
    </row>
    <row r="50" spans="3:40" x14ac:dyDescent="0.15">
      <c r="C50" s="251" t="s">
        <v>220</v>
      </c>
      <c r="D50" s="449">
        <f>'Cashflow Statement'!G67</f>
        <v>1.1000000000000001</v>
      </c>
      <c r="E50" s="282">
        <f t="shared" si="40"/>
        <v>1449668141.7069609</v>
      </c>
      <c r="F50" s="283">
        <f t="shared" si="23"/>
        <v>952.63900000000001</v>
      </c>
      <c r="G50" s="5">
        <f t="shared" si="24"/>
        <v>1521739.2335469795</v>
      </c>
      <c r="H50" s="116"/>
      <c r="I50" s="116">
        <f t="shared" si="25"/>
        <v>952.63900000000001</v>
      </c>
      <c r="J50" s="117">
        <f t="shared" si="26"/>
        <v>0</v>
      </c>
      <c r="K50" s="282">
        <f>'Cashflow Statement'!N67</f>
        <v>90960000</v>
      </c>
      <c r="L50" s="283">
        <f t="shared" si="27"/>
        <v>952.63900000000001</v>
      </c>
      <c r="M50" s="302">
        <f t="shared" si="28"/>
        <v>95482.129117115721</v>
      </c>
      <c r="N50" s="116">
        <f>'Cashflow Statement'!Q67</f>
        <v>100056000.00000001</v>
      </c>
      <c r="O50" s="116">
        <f t="shared" si="29"/>
        <v>1047.9029</v>
      </c>
      <c r="P50" s="117">
        <f t="shared" si="30"/>
        <v>95482.129117115721</v>
      </c>
      <c r="Q50" s="283">
        <f>'Cashflow Statement'!T67</f>
        <v>110061600.00000003</v>
      </c>
      <c r="R50" s="283">
        <f t="shared" si="31"/>
        <v>1152.6931900000002</v>
      </c>
      <c r="S50" s="302">
        <f t="shared" si="32"/>
        <v>95482.129117115721</v>
      </c>
      <c r="T50" s="116">
        <f>'Cashflow Statement'!W67</f>
        <v>121067760.00000004</v>
      </c>
      <c r="U50" s="116">
        <f t="shared" si="33"/>
        <v>1267.9625090000004</v>
      </c>
      <c r="V50" s="117">
        <f t="shared" si="59"/>
        <v>95482.129117115721</v>
      </c>
      <c r="W50" s="283">
        <f>'Cashflow Statement'!Z67</f>
        <v>133174536.00000006</v>
      </c>
      <c r="X50" s="283">
        <f t="shared" si="34"/>
        <v>1394.7587599000005</v>
      </c>
      <c r="Y50" s="302">
        <f t="shared" si="60"/>
        <v>95482.129117115721</v>
      </c>
      <c r="Z50" s="116">
        <f>'Cashflow Statement'!AC67</f>
        <v>146491989.60000008</v>
      </c>
      <c r="AA50" s="116">
        <f t="shared" si="35"/>
        <v>1534.2346358900006</v>
      </c>
      <c r="AB50" s="117">
        <f t="shared" si="61"/>
        <v>95482.129117115735</v>
      </c>
      <c r="AC50" s="283">
        <f>'Cashflow Statement'!AF67</f>
        <v>161141188.56000009</v>
      </c>
      <c r="AD50" s="283">
        <f t="shared" si="36"/>
        <v>1687.6580994790008</v>
      </c>
      <c r="AE50" s="302">
        <f t="shared" si="62"/>
        <v>95482.129117115721</v>
      </c>
      <c r="AF50" s="116">
        <f>'Cashflow Statement'!AI67</f>
        <v>177255307.41600013</v>
      </c>
      <c r="AG50" s="116">
        <f t="shared" si="37"/>
        <v>1856.423909426901</v>
      </c>
      <c r="AH50" s="117">
        <f t="shared" si="63"/>
        <v>95482.129117115735</v>
      </c>
      <c r="AI50" s="283">
        <f>'Cashflow Statement'!AL67</f>
        <v>194980838.15760016</v>
      </c>
      <c r="AJ50" s="283">
        <f t="shared" si="38"/>
        <v>2042.0663003695913</v>
      </c>
      <c r="AK50" s="302">
        <f t="shared" si="64"/>
        <v>95482.129117115735</v>
      </c>
      <c r="AL50" s="116">
        <f>'Cashflow Statement'!AO67</f>
        <v>214478921.97336021</v>
      </c>
      <c r="AM50" s="116">
        <f t="shared" si="39"/>
        <v>2246.2729304065506</v>
      </c>
      <c r="AN50" s="117">
        <f t="shared" si="65"/>
        <v>95482.12911711575</v>
      </c>
    </row>
    <row r="51" spans="3:40" x14ac:dyDescent="0.15">
      <c r="C51" s="251" t="s">
        <v>180</v>
      </c>
      <c r="D51" s="449">
        <f>'Cashflow Statement'!G68</f>
        <v>1.1000000000000001</v>
      </c>
      <c r="E51" s="282">
        <f t="shared" si="40"/>
        <v>76866410419.378159</v>
      </c>
      <c r="F51" s="283">
        <f t="shared" si="23"/>
        <v>952.63900000000001</v>
      </c>
      <c r="G51" s="5">
        <f t="shared" si="24"/>
        <v>80687868.562360093</v>
      </c>
      <c r="H51" s="116"/>
      <c r="I51" s="116">
        <f t="shared" si="25"/>
        <v>952.63900000000001</v>
      </c>
      <c r="J51" s="117">
        <f t="shared" si="26"/>
        <v>0</v>
      </c>
      <c r="K51" s="282">
        <f>'Cashflow Statement'!N68</f>
        <v>621964190.24000001</v>
      </c>
      <c r="L51" s="283">
        <f t="shared" si="27"/>
        <v>952.63900000000001</v>
      </c>
      <c r="M51" s="302">
        <f t="shared" si="28"/>
        <v>652885.5004256597</v>
      </c>
      <c r="N51" s="116">
        <f>'Cashflow Statement'!Q68</f>
        <v>1579299300.4619081</v>
      </c>
      <c r="O51" s="116">
        <f t="shared" si="29"/>
        <v>1047.9029</v>
      </c>
      <c r="P51" s="117">
        <f t="shared" si="30"/>
        <v>1507104.6186263135</v>
      </c>
      <c r="Q51" s="283">
        <f>'Cashflow Statement'!T68</f>
        <v>3737807608.2389627</v>
      </c>
      <c r="R51" s="283">
        <f t="shared" si="31"/>
        <v>1152.6931900000002</v>
      </c>
      <c r="S51" s="302">
        <f t="shared" si="32"/>
        <v>3242673.4543638295</v>
      </c>
      <c r="T51" s="116">
        <f>'Cashflow Statement'!W68</f>
        <v>6598552523.0834026</v>
      </c>
      <c r="U51" s="116">
        <f t="shared" si="33"/>
        <v>1267.9625090000004</v>
      </c>
      <c r="V51" s="117">
        <f t="shared" si="59"/>
        <v>5204059.6439144406</v>
      </c>
      <c r="W51" s="283">
        <f>'Cashflow Statement'!Z68</f>
        <v>10095914055.331955</v>
      </c>
      <c r="X51" s="283">
        <f t="shared" si="34"/>
        <v>1394.7587599000005</v>
      </c>
      <c r="Y51" s="302">
        <f t="shared" si="60"/>
        <v>7238466.1388008045</v>
      </c>
      <c r="Z51" s="116">
        <f>'Cashflow Statement'!AC68</f>
        <v>15428676158.968252</v>
      </c>
      <c r="AA51" s="116">
        <f t="shared" si="35"/>
        <v>1534.2346358900006</v>
      </c>
      <c r="AB51" s="117">
        <f t="shared" si="61"/>
        <v>10056268.968284741</v>
      </c>
      <c r="AC51" s="283">
        <f>'Cashflow Statement'!AF68</f>
        <v>13340302101.949326</v>
      </c>
      <c r="AD51" s="283">
        <f t="shared" si="36"/>
        <v>1687.6580994790008</v>
      </c>
      <c r="AE51" s="302">
        <f t="shared" si="62"/>
        <v>7904623.6355975345</v>
      </c>
      <c r="AF51" s="116">
        <f>'Cashflow Statement'!AI68</f>
        <v>10432784651.343369</v>
      </c>
      <c r="AG51" s="116">
        <f t="shared" si="37"/>
        <v>1856.423909426901</v>
      </c>
      <c r="AH51" s="117">
        <f t="shared" si="63"/>
        <v>5619828.8539410625</v>
      </c>
      <c r="AI51" s="283">
        <f>'Cashflow Statement'!AL68</f>
        <v>7944350995.2633305</v>
      </c>
      <c r="AJ51" s="283">
        <f t="shared" si="38"/>
        <v>2042.0663003695913</v>
      </c>
      <c r="AK51" s="302">
        <f t="shared" si="64"/>
        <v>3890349.1986648482</v>
      </c>
      <c r="AL51" s="116">
        <f>'Cashflow Statement'!AO68</f>
        <v>7086758834.4976444</v>
      </c>
      <c r="AM51" s="116">
        <f t="shared" si="39"/>
        <v>2246.2729304065506</v>
      </c>
      <c r="AN51" s="117">
        <f t="shared" si="65"/>
        <v>3154896.6016409323</v>
      </c>
    </row>
    <row r="52" spans="3:40" x14ac:dyDescent="0.15">
      <c r="C52" s="251" t="s">
        <v>181</v>
      </c>
      <c r="D52" s="449">
        <f>'Cashflow Statement'!G69</f>
        <v>1.1000000000000001</v>
      </c>
      <c r="E52" s="282">
        <f>K52+N52+Q52+T52+W52+Z52+AC52+AF52+AI52+AL52</f>
        <v>19216602604.84454</v>
      </c>
      <c r="F52" s="283">
        <f>F51</f>
        <v>952.63900000000001</v>
      </c>
      <c r="G52" s="5">
        <f t="shared" ref="G52:G56" si="72">E52/F52</f>
        <v>20171967.140590023</v>
      </c>
      <c r="H52" s="116"/>
      <c r="I52" s="116">
        <f>I51</f>
        <v>952.63900000000001</v>
      </c>
      <c r="J52" s="117">
        <f t="shared" ref="J52:J56" si="73">H52/I52</f>
        <v>0</v>
      </c>
      <c r="K52" s="282">
        <f>'Cashflow Statement'!N69</f>
        <v>155491047.56</v>
      </c>
      <c r="L52" s="283">
        <f>L51</f>
        <v>952.63900000000001</v>
      </c>
      <c r="M52" s="302">
        <f t="shared" ref="M52:M56" si="74">K52/L52</f>
        <v>163221.37510641493</v>
      </c>
      <c r="N52" s="116">
        <f>'Cashflow Statement'!Q69</f>
        <v>394824825.11547703</v>
      </c>
      <c r="O52" s="116">
        <f>O51</f>
        <v>1047.9029</v>
      </c>
      <c r="P52" s="117">
        <f t="shared" ref="P52:P55" si="75">N52/O52</f>
        <v>376776.15465657838</v>
      </c>
      <c r="Q52" s="283">
        <f>'Cashflow Statement'!T69</f>
        <v>934451902.05974066</v>
      </c>
      <c r="R52" s="283">
        <f>R51</f>
        <v>1152.6931900000002</v>
      </c>
      <c r="S52" s="302">
        <f t="shared" ref="S52:S56" si="76">Q52/R52</f>
        <v>810668.36359095736</v>
      </c>
      <c r="T52" s="116">
        <f>'Cashflow Statement'!W69</f>
        <v>1649638130.7708507</v>
      </c>
      <c r="U52" s="116">
        <f>U51</f>
        <v>1267.9625090000004</v>
      </c>
      <c r="V52" s="117">
        <f>T52/U52</f>
        <v>1301014.9109786102</v>
      </c>
      <c r="W52" s="283">
        <f>'Cashflow Statement'!Z69</f>
        <v>2523978513.8329887</v>
      </c>
      <c r="X52" s="283">
        <f>X51</f>
        <v>1394.7587599000005</v>
      </c>
      <c r="Y52" s="302">
        <f>W52/X52</f>
        <v>1809616.5347002011</v>
      </c>
      <c r="Z52" s="116">
        <f>'Cashflow Statement'!AC69</f>
        <v>3857169039.742063</v>
      </c>
      <c r="AA52" s="116">
        <f>AA51</f>
        <v>1534.2346358900006</v>
      </c>
      <c r="AB52" s="117">
        <f>Z52/AA52</f>
        <v>2514067.2420711853</v>
      </c>
      <c r="AC52" s="283">
        <f>'Cashflow Statement'!AF69</f>
        <v>3335075525.4873314</v>
      </c>
      <c r="AD52" s="283">
        <f>AD51</f>
        <v>1687.6580994790008</v>
      </c>
      <c r="AE52" s="302">
        <f>AC52/AD52</f>
        <v>1976155.9088993836</v>
      </c>
      <c r="AF52" s="116">
        <f>'Cashflow Statement'!AI69</f>
        <v>2608196162.8358421</v>
      </c>
      <c r="AG52" s="116">
        <f>AG51</f>
        <v>1856.423909426901</v>
      </c>
      <c r="AH52" s="117">
        <f>AF52/AG52</f>
        <v>1404957.2134852656</v>
      </c>
      <c r="AI52" s="283">
        <f>'Cashflow Statement'!AL69</f>
        <v>1986087748.8158326</v>
      </c>
      <c r="AJ52" s="283">
        <f>AJ51</f>
        <v>2042.0663003695913</v>
      </c>
      <c r="AK52" s="302">
        <f>AI52/AJ52</f>
        <v>972587.29966621206</v>
      </c>
      <c r="AL52" s="116">
        <f>'Cashflow Statement'!AO69</f>
        <v>1771689708.6244111</v>
      </c>
      <c r="AM52" s="116">
        <f>AM51</f>
        <v>2246.2729304065506</v>
      </c>
      <c r="AN52" s="117">
        <f>AL52/AM52</f>
        <v>788724.15041023307</v>
      </c>
    </row>
    <row r="53" spans="3:40" x14ac:dyDescent="0.15">
      <c r="C53" s="251" t="s">
        <v>182</v>
      </c>
      <c r="D53" s="449">
        <f>'Cashflow Statement'!G70</f>
        <v>1.1000000000000001</v>
      </c>
      <c r="E53" s="282">
        <f t="shared" ref="E53:E56" si="77">K53+N53+Q53+T53+W53+Z53+AC53+AF53+AI53+AL53</f>
        <v>876558353.05500042</v>
      </c>
      <c r="F53" s="283">
        <f>F52</f>
        <v>952.63900000000001</v>
      </c>
      <c r="G53" s="5">
        <f t="shared" si="72"/>
        <v>920136.9595985472</v>
      </c>
      <c r="H53" s="116"/>
      <c r="I53" s="116">
        <f>I52</f>
        <v>952.63900000000001</v>
      </c>
      <c r="J53" s="117">
        <f t="shared" si="73"/>
        <v>0</v>
      </c>
      <c r="K53" s="282">
        <f>'Cashflow Statement'!N70</f>
        <v>55000000</v>
      </c>
      <c r="L53" s="283">
        <f>L52</f>
        <v>952.63900000000001</v>
      </c>
      <c r="M53" s="302">
        <f t="shared" si="74"/>
        <v>57734.356876004444</v>
      </c>
      <c r="N53" s="116">
        <f>'Cashflow Statement'!Q70</f>
        <v>60500000.000000007</v>
      </c>
      <c r="O53" s="116">
        <f>O52</f>
        <v>1047.9029</v>
      </c>
      <c r="P53" s="117">
        <f t="shared" si="75"/>
        <v>57734.356876004451</v>
      </c>
      <c r="Q53" s="283">
        <f>'Cashflow Statement'!T70</f>
        <v>66550000.000000015</v>
      </c>
      <c r="R53" s="283">
        <f>R52</f>
        <v>1152.6931900000002</v>
      </c>
      <c r="S53" s="302">
        <f t="shared" si="76"/>
        <v>57734.356876004451</v>
      </c>
      <c r="T53" s="116">
        <f>'Cashflow Statement'!W70</f>
        <v>73205000.000000015</v>
      </c>
      <c r="U53" s="116">
        <f>U52</f>
        <v>1267.9625090000004</v>
      </c>
      <c r="V53" s="117">
        <f>T53/U53</f>
        <v>57734.356876004436</v>
      </c>
      <c r="W53" s="283">
        <f>'Cashflow Statement'!Z70</f>
        <v>80525500.00000003</v>
      </c>
      <c r="X53" s="283">
        <f>X52</f>
        <v>1394.7587599000005</v>
      </c>
      <c r="Y53" s="302">
        <f>W53/X53</f>
        <v>57734.356876004444</v>
      </c>
      <c r="Z53" s="116">
        <f>'Cashflow Statement'!AC70</f>
        <v>88578050.000000045</v>
      </c>
      <c r="AA53" s="116">
        <f>AA52</f>
        <v>1534.2346358900006</v>
      </c>
      <c r="AB53" s="117">
        <f>Z53/AA53</f>
        <v>57734.356876004451</v>
      </c>
      <c r="AC53" s="283">
        <f>'Cashflow Statement'!AF70</f>
        <v>97435855.00000006</v>
      </c>
      <c r="AD53" s="283">
        <f>AD52</f>
        <v>1687.6580994790008</v>
      </c>
      <c r="AE53" s="302">
        <f>AC53/AD53</f>
        <v>57734.356876004451</v>
      </c>
      <c r="AF53" s="116">
        <f>'Cashflow Statement'!AI70</f>
        <v>107179440.50000007</v>
      </c>
      <c r="AG53" s="116">
        <f>AG52</f>
        <v>1856.423909426901</v>
      </c>
      <c r="AH53" s="117">
        <f>AF53/AG53</f>
        <v>57734.356876004458</v>
      </c>
      <c r="AI53" s="283">
        <f>'Cashflow Statement'!AL70</f>
        <v>117897384.55000009</v>
      </c>
      <c r="AJ53" s="283">
        <f>AJ52</f>
        <v>2042.0663003695913</v>
      </c>
      <c r="AK53" s="302">
        <f>AI53/AJ53</f>
        <v>57734.356876004451</v>
      </c>
      <c r="AL53" s="116">
        <f>'Cashflow Statement'!AO70</f>
        <v>129687123.0050001</v>
      </c>
      <c r="AM53" s="116">
        <f>AM52</f>
        <v>2246.2729304065506</v>
      </c>
      <c r="AN53" s="117">
        <f>AL53/AM53</f>
        <v>57734.356876004451</v>
      </c>
    </row>
    <row r="54" spans="3:40" x14ac:dyDescent="0.15">
      <c r="C54" s="251" t="s">
        <v>183</v>
      </c>
      <c r="D54" s="449">
        <f>'Cashflow Statement'!G71</f>
        <v>1.1000000000000001</v>
      </c>
      <c r="E54" s="282">
        <f t="shared" si="77"/>
        <v>398435615.02500021</v>
      </c>
      <c r="F54" s="283">
        <f t="shared" ref="F54" si="78">F53</f>
        <v>952.63900000000001</v>
      </c>
      <c r="G54" s="5">
        <f t="shared" si="72"/>
        <v>418244.07254479418</v>
      </c>
      <c r="H54" s="116"/>
      <c r="I54" s="116">
        <f t="shared" ref="I54:I56" si="79">I53</f>
        <v>952.63900000000001</v>
      </c>
      <c r="J54" s="117">
        <f t="shared" si="73"/>
        <v>0</v>
      </c>
      <c r="K54" s="282">
        <f>'Cashflow Statement'!N71</f>
        <v>25000000</v>
      </c>
      <c r="L54" s="283">
        <f t="shared" ref="L54:L56" si="80">L53</f>
        <v>952.63900000000001</v>
      </c>
      <c r="M54" s="302">
        <f t="shared" si="74"/>
        <v>26242.88948909293</v>
      </c>
      <c r="N54" s="116">
        <f>'Cashflow Statement'!Q71</f>
        <v>27500000.000000004</v>
      </c>
      <c r="O54" s="116">
        <f t="shared" ref="O54:O56" si="81">O53</f>
        <v>1047.9029</v>
      </c>
      <c r="P54" s="117">
        <f t="shared" si="75"/>
        <v>26242.889489092933</v>
      </c>
      <c r="Q54" s="283">
        <f>'Cashflow Statement'!T71</f>
        <v>30250000.000000007</v>
      </c>
      <c r="R54" s="283">
        <f t="shared" ref="R54:R56" si="82">R53</f>
        <v>1152.6931900000002</v>
      </c>
      <c r="S54" s="302">
        <f t="shared" si="76"/>
        <v>26242.889489092933</v>
      </c>
      <c r="T54" s="116">
        <f>'Cashflow Statement'!W71</f>
        <v>33275000.000000011</v>
      </c>
      <c r="U54" s="116">
        <f t="shared" ref="U54:U56" si="83">U53</f>
        <v>1267.9625090000004</v>
      </c>
      <c r="V54" s="117">
        <f>T54/U54</f>
        <v>26242.88948909293</v>
      </c>
      <c r="W54" s="283">
        <f>'Cashflow Statement'!Z71</f>
        <v>36602500.000000015</v>
      </c>
      <c r="X54" s="283">
        <f t="shared" ref="X54:X56" si="84">X53</f>
        <v>1394.7587599000005</v>
      </c>
      <c r="Y54" s="302">
        <f>W54/X54</f>
        <v>26242.88948909293</v>
      </c>
      <c r="Z54" s="116">
        <f>'Cashflow Statement'!AC71</f>
        <v>40262750.000000022</v>
      </c>
      <c r="AA54" s="116">
        <f t="shared" ref="AA54:AA56" si="85">AA53</f>
        <v>1534.2346358900006</v>
      </c>
      <c r="AB54" s="117">
        <f>Z54/AA54</f>
        <v>26242.889489092933</v>
      </c>
      <c r="AC54" s="283">
        <f>'Cashflow Statement'!AF71</f>
        <v>44289025.00000003</v>
      </c>
      <c r="AD54" s="283">
        <f t="shared" ref="AD54:AD56" si="86">AD53</f>
        <v>1687.6580994790008</v>
      </c>
      <c r="AE54" s="302">
        <f>AC54/AD54</f>
        <v>26242.889489092933</v>
      </c>
      <c r="AF54" s="116">
        <f>'Cashflow Statement'!AI71</f>
        <v>48717927.500000037</v>
      </c>
      <c r="AG54" s="116">
        <f t="shared" ref="AG54:AG56" si="87">AG53</f>
        <v>1856.423909426901</v>
      </c>
      <c r="AH54" s="117">
        <f>AF54/AG54</f>
        <v>26242.889489092937</v>
      </c>
      <c r="AI54" s="283">
        <f>'Cashflow Statement'!AL71</f>
        <v>53589720.250000045</v>
      </c>
      <c r="AJ54" s="283">
        <f t="shared" ref="AJ54:AJ56" si="88">AJ53</f>
        <v>2042.0663003695913</v>
      </c>
      <c r="AK54" s="302">
        <f>AI54/AJ54</f>
        <v>26242.889489092937</v>
      </c>
      <c r="AL54" s="116">
        <f>'Cashflow Statement'!AO71</f>
        <v>58948692.275000051</v>
      </c>
      <c r="AM54" s="116">
        <f t="shared" ref="AM54:AM56" si="89">AM53</f>
        <v>2246.2729304065506</v>
      </c>
      <c r="AN54" s="117">
        <f>AL54/AM54</f>
        <v>26242.889489092933</v>
      </c>
    </row>
    <row r="55" spans="3:40" x14ac:dyDescent="0.15">
      <c r="C55" s="251" t="s">
        <v>184</v>
      </c>
      <c r="D55" s="449">
        <f>'Cashflow Statement'!G72</f>
        <v>1.1000000000000001</v>
      </c>
      <c r="E55" s="282">
        <f t="shared" si="77"/>
        <v>57649807814.5336</v>
      </c>
      <c r="F55" s="283">
        <f t="shared" ref="F55:F56" si="90">F54</f>
        <v>952.63900000000001</v>
      </c>
      <c r="G55" s="5">
        <f t="shared" si="72"/>
        <v>60515901.421770051</v>
      </c>
      <c r="H55" s="116"/>
      <c r="I55" s="116">
        <f t="shared" si="79"/>
        <v>952.63900000000001</v>
      </c>
      <c r="J55" s="117">
        <f t="shared" si="73"/>
        <v>0</v>
      </c>
      <c r="K55" s="282">
        <f>'Cashflow Statement'!N72</f>
        <v>466473142.68000001</v>
      </c>
      <c r="L55" s="283">
        <f t="shared" si="80"/>
        <v>952.63900000000001</v>
      </c>
      <c r="M55" s="302">
        <f t="shared" si="74"/>
        <v>489664.12531924475</v>
      </c>
      <c r="N55" s="116">
        <f>'Cashflow Statement'!Q72</f>
        <v>1184474475.346431</v>
      </c>
      <c r="O55" s="116">
        <f t="shared" si="81"/>
        <v>1047.9029</v>
      </c>
      <c r="P55" s="117">
        <f t="shared" si="75"/>
        <v>1130328.4639697352</v>
      </c>
      <c r="Q55" s="283">
        <f>'Cashflow Statement'!T72</f>
        <v>2803355706.1792216</v>
      </c>
      <c r="R55" s="283">
        <f t="shared" si="82"/>
        <v>1152.6931900000002</v>
      </c>
      <c r="S55" s="302">
        <f t="shared" si="76"/>
        <v>2432005.0907728719</v>
      </c>
      <c r="T55" s="116">
        <f>'Cashflow Statement'!W72</f>
        <v>4948914392.3125515</v>
      </c>
      <c r="U55" s="116">
        <f t="shared" si="83"/>
        <v>1267.9625090000004</v>
      </c>
      <c r="V55" s="117">
        <f>T55/U55</f>
        <v>3903044.73293583</v>
      </c>
      <c r="W55" s="283">
        <f>'Cashflow Statement'!Z72</f>
        <v>7571935541.4989662</v>
      </c>
      <c r="X55" s="283">
        <f t="shared" si="84"/>
        <v>1394.7587599000005</v>
      </c>
      <c r="Y55" s="302">
        <f>W55/X55</f>
        <v>5428849.6041006036</v>
      </c>
      <c r="Z55" s="116">
        <f>'Cashflow Statement'!AC72</f>
        <v>11571507119.226189</v>
      </c>
      <c r="AA55" s="116">
        <f t="shared" si="85"/>
        <v>1534.2346358900006</v>
      </c>
      <c r="AB55" s="117">
        <f>Z55/AA55</f>
        <v>7542201.7262135558</v>
      </c>
      <c r="AC55" s="283">
        <f>'Cashflow Statement'!AF72</f>
        <v>10005226576.461994</v>
      </c>
      <c r="AD55" s="283">
        <f t="shared" si="86"/>
        <v>1687.6580994790008</v>
      </c>
      <c r="AE55" s="302">
        <f>AC55/AD55</f>
        <v>5928467.7266981509</v>
      </c>
      <c r="AF55" s="116">
        <f>'Cashflow Statement'!AI72</f>
        <v>7824588488.5075264</v>
      </c>
      <c r="AG55" s="116">
        <f t="shared" si="87"/>
        <v>1856.423909426901</v>
      </c>
      <c r="AH55" s="117">
        <f>AF55/AG55</f>
        <v>4214871.6404557973</v>
      </c>
      <c r="AI55" s="283">
        <f>'Cashflow Statement'!AL72</f>
        <v>5958263246.4474974</v>
      </c>
      <c r="AJ55" s="283">
        <f t="shared" si="88"/>
        <v>2042.0663003695913</v>
      </c>
      <c r="AK55" s="302">
        <f>AI55/AJ55</f>
        <v>2917761.8989986358</v>
      </c>
      <c r="AL55" s="116">
        <f>'Cashflow Statement'!AO72</f>
        <v>5315069125.8732328</v>
      </c>
      <c r="AM55" s="116">
        <f t="shared" si="89"/>
        <v>2246.2729304065506</v>
      </c>
      <c r="AN55" s="117">
        <f>AL55/AM55</f>
        <v>2366172.4512306987</v>
      </c>
    </row>
    <row r="56" spans="3:40" x14ac:dyDescent="0.15">
      <c r="C56" s="251" t="s">
        <v>185</v>
      </c>
      <c r="D56" s="449">
        <f>'Cashflow Statement'!G73</f>
        <v>1.1000000000000001</v>
      </c>
      <c r="E56" s="282">
        <f t="shared" si="77"/>
        <v>7248340708.5348043</v>
      </c>
      <c r="F56" s="283">
        <f t="shared" si="90"/>
        <v>952.63900000000001</v>
      </c>
      <c r="G56" s="5">
        <f t="shared" si="72"/>
        <v>7608696.1677348968</v>
      </c>
      <c r="H56" s="116"/>
      <c r="I56" s="116">
        <f t="shared" si="79"/>
        <v>952.63900000000001</v>
      </c>
      <c r="J56" s="117">
        <f t="shared" si="73"/>
        <v>0</v>
      </c>
      <c r="K56" s="282">
        <f>'Cashflow Statement'!N73</f>
        <v>454800000</v>
      </c>
      <c r="L56" s="283">
        <f t="shared" si="80"/>
        <v>952.63900000000001</v>
      </c>
      <c r="M56" s="302">
        <f t="shared" si="74"/>
        <v>477410.64558557858</v>
      </c>
      <c r="N56" s="116">
        <f>'Cashflow Statement'!Q73</f>
        <v>500280000</v>
      </c>
      <c r="O56" s="116">
        <f t="shared" si="81"/>
        <v>1047.9029</v>
      </c>
      <c r="P56" s="117">
        <f>N56/O56</f>
        <v>477410.64558557858</v>
      </c>
      <c r="Q56" s="283">
        <f>'Cashflow Statement'!T73</f>
        <v>550308000.00000012</v>
      </c>
      <c r="R56" s="283">
        <f t="shared" si="82"/>
        <v>1152.6931900000002</v>
      </c>
      <c r="S56" s="302">
        <f t="shared" si="76"/>
        <v>477410.64558557863</v>
      </c>
      <c r="T56" s="116">
        <f>'Cashflow Statement'!W73</f>
        <v>605338800.00000012</v>
      </c>
      <c r="U56" s="116">
        <f t="shared" si="83"/>
        <v>1267.9625090000004</v>
      </c>
      <c r="V56" s="117">
        <f t="shared" ref="V56" si="91">T56/U56</f>
        <v>477410.64558557852</v>
      </c>
      <c r="W56" s="283">
        <f>'Cashflow Statement'!Z73</f>
        <v>665872680.00000024</v>
      </c>
      <c r="X56" s="283">
        <f t="shared" si="84"/>
        <v>1394.7587599000005</v>
      </c>
      <c r="Y56" s="302">
        <f t="shared" ref="Y56" si="92">W56/X56</f>
        <v>477410.64558557858</v>
      </c>
      <c r="Z56" s="116">
        <f>'Cashflow Statement'!AC73</f>
        <v>732459948.00000048</v>
      </c>
      <c r="AA56" s="116">
        <f t="shared" si="85"/>
        <v>1534.2346358900006</v>
      </c>
      <c r="AB56" s="117">
        <f t="shared" ref="AB56" si="93">Z56/AA56</f>
        <v>477410.64558557869</v>
      </c>
      <c r="AC56" s="283">
        <f>'Cashflow Statement'!AF73</f>
        <v>805705942.80000067</v>
      </c>
      <c r="AD56" s="283">
        <f t="shared" si="86"/>
        <v>1687.6580994790008</v>
      </c>
      <c r="AE56" s="302">
        <f t="shared" ref="AE56" si="94">AC56/AD56</f>
        <v>477410.64558557875</v>
      </c>
      <c r="AF56" s="116">
        <f>'Cashflow Statement'!AI73</f>
        <v>886276537.08000076</v>
      </c>
      <c r="AG56" s="116">
        <f t="shared" si="87"/>
        <v>1856.423909426901</v>
      </c>
      <c r="AH56" s="117">
        <f t="shared" ref="AH56" si="95">AF56/AG56</f>
        <v>477410.64558557875</v>
      </c>
      <c r="AI56" s="283">
        <f>'Cashflow Statement'!AL73</f>
        <v>974904190.78800094</v>
      </c>
      <c r="AJ56" s="283">
        <f t="shared" si="88"/>
        <v>2042.0663003695913</v>
      </c>
      <c r="AK56" s="302">
        <f t="shared" ref="AK56" si="96">AI56/AJ56</f>
        <v>477410.64558557875</v>
      </c>
      <c r="AL56" s="116">
        <f>'Cashflow Statement'!AO73</f>
        <v>1072394609.8668009</v>
      </c>
      <c r="AM56" s="116">
        <f t="shared" si="89"/>
        <v>2246.2729304065506</v>
      </c>
      <c r="AN56" s="117">
        <f t="shared" ref="AN56" si="97">AL56/AM56</f>
        <v>477410.64558557863</v>
      </c>
    </row>
    <row r="57" spans="3:40" x14ac:dyDescent="0.15">
      <c r="C57" s="251"/>
      <c r="D57" s="447"/>
      <c r="E57" s="282"/>
      <c r="F57" s="283"/>
      <c r="G57" s="5"/>
      <c r="H57" s="116"/>
      <c r="I57" s="116"/>
      <c r="J57" s="117"/>
      <c r="K57" s="282"/>
      <c r="L57" s="283"/>
      <c r="M57" s="302"/>
      <c r="N57" s="116"/>
      <c r="O57" s="116"/>
      <c r="P57" s="117"/>
      <c r="Q57" s="283"/>
      <c r="R57" s="283"/>
      <c r="S57" s="302"/>
      <c r="T57" s="116"/>
      <c r="U57" s="116"/>
      <c r="V57" s="117"/>
      <c r="W57" s="283"/>
      <c r="X57" s="283"/>
      <c r="Y57" s="302"/>
      <c r="Z57" s="116"/>
      <c r="AA57" s="116"/>
      <c r="AB57" s="117"/>
      <c r="AC57" s="283"/>
      <c r="AD57" s="283"/>
      <c r="AE57" s="302"/>
      <c r="AF57" s="116"/>
      <c r="AG57" s="116"/>
      <c r="AH57" s="117"/>
      <c r="AI57" s="283"/>
      <c r="AJ57" s="283"/>
      <c r="AK57" s="302"/>
      <c r="AL57" s="116"/>
      <c r="AM57" s="116"/>
      <c r="AN57" s="117"/>
    </row>
    <row r="58" spans="3:40" x14ac:dyDescent="0.15">
      <c r="C58" s="243" t="s">
        <v>199</v>
      </c>
      <c r="D58" s="243"/>
      <c r="E58" s="282">
        <f>K58+N58+Q58+T58+W58+Z58+AC58+AF58+AI58+AL58</f>
        <v>55000000</v>
      </c>
      <c r="F58" s="283">
        <f>F54</f>
        <v>952.63900000000001</v>
      </c>
      <c r="G58" s="5">
        <f>E58/F58</f>
        <v>57734.356876004444</v>
      </c>
      <c r="H58" s="116"/>
      <c r="I58" s="116">
        <f>I54</f>
        <v>952.63900000000001</v>
      </c>
      <c r="J58" s="117">
        <f>H58/I58</f>
        <v>0</v>
      </c>
      <c r="K58" s="282">
        <f>CAPEX!C36</f>
        <v>5500000</v>
      </c>
      <c r="L58" s="283">
        <f>L54</f>
        <v>952.63900000000001</v>
      </c>
      <c r="M58" s="302">
        <f>K58/L58</f>
        <v>5773.4356876004449</v>
      </c>
      <c r="N58" s="116">
        <f>CAPEX!D36</f>
        <v>5500000</v>
      </c>
      <c r="O58" s="116">
        <f>O54</f>
        <v>1047.9029</v>
      </c>
      <c r="P58" s="117">
        <f>N58/O58</f>
        <v>5248.5778978185863</v>
      </c>
      <c r="Q58" s="283">
        <f>CAPEX!E36</f>
        <v>5500000</v>
      </c>
      <c r="R58" s="283">
        <f>R54</f>
        <v>1152.6931900000002</v>
      </c>
      <c r="S58" s="302">
        <f>Q58/R58</f>
        <v>4771.4344525623501</v>
      </c>
      <c r="T58" s="116">
        <f>CAPEX!F36</f>
        <v>5500000</v>
      </c>
      <c r="U58" s="116">
        <f>U54</f>
        <v>1267.9625090000004</v>
      </c>
      <c r="V58" s="117">
        <f>T58/U58</f>
        <v>4337.6676841475901</v>
      </c>
      <c r="W58" s="283">
        <f>CAPEX!G36</f>
        <v>5500000</v>
      </c>
      <c r="X58" s="283">
        <f>X54</f>
        <v>1394.7587599000005</v>
      </c>
      <c r="Y58" s="302">
        <f>W58/X58</f>
        <v>3943.3342583159911</v>
      </c>
      <c r="Z58" s="116">
        <f>CAPEX!H36</f>
        <v>5500000</v>
      </c>
      <c r="AA58" s="116">
        <f>AA54</f>
        <v>1534.2346358900006</v>
      </c>
      <c r="AB58" s="117">
        <f>Z58/AA58</f>
        <v>3584.8493257418099</v>
      </c>
      <c r="AC58" s="283">
        <f>CAPEX!I36</f>
        <v>5500000</v>
      </c>
      <c r="AD58" s="283">
        <f>AD54</f>
        <v>1687.6580994790008</v>
      </c>
      <c r="AE58" s="302">
        <f>AC58/AD58</f>
        <v>3258.953932492554</v>
      </c>
      <c r="AF58" s="116">
        <f>CAPEX!J36</f>
        <v>5500000</v>
      </c>
      <c r="AG58" s="116">
        <f>AG54</f>
        <v>1856.423909426901</v>
      </c>
      <c r="AH58" s="117">
        <f>AF58/AG58</f>
        <v>2962.6853931750493</v>
      </c>
      <c r="AI58" s="283">
        <f>CAPEX!K36</f>
        <v>5500000</v>
      </c>
      <c r="AJ58" s="283">
        <f>AJ54</f>
        <v>2042.0663003695913</v>
      </c>
      <c r="AK58" s="302">
        <f>AI58/AJ58</f>
        <v>2693.3503574318624</v>
      </c>
      <c r="AL58" s="116">
        <f>CAPEX!L36</f>
        <v>5500000</v>
      </c>
      <c r="AM58" s="116">
        <f>AM54</f>
        <v>2246.2729304065506</v>
      </c>
      <c r="AN58" s="117">
        <f>AL58/AM58</f>
        <v>2448.5003249380566</v>
      </c>
    </row>
    <row r="59" spans="3:40" x14ac:dyDescent="0.15">
      <c r="C59" s="251"/>
      <c r="D59" s="447"/>
      <c r="E59" s="282"/>
      <c r="F59" s="283"/>
      <c r="G59" s="5"/>
      <c r="H59" s="116"/>
      <c r="I59" s="116"/>
      <c r="J59" s="117"/>
      <c r="K59" s="282"/>
      <c r="L59" s="283"/>
      <c r="M59" s="302"/>
      <c r="N59" s="116"/>
      <c r="O59" s="116"/>
      <c r="P59" s="117"/>
      <c r="Q59" s="283"/>
      <c r="R59" s="283"/>
      <c r="S59" s="302"/>
      <c r="T59" s="116"/>
      <c r="U59" s="116"/>
      <c r="V59" s="117"/>
      <c r="W59" s="283"/>
      <c r="X59" s="283"/>
      <c r="Y59" s="302"/>
      <c r="Z59" s="116"/>
      <c r="AA59" s="116"/>
      <c r="AB59" s="117"/>
      <c r="AC59" s="283"/>
      <c r="AD59" s="283"/>
      <c r="AE59" s="302"/>
      <c r="AF59" s="116"/>
      <c r="AG59" s="116"/>
      <c r="AH59" s="117"/>
      <c r="AI59" s="283"/>
      <c r="AJ59" s="283"/>
      <c r="AK59" s="302"/>
      <c r="AL59" s="116"/>
      <c r="AM59" s="116"/>
      <c r="AN59" s="117"/>
    </row>
    <row r="60" spans="3:40" x14ac:dyDescent="0.15">
      <c r="C60" s="251" t="s">
        <v>207</v>
      </c>
      <c r="D60" s="447"/>
      <c r="E60" s="282">
        <f t="shared" si="40"/>
        <v>4235428819.4968343</v>
      </c>
      <c r="F60" s="283">
        <f>F51</f>
        <v>952.63900000000001</v>
      </c>
      <c r="G60" s="5">
        <f t="shared" si="24"/>
        <v>4445995.6179589899</v>
      </c>
      <c r="H60" s="116"/>
      <c r="I60" s="116">
        <f>I51</f>
        <v>952.63900000000001</v>
      </c>
      <c r="J60" s="117">
        <f t="shared" si="26"/>
        <v>0</v>
      </c>
      <c r="K60" s="282">
        <f>'Cashflow Statement'!N77</f>
        <v>163089508.74592</v>
      </c>
      <c r="L60" s="283">
        <f>L51</f>
        <v>952.63900000000001</v>
      </c>
      <c r="M60" s="302">
        <f t="shared" si="28"/>
        <v>171197.59819398535</v>
      </c>
      <c r="N60" s="116">
        <f>'Cashflow Statement'!Q77</f>
        <v>157232093.39516923</v>
      </c>
      <c r="O60" s="116">
        <f>O51</f>
        <v>1047.9029</v>
      </c>
      <c r="P60" s="117">
        <f t="shared" si="30"/>
        <v>150044.52549484232</v>
      </c>
      <c r="Q60" s="283">
        <f>'Cashflow Statement'!T77</f>
        <v>249117887.10533211</v>
      </c>
      <c r="R60" s="283">
        <f>R51</f>
        <v>1152.6931900000002</v>
      </c>
      <c r="S60" s="302">
        <f t="shared" si="32"/>
        <v>216118.1216879854</v>
      </c>
      <c r="T60" s="116">
        <f>'Cashflow Statement'!W77</f>
        <v>364783833.47520167</v>
      </c>
      <c r="U60" s="116">
        <f>U51</f>
        <v>1267.9625090000004</v>
      </c>
      <c r="V60" s="117">
        <f t="shared" si="59"/>
        <v>287692.91748451971</v>
      </c>
      <c r="W60" s="283">
        <f>'Cashflow Statement'!Z77</f>
        <v>502532638.25964814</v>
      </c>
      <c r="X60" s="283">
        <f>X51</f>
        <v>1394.7587599000005</v>
      </c>
      <c r="Y60" s="302">
        <f t="shared" si="60"/>
        <v>360300.75788567052</v>
      </c>
      <c r="Z60" s="116">
        <f>'Cashflow Statement'!AC77</f>
        <v>672623311.02573717</v>
      </c>
      <c r="AA60" s="116">
        <f>AA51</f>
        <v>1534.2346358900006</v>
      </c>
      <c r="AB60" s="117">
        <f t="shared" si="61"/>
        <v>438409.67691069777</v>
      </c>
      <c r="AC60" s="283">
        <f>'Cashflow Statement'!AF77</f>
        <v>621090679.93786931</v>
      </c>
      <c r="AD60" s="283">
        <f>AD51</f>
        <v>1687.6580994790008</v>
      </c>
      <c r="AE60" s="302">
        <f t="shared" si="62"/>
        <v>368019.25705781701</v>
      </c>
      <c r="AF60" s="116">
        <f>'Cashflow Statement'!AI77</f>
        <v>546095606.10466063</v>
      </c>
      <c r="AG60" s="116">
        <f>AG51</f>
        <v>1856.423909426901</v>
      </c>
      <c r="AH60" s="117">
        <f t="shared" si="63"/>
        <v>294165.35917879152</v>
      </c>
      <c r="AI60" s="283">
        <f>'Cashflow Statement'!AL77</f>
        <v>484896091.07572657</v>
      </c>
      <c r="AJ60" s="283">
        <f>AJ51</f>
        <v>2042.0663003695913</v>
      </c>
      <c r="AK60" s="302">
        <f t="shared" si="64"/>
        <v>237453.64731202202</v>
      </c>
      <c r="AL60" s="116">
        <f>'Cashflow Statement'!AO77</f>
        <v>473967170.37156963</v>
      </c>
      <c r="AM60" s="116">
        <f>AM51</f>
        <v>2246.2729304065506</v>
      </c>
      <c r="AN60" s="117">
        <f t="shared" si="65"/>
        <v>211001.59466631993</v>
      </c>
    </row>
    <row r="61" spans="3:40" x14ac:dyDescent="0.15">
      <c r="C61" s="251"/>
      <c r="D61" s="251"/>
      <c r="E61" s="288"/>
      <c r="F61" s="289"/>
      <c r="G61" s="8"/>
      <c r="H61" s="249"/>
      <c r="I61" s="249"/>
      <c r="J61" s="250"/>
      <c r="K61" s="288"/>
      <c r="L61" s="289"/>
      <c r="M61" s="305"/>
      <c r="N61" s="249"/>
      <c r="O61" s="249"/>
      <c r="P61" s="250"/>
      <c r="Q61" s="289"/>
      <c r="R61" s="289"/>
      <c r="S61" s="305"/>
      <c r="T61" s="249"/>
      <c r="U61" s="249"/>
      <c r="V61" s="250"/>
      <c r="W61" s="289"/>
      <c r="X61" s="289"/>
      <c r="Y61" s="305"/>
      <c r="Z61" s="249"/>
      <c r="AA61" s="249"/>
      <c r="AB61" s="250"/>
      <c r="AC61" s="289"/>
      <c r="AD61" s="289"/>
      <c r="AE61" s="305"/>
      <c r="AF61" s="249"/>
      <c r="AG61" s="249"/>
      <c r="AH61" s="250"/>
      <c r="AI61" s="289"/>
      <c r="AJ61" s="289"/>
      <c r="AK61" s="305"/>
      <c r="AL61" s="249"/>
      <c r="AM61" s="249"/>
      <c r="AN61" s="250"/>
    </row>
    <row r="62" spans="3:40" ht="7.5" thickBot="1" x14ac:dyDescent="0.2">
      <c r="C62" s="447" t="s">
        <v>71</v>
      </c>
      <c r="D62" s="447"/>
      <c r="E62" s="282">
        <f t="shared" ref="E62" si="98">K62+N62+Q62+T62+W62+Z62+AC62+AF62+AI62+AL62</f>
        <v>1316631191.9360437</v>
      </c>
      <c r="F62" s="283">
        <f>F53</f>
        <v>952.63900000000001</v>
      </c>
      <c r="G62" s="5">
        <f t="shared" ref="G62" si="99">E62/F62</f>
        <v>1382088.2747148119</v>
      </c>
      <c r="H62" s="116"/>
      <c r="I62" s="116">
        <f>I53</f>
        <v>952.63900000000001</v>
      </c>
      <c r="J62" s="117">
        <f t="shared" ref="J62" si="100">H62/I62</f>
        <v>0</v>
      </c>
      <c r="K62" s="282">
        <f>'Cashflow Statement'!N87</f>
        <v>32944080.766675837</v>
      </c>
      <c r="L62" s="283">
        <f>L53</f>
        <v>952.63900000000001</v>
      </c>
      <c r="M62" s="302">
        <f t="shared" ref="M62" si="101">K62/L62</f>
        <v>34581.914835185038</v>
      </c>
      <c r="N62" s="116">
        <f>'Cashflow Statement'!Q87</f>
        <v>31760882.865824185</v>
      </c>
      <c r="O62" s="116">
        <f>O53</f>
        <v>1047.9029</v>
      </c>
      <c r="P62" s="117">
        <f t="shared" ref="P62" si="102">N62/O62</f>
        <v>30308.994149958155</v>
      </c>
      <c r="Q62" s="283">
        <f>'Cashflow Statement'!T87</f>
        <v>59923422.758829743</v>
      </c>
      <c r="R62" s="283">
        <f>R53</f>
        <v>1152.6931900000002</v>
      </c>
      <c r="S62" s="302">
        <f t="shared" ref="S62" si="103">Q62/R62</f>
        <v>51985.578884898016</v>
      </c>
      <c r="T62" s="116">
        <f>'Cashflow Statement'!W87</f>
        <v>103464656.15034837</v>
      </c>
      <c r="U62" s="116">
        <f>U53</f>
        <v>1267.9625090000004</v>
      </c>
      <c r="V62" s="117">
        <f t="shared" ref="V62" si="104">T62/U62</f>
        <v>81599.144624510605</v>
      </c>
      <c r="W62" s="283">
        <f>'Cashflow Statement'!Z87</f>
        <v>142047371.84084171</v>
      </c>
      <c r="X62" s="283">
        <f>X53</f>
        <v>1394.7587599000005</v>
      </c>
      <c r="Y62" s="302">
        <f t="shared" ref="Y62" si="105">W62/X62</f>
        <v>101843.68503340751</v>
      </c>
      <c r="Z62" s="116">
        <f>'Cashflow Statement'!AC87</f>
        <v>187339773.33263221</v>
      </c>
      <c r="AA62" s="116">
        <f>AA53</f>
        <v>1534.2346358900006</v>
      </c>
      <c r="AB62" s="117">
        <f t="shared" ref="AB62" si="106">Z62/AA62</f>
        <v>122106.33820292911</v>
      </c>
      <c r="AC62" s="283">
        <f>'Cashflow Statement'!AF87</f>
        <v>239068211.65415239</v>
      </c>
      <c r="AD62" s="283">
        <f>AD53</f>
        <v>1687.6580994790008</v>
      </c>
      <c r="AE62" s="302">
        <f t="shared" ref="AE62" si="107">AC62/AD62</f>
        <v>141656.77972804767</v>
      </c>
      <c r="AF62" s="116">
        <f>'Cashflow Statement'!AI87</f>
        <v>169201706.54335296</v>
      </c>
      <c r="AG62" s="116">
        <f>AG53</f>
        <v>1856.423909426901</v>
      </c>
      <c r="AH62" s="117">
        <f t="shared" ref="AH62" si="108">AF62/AG62</f>
        <v>91143.895359324175</v>
      </c>
      <c r="AI62" s="283">
        <f>'Cashflow Statement'!AL87</f>
        <v>170160237.17631099</v>
      </c>
      <c r="AJ62" s="283">
        <f>AJ53</f>
        <v>2042.0663003695913</v>
      </c>
      <c r="AK62" s="302">
        <f>AI62/AJ62</f>
        <v>83327.479203546856</v>
      </c>
      <c r="AL62" s="116">
        <f>'Cashflow Statement'!AO87</f>
        <v>180720848.84707549</v>
      </c>
      <c r="AM62" s="116">
        <f>AM53</f>
        <v>2246.2729304065506</v>
      </c>
      <c r="AN62" s="117">
        <f t="shared" ref="AN62" si="109">AL62/AM62</f>
        <v>80453.646750026499</v>
      </c>
    </row>
    <row r="63" spans="3:40" ht="7.5" thickBot="1" x14ac:dyDescent="0.2">
      <c r="C63" s="239" t="s">
        <v>72</v>
      </c>
      <c r="D63" s="239"/>
      <c r="E63" s="290">
        <f>SUM(E34:E62)</f>
        <v>283392863687.25305</v>
      </c>
      <c r="F63" s="9"/>
      <c r="G63" s="9">
        <f>SUM(G34:G62)</f>
        <v>297481904.1496864</v>
      </c>
      <c r="H63" s="268">
        <f>SUM(H34:H62)</f>
        <v>0</v>
      </c>
      <c r="I63" s="252"/>
      <c r="J63" s="252">
        <f>SUM(J34:J62)</f>
        <v>0</v>
      </c>
      <c r="K63" s="290">
        <f>SUM(K34:K62)</f>
        <v>5276706160.2325954</v>
      </c>
      <c r="L63" s="9"/>
      <c r="M63" s="290">
        <f>SUM(M34:M62)</f>
        <v>5539040.6651759967</v>
      </c>
      <c r="N63" s="268">
        <f>SUM(N34:N62)</f>
        <v>8171087877.6467171</v>
      </c>
      <c r="O63" s="252"/>
      <c r="P63" s="252">
        <f>SUM(P34:P62)</f>
        <v>7797562.0428636251</v>
      </c>
      <c r="Q63" s="290">
        <f>SUM(Q34:Q62)</f>
        <v>15090475834.581047</v>
      </c>
      <c r="R63" s="9"/>
      <c r="S63" s="290">
        <f>SUM(S34:S62)</f>
        <v>13091493.873214472</v>
      </c>
      <c r="T63" s="268">
        <f>SUM(T34:T62)</f>
        <v>24188113928.875755</v>
      </c>
      <c r="U63" s="252"/>
      <c r="V63" s="252">
        <f>SUM(V34:V62)</f>
        <v>19076363.659957197</v>
      </c>
      <c r="W63" s="290">
        <f>SUM(W34:W62)</f>
        <v>35248345833.096359</v>
      </c>
      <c r="X63" s="9"/>
      <c r="Y63" s="290">
        <f>SUM(Y34:Y62)</f>
        <v>25272001.758657921</v>
      </c>
      <c r="Z63" s="268">
        <f>SUM(Z34:Z62)</f>
        <v>51893012583.96312</v>
      </c>
      <c r="AA63" s="252"/>
      <c r="AB63" s="252">
        <f>SUM(AB34:AB62)</f>
        <v>33823387.485878453</v>
      </c>
      <c r="AC63" s="290">
        <f>SUM(AC34:AC62)</f>
        <v>46102183322.410011</v>
      </c>
      <c r="AD63" s="9"/>
      <c r="AE63" s="290">
        <f>SUM(AE34:AE62)</f>
        <v>27317253.024556492</v>
      </c>
      <c r="AF63" s="268">
        <f>SUM(AF34:AF62)</f>
        <v>37756276204.145119</v>
      </c>
      <c r="AG63" s="252"/>
      <c r="AH63" s="252">
        <f>SUM(AH34:AH62)</f>
        <v>20338176.001946077</v>
      </c>
      <c r="AI63" s="290">
        <f>SUM(AI34:AI62)</f>
        <v>30804391745.255737</v>
      </c>
      <c r="AJ63" s="9"/>
      <c r="AK63" s="290">
        <f>SUM(AK34:AK62)</f>
        <v>15084912.639555575</v>
      </c>
      <c r="AL63" s="268">
        <f>SUM(AL34:AL62)</f>
        <v>28862270197.046661</v>
      </c>
      <c r="AM63" s="252"/>
      <c r="AN63" s="252">
        <f>SUM(AN34:AN62)</f>
        <v>12848959.628348861</v>
      </c>
    </row>
    <row r="64" spans="3:40" ht="7.5" thickBot="1" x14ac:dyDescent="0.2">
      <c r="C64" s="239" t="s">
        <v>76</v>
      </c>
      <c r="D64" s="239"/>
      <c r="E64" s="291">
        <f>E31-E63</f>
        <v>940268753557.81335</v>
      </c>
      <c r="F64" s="12"/>
      <c r="G64" s="12">
        <f>G31-G63</f>
        <v>882043201.63022232</v>
      </c>
      <c r="H64" s="269">
        <f>H31-H63</f>
        <v>0</v>
      </c>
      <c r="I64" s="253"/>
      <c r="J64" s="253">
        <f>J31-J63</f>
        <v>0</v>
      </c>
      <c r="K64" s="291">
        <f>K31-K63</f>
        <v>-2003057990.8245983</v>
      </c>
      <c r="L64" s="12"/>
      <c r="M64" s="291">
        <f>M31-M63</f>
        <v>-2102641.1797381751</v>
      </c>
      <c r="N64" s="269">
        <f>N31-N63</f>
        <v>14547893278.110081</v>
      </c>
      <c r="O64" s="253"/>
      <c r="P64" s="253">
        <f>P31-P63</f>
        <v>13882863.839874942</v>
      </c>
      <c r="Q64" s="291">
        <f>Q31-Q63</f>
        <v>45118669376.299423</v>
      </c>
      <c r="R64" s="12"/>
      <c r="S64" s="291">
        <f>S31-S63</f>
        <v>39141958.821062699</v>
      </c>
      <c r="T64" s="269">
        <f>T31-T63</f>
        <v>61417846836.958763</v>
      </c>
      <c r="U64" s="253"/>
      <c r="V64" s="253">
        <f>V31-V63</f>
        <v>48438219.900836766</v>
      </c>
      <c r="W64" s="291">
        <f>W31-W63</f>
        <v>77984643190.050446</v>
      </c>
      <c r="X64" s="12"/>
      <c r="Y64" s="291">
        <f>Y31-Y63</f>
        <v>55912639.111613587</v>
      </c>
      <c r="Z64" s="269">
        <f>Z31-Z63</f>
        <v>172133173191.97394</v>
      </c>
      <c r="AA64" s="253"/>
      <c r="AB64" s="253">
        <f>AB31-AB63</f>
        <v>47015737.687429979</v>
      </c>
      <c r="AC64" s="291">
        <f>AC31-AC63</f>
        <v>89227869863.956848</v>
      </c>
      <c r="AD64" s="12"/>
      <c r="AE64" s="291">
        <f>AE31-AE63</f>
        <v>52870821.342013866</v>
      </c>
      <c r="AF64" s="269">
        <f>AF31-AF63</f>
        <v>109410949665.173</v>
      </c>
      <c r="AG64" s="253"/>
      <c r="AH64" s="253">
        <f>AH31-AH63</f>
        <v>58936404.077530652</v>
      </c>
      <c r="AI64" s="291">
        <f>AI31-AI63</f>
        <v>128756788533.36127</v>
      </c>
      <c r="AJ64" s="12"/>
      <c r="AK64" s="291">
        <f>AK31-AK63</f>
        <v>63052207.712383166</v>
      </c>
      <c r="AL64" s="269">
        <f>AL31-AL63</f>
        <v>243673977612.75412</v>
      </c>
      <c r="AM64" s="253"/>
      <c r="AN64" s="253">
        <f>AN31-AN63</f>
        <v>108479238.79341409</v>
      </c>
    </row>
    <row r="65" spans="3:40" x14ac:dyDescent="0.15">
      <c r="C65" s="254"/>
      <c r="D65" s="254"/>
      <c r="E65" s="292"/>
      <c r="F65" s="10"/>
      <c r="G65" s="10"/>
      <c r="H65" s="255"/>
      <c r="I65" s="255"/>
      <c r="J65" s="255"/>
      <c r="K65" s="292"/>
      <c r="L65" s="10"/>
      <c r="M65" s="292"/>
      <c r="N65" s="255"/>
      <c r="O65" s="255"/>
      <c r="P65" s="255"/>
      <c r="Q65" s="10"/>
      <c r="R65" s="10"/>
      <c r="S65" s="292"/>
      <c r="T65" s="255"/>
      <c r="U65" s="255"/>
      <c r="V65" s="255"/>
      <c r="W65" s="10"/>
      <c r="X65" s="10"/>
      <c r="Y65" s="292"/>
      <c r="Z65" s="257"/>
      <c r="AA65" s="255"/>
      <c r="AB65" s="255"/>
      <c r="AC65" s="10"/>
      <c r="AD65" s="10"/>
      <c r="AE65" s="292"/>
      <c r="AF65" s="255"/>
      <c r="AG65" s="255"/>
      <c r="AH65" s="255"/>
      <c r="AI65" s="10"/>
      <c r="AJ65" s="10"/>
      <c r="AK65" s="292"/>
      <c r="AL65" s="255"/>
      <c r="AM65" s="255"/>
      <c r="AN65" s="255"/>
    </row>
    <row r="66" spans="3:40" ht="7.5" thickBot="1" x14ac:dyDescent="0.2">
      <c r="C66" s="256" t="s">
        <v>291</v>
      </c>
      <c r="D66" s="256"/>
      <c r="E66" s="293">
        <f>K66+N66+Q66+T66+W66+Z65+AC66+AF66+AI66+AL66</f>
        <v>0</v>
      </c>
      <c r="F66" s="11">
        <f>F49</f>
        <v>952.63900000000001</v>
      </c>
      <c r="G66" s="11">
        <f>E66/F66</f>
        <v>0</v>
      </c>
      <c r="H66" s="257"/>
      <c r="I66" s="257">
        <f>I49</f>
        <v>952.63900000000001</v>
      </c>
      <c r="J66" s="257">
        <f>H66/I66</f>
        <v>0</v>
      </c>
      <c r="K66" s="386">
        <f>'Cashflow Statement'!N90</f>
        <v>0</v>
      </c>
      <c r="L66" s="11">
        <f>L49</f>
        <v>952.63900000000001</v>
      </c>
      <c r="M66" s="386">
        <f>K66/L66</f>
        <v>0</v>
      </c>
      <c r="N66" s="257"/>
      <c r="O66" s="257">
        <f>O49</f>
        <v>1047.9029</v>
      </c>
      <c r="P66" s="257">
        <f>N66/O66</f>
        <v>0</v>
      </c>
      <c r="Q66" s="11"/>
      <c r="R66" s="11">
        <f>R49</f>
        <v>1152.6931900000002</v>
      </c>
      <c r="S66" s="386">
        <f>Q66/R66</f>
        <v>0</v>
      </c>
      <c r="T66" s="257"/>
      <c r="U66" s="257">
        <f>U49</f>
        <v>1267.9625090000004</v>
      </c>
      <c r="V66" s="257">
        <f>T66/U66</f>
        <v>0</v>
      </c>
      <c r="W66" s="11"/>
      <c r="X66" s="11">
        <f>X49</f>
        <v>1394.7587599000005</v>
      </c>
      <c r="Y66" s="386">
        <f>W66/X66</f>
        <v>0</v>
      </c>
      <c r="Z66" s="224">
        <v>0</v>
      </c>
      <c r="AA66" s="257">
        <f>AA49</f>
        <v>1534.2346358900006</v>
      </c>
      <c r="AB66" s="567">
        <f>Z66/AA66</f>
        <v>0</v>
      </c>
      <c r="AC66" s="11">
        <v>0</v>
      </c>
      <c r="AD66" s="11">
        <f>AD49</f>
        <v>1687.6580994790008</v>
      </c>
      <c r="AE66" s="386">
        <f>AC66/AD66</f>
        <v>0</v>
      </c>
      <c r="AF66" s="257">
        <v>0</v>
      </c>
      <c r="AG66" s="257">
        <f>AG49</f>
        <v>1856.423909426901</v>
      </c>
      <c r="AH66" s="257">
        <f>AF66/AG66</f>
        <v>0</v>
      </c>
      <c r="AI66" s="11">
        <v>0</v>
      </c>
      <c r="AJ66" s="11">
        <f>AJ49</f>
        <v>2042.0663003695913</v>
      </c>
      <c r="AK66" s="386">
        <f>AI66/AJ66</f>
        <v>0</v>
      </c>
      <c r="AL66" s="257">
        <v>0</v>
      </c>
      <c r="AM66" s="257">
        <f>AM49</f>
        <v>2246.2729304065506</v>
      </c>
      <c r="AN66" s="257">
        <f>AL66/AM66</f>
        <v>0</v>
      </c>
    </row>
    <row r="67" spans="3:40" ht="7.5" thickBot="1" x14ac:dyDescent="0.2">
      <c r="C67" s="239" t="s">
        <v>211</v>
      </c>
      <c r="D67" s="239"/>
      <c r="E67" s="291">
        <f>E64-E65+E66</f>
        <v>940268753557.81335</v>
      </c>
      <c r="F67" s="12"/>
      <c r="G67" s="12">
        <f>G64-G65+G66</f>
        <v>882043201.63022232</v>
      </c>
      <c r="H67" s="253">
        <f>H64-H65+H66</f>
        <v>0</v>
      </c>
      <c r="I67" s="253"/>
      <c r="J67" s="253">
        <f>J64-J65+J66</f>
        <v>0</v>
      </c>
      <c r="K67" s="291">
        <f>K64-K65+K66</f>
        <v>-2003057990.8245983</v>
      </c>
      <c r="L67" s="12"/>
      <c r="M67" s="291">
        <f>M64-M65+M66</f>
        <v>-2102641.1797381751</v>
      </c>
      <c r="N67" s="253">
        <f>N64-N65+N66</f>
        <v>14547893278.110081</v>
      </c>
      <c r="O67" s="253"/>
      <c r="P67" s="253">
        <f>P64-P65+P66</f>
        <v>13882863.839874942</v>
      </c>
      <c r="Q67" s="12">
        <f>Q64-Q65+Q66</f>
        <v>45118669376.299423</v>
      </c>
      <c r="R67" s="12"/>
      <c r="S67" s="291">
        <f>S64-S65+S66</f>
        <v>39141958.821062699</v>
      </c>
      <c r="T67" s="253">
        <f>SUM(T64:T66)</f>
        <v>61417846836.958763</v>
      </c>
      <c r="U67" s="253"/>
      <c r="V67" s="253">
        <f>V64-V65+V66</f>
        <v>48438219.900836766</v>
      </c>
      <c r="W67" s="12">
        <f>SUM(W64:W66)</f>
        <v>77984643190.050446</v>
      </c>
      <c r="X67" s="12"/>
      <c r="Y67" s="291">
        <f>Y64-Y65+Y66</f>
        <v>55912639.111613587</v>
      </c>
      <c r="Z67" s="253">
        <f>SUM(Z64:Z65)-Z66</f>
        <v>172133173191.97394</v>
      </c>
      <c r="AA67" s="253"/>
      <c r="AB67" s="253">
        <f>AB64-AB65+AB66</f>
        <v>47015737.687429979</v>
      </c>
      <c r="AC67" s="12">
        <f>AC64-AC65-AC66</f>
        <v>89227869863.956848</v>
      </c>
      <c r="AD67" s="12"/>
      <c r="AE67" s="291">
        <f>AE64-AE65+AE66</f>
        <v>52870821.342013866</v>
      </c>
      <c r="AF67" s="253">
        <f>AF64-AF65-AF66</f>
        <v>109410949665.173</v>
      </c>
      <c r="AG67" s="253"/>
      <c r="AH67" s="253">
        <f>AH64-AH65+AH66</f>
        <v>58936404.077530652</v>
      </c>
      <c r="AI67" s="12">
        <f>AI64-AI65-AI66</f>
        <v>128756788533.36127</v>
      </c>
      <c r="AJ67" s="12"/>
      <c r="AK67" s="291">
        <f>AK64-AK65+AK66</f>
        <v>63052207.712383166</v>
      </c>
      <c r="AL67" s="253">
        <f>AL64-AL65-AL66</f>
        <v>243673977612.75412</v>
      </c>
      <c r="AM67" s="253"/>
      <c r="AN67" s="253">
        <f>AN64-AN65+AN66</f>
        <v>108479238.79341409</v>
      </c>
    </row>
    <row r="68" spans="3:40" ht="7.5" thickBot="1" x14ac:dyDescent="0.2">
      <c r="C68" s="231"/>
      <c r="D68" s="231"/>
      <c r="E68" s="294"/>
      <c r="F68" s="295"/>
      <c r="G68" s="296"/>
      <c r="H68" s="13"/>
      <c r="I68" s="13"/>
      <c r="J68" s="14"/>
      <c r="K68" s="294"/>
      <c r="L68" s="295"/>
      <c r="M68" s="307"/>
      <c r="N68" s="271"/>
      <c r="O68" s="13"/>
      <c r="P68" s="14"/>
      <c r="Q68" s="295"/>
      <c r="R68" s="295"/>
      <c r="S68" s="307"/>
      <c r="T68" s="13"/>
      <c r="U68" s="13"/>
      <c r="V68" s="14"/>
      <c r="W68" s="295"/>
      <c r="X68" s="295"/>
      <c r="Y68" s="307"/>
      <c r="Z68" s="13"/>
      <c r="AA68" s="13"/>
      <c r="AB68" s="14"/>
      <c r="AC68" s="295"/>
      <c r="AD68" s="295"/>
      <c r="AE68" s="307"/>
      <c r="AF68" s="13"/>
      <c r="AG68" s="13"/>
      <c r="AH68" s="14"/>
      <c r="AI68" s="295"/>
      <c r="AJ68" s="295"/>
      <c r="AK68" s="307"/>
      <c r="AL68" s="13"/>
      <c r="AM68" s="13"/>
      <c r="AN68" s="14"/>
    </row>
    <row r="69" spans="3:40" x14ac:dyDescent="0.15">
      <c r="C69" s="234"/>
      <c r="D69" s="234"/>
      <c r="E69" s="297"/>
      <c r="F69" s="298"/>
      <c r="G69" s="309"/>
      <c r="H69" s="15"/>
      <c r="I69" s="15"/>
      <c r="J69" s="16"/>
      <c r="K69" s="297"/>
      <c r="L69" s="298"/>
      <c r="M69" s="308"/>
      <c r="N69" s="272"/>
      <c r="O69" s="15"/>
      <c r="P69" s="16"/>
      <c r="Q69" s="298"/>
      <c r="R69" s="298"/>
      <c r="S69" s="308"/>
      <c r="T69" s="15"/>
      <c r="U69" s="15"/>
      <c r="V69" s="16"/>
      <c r="W69" s="298"/>
      <c r="X69" s="298"/>
      <c r="Y69" s="308"/>
      <c r="Z69" s="15"/>
      <c r="AA69" s="15"/>
      <c r="AB69" s="16"/>
      <c r="AC69" s="298"/>
      <c r="AD69" s="298"/>
      <c r="AE69" s="308"/>
      <c r="AF69" s="15"/>
      <c r="AG69" s="15"/>
      <c r="AH69" s="16"/>
      <c r="AI69" s="298"/>
      <c r="AJ69" s="298"/>
      <c r="AK69" s="308"/>
      <c r="AL69" s="15"/>
      <c r="AM69" s="15"/>
      <c r="AN69" s="16"/>
    </row>
    <row r="70" spans="3:40" ht="7.5" thickBot="1" x14ac:dyDescent="0.2">
      <c r="C70" s="251" t="s">
        <v>213</v>
      </c>
      <c r="D70" s="447"/>
      <c r="E70" s="282">
        <f t="shared" ref="E70" si="110">K70+N70+Q70+T70+W70+Z70+AC70+AF70+AI70+AL70</f>
        <v>310949697811.05054</v>
      </c>
      <c r="F70" s="283">
        <f>F60</f>
        <v>952.63900000000001</v>
      </c>
      <c r="G70" s="5">
        <f t="shared" ref="G70" si="111">E70/F70</f>
        <v>326408742.25288963</v>
      </c>
      <c r="H70" s="116"/>
      <c r="I70" s="116">
        <f>I60</f>
        <v>952.63900000000001</v>
      </c>
      <c r="J70" s="117">
        <f t="shared" ref="J70" si="112">H70/I70</f>
        <v>0</v>
      </c>
      <c r="K70" s="282">
        <v>0</v>
      </c>
      <c r="L70" s="283">
        <f>L60</f>
        <v>952.63900000000001</v>
      </c>
      <c r="M70" s="302">
        <f t="shared" ref="M70" si="113">K70/L70</f>
        <v>0</v>
      </c>
      <c r="N70" s="116">
        <f>N67*33%</f>
        <v>4800804781.7763271</v>
      </c>
      <c r="O70" s="116">
        <f>O60</f>
        <v>1047.9029</v>
      </c>
      <c r="P70" s="117">
        <f t="shared" ref="P70" si="114">N70/O70</f>
        <v>4581345.0671587288</v>
      </c>
      <c r="Q70" s="282">
        <f>Q67*33%</f>
        <v>14889160894.17881</v>
      </c>
      <c r="R70" s="283">
        <f>R60</f>
        <v>1152.6931900000002</v>
      </c>
      <c r="S70" s="302">
        <f t="shared" ref="S70" si="115">Q70/R70</f>
        <v>12916846.410950694</v>
      </c>
      <c r="T70" s="116">
        <f>T67*33%</f>
        <v>20267889456.196392</v>
      </c>
      <c r="U70" s="116">
        <f>U60</f>
        <v>1267.9625090000004</v>
      </c>
      <c r="V70" s="117">
        <f t="shared" ref="V70" si="116">T70/U70</f>
        <v>15984612.567276141</v>
      </c>
      <c r="W70" s="282">
        <f>W67*33%</f>
        <v>25734932252.716648</v>
      </c>
      <c r="X70" s="283">
        <f>X60</f>
        <v>1394.7587599000005</v>
      </c>
      <c r="Y70" s="302">
        <f t="shared" ref="Y70" si="117">W70/X70</f>
        <v>18451170.906832486</v>
      </c>
      <c r="Z70" s="571">
        <f>Z67*33%</f>
        <v>56803947153.351402</v>
      </c>
      <c r="AA70" s="116">
        <f>AA60</f>
        <v>1534.2346358900006</v>
      </c>
      <c r="AB70" s="117">
        <f t="shared" ref="AB70" si="118">Z70/AA70</f>
        <v>37024289.391302757</v>
      </c>
      <c r="AC70" s="282">
        <f>AC67*33%</f>
        <v>29445197055.105762</v>
      </c>
      <c r="AD70" s="283">
        <f>AD60</f>
        <v>1687.6580994790008</v>
      </c>
      <c r="AE70" s="302">
        <f t="shared" ref="AE70" si="119">AC70/AD70</f>
        <v>17447371.042864565</v>
      </c>
      <c r="AF70" s="571">
        <f>AF67*33%</f>
        <v>36105613389.507095</v>
      </c>
      <c r="AG70" s="116">
        <f>AG60</f>
        <v>1856.423909426901</v>
      </c>
      <c r="AH70" s="117">
        <f t="shared" ref="AH70" si="120">AF70/AG70</f>
        <v>19449013.345585119</v>
      </c>
      <c r="AI70" s="282">
        <f>AI67*33%</f>
        <v>42489740216.009224</v>
      </c>
      <c r="AJ70" s="283">
        <f>AJ60</f>
        <v>2042.0663003695913</v>
      </c>
      <c r="AK70" s="302">
        <f t="shared" ref="AK70" si="121">AI70/AJ70</f>
        <v>20807228.545086443</v>
      </c>
      <c r="AL70" s="571">
        <f>AL67*33%</f>
        <v>80412412612.208862</v>
      </c>
      <c r="AM70" s="116">
        <f>AM60</f>
        <v>2246.2729304065506</v>
      </c>
      <c r="AN70" s="117">
        <f t="shared" ref="AN70" si="122">AL70/AM70</f>
        <v>35798148.801826634</v>
      </c>
    </row>
    <row r="71" spans="3:40" ht="7.5" thickBot="1" x14ac:dyDescent="0.2">
      <c r="C71" s="239" t="s">
        <v>214</v>
      </c>
      <c r="D71" s="239"/>
      <c r="E71" s="291">
        <f>E68-E69+E70</f>
        <v>310949697811.05054</v>
      </c>
      <c r="F71" s="12"/>
      <c r="G71" s="12">
        <f>G68-G69+G70</f>
        <v>326408742.25288963</v>
      </c>
      <c r="H71" s="253">
        <f>H68-H69+H70</f>
        <v>0</v>
      </c>
      <c r="I71" s="253"/>
      <c r="J71" s="253">
        <f>J68-J69+J70</f>
        <v>0</v>
      </c>
      <c r="K71" s="291">
        <f>K67-K70</f>
        <v>-2003057990.8245983</v>
      </c>
      <c r="L71" s="12"/>
      <c r="M71" s="306">
        <f>M67-M70</f>
        <v>-2102641.1797381751</v>
      </c>
      <c r="N71" s="253">
        <f>N67-N70</f>
        <v>9747088496.3337536</v>
      </c>
      <c r="O71" s="253"/>
      <c r="P71" s="258">
        <f>P67-P70</f>
        <v>9301518.772716213</v>
      </c>
      <c r="Q71" s="291">
        <f>Q67-Q70</f>
        <v>30229508482.120613</v>
      </c>
      <c r="R71" s="12"/>
      <c r="S71" s="306">
        <f>S67-S70</f>
        <v>26225112.410112005</v>
      </c>
      <c r="T71" s="253">
        <f>T67-T70</f>
        <v>41149957380.762375</v>
      </c>
      <c r="U71" s="253"/>
      <c r="V71" s="258">
        <f>V67-V70</f>
        <v>32453607.333560623</v>
      </c>
      <c r="W71" s="291">
        <f>W67-W70</f>
        <v>52249710937.333801</v>
      </c>
      <c r="X71" s="12"/>
      <c r="Y71" s="306">
        <f>Y67-Y70</f>
        <v>37461468.2047811</v>
      </c>
      <c r="Z71" s="253">
        <f>Z67-Z70</f>
        <v>115329226038.62253</v>
      </c>
      <c r="AA71" s="253"/>
      <c r="AB71" s="258">
        <f>AB67-AB70</f>
        <v>9991448.2961272225</v>
      </c>
      <c r="AC71" s="291">
        <f>AC67-AC70</f>
        <v>59782672808.851089</v>
      </c>
      <c r="AD71" s="12"/>
      <c r="AE71" s="306">
        <f>AE67-AE70</f>
        <v>35423450.299149305</v>
      </c>
      <c r="AF71" s="253">
        <f>AF67-AF70</f>
        <v>73305336275.665909</v>
      </c>
      <c r="AG71" s="253"/>
      <c r="AH71" s="258">
        <f>AH67-AH70</f>
        <v>39487390.73194553</v>
      </c>
      <c r="AI71" s="291">
        <f>AI67-AI70</f>
        <v>86267048317.352051</v>
      </c>
      <c r="AJ71" s="12"/>
      <c r="AK71" s="306">
        <f>AK67-AK70</f>
        <v>42244979.167296723</v>
      </c>
      <c r="AL71" s="253">
        <f>AL67-AL70</f>
        <v>163261565000.54526</v>
      </c>
      <c r="AM71" s="253"/>
      <c r="AN71" s="258">
        <f>AN67-AN70</f>
        <v>72681089.99158746</v>
      </c>
    </row>
    <row r="72" spans="3:40" x14ac:dyDescent="0.15">
      <c r="C72" s="259" t="s">
        <v>212</v>
      </c>
      <c r="D72" s="259"/>
      <c r="E72" s="297"/>
      <c r="F72" s="298"/>
      <c r="G72" s="298"/>
      <c r="H72" s="15"/>
      <c r="I72" s="15"/>
      <c r="J72" s="16"/>
      <c r="K72" s="297"/>
      <c r="L72" s="298"/>
      <c r="M72" s="308"/>
      <c r="N72" s="272"/>
      <c r="O72" s="15"/>
      <c r="P72" s="16"/>
      <c r="Q72" s="298"/>
      <c r="R72" s="298"/>
      <c r="S72" s="308"/>
      <c r="T72" s="15"/>
      <c r="U72" s="15"/>
      <c r="V72" s="16"/>
      <c r="W72" s="298"/>
      <c r="X72" s="298"/>
      <c r="Y72" s="308"/>
      <c r="Z72" s="15"/>
      <c r="AA72" s="15"/>
      <c r="AB72" s="16"/>
      <c r="AC72" s="298"/>
      <c r="AD72" s="298"/>
      <c r="AE72" s="308"/>
      <c r="AF72" s="15"/>
      <c r="AG72" s="15"/>
      <c r="AH72" s="16"/>
      <c r="AI72" s="298"/>
      <c r="AJ72" s="298"/>
      <c r="AK72" s="308"/>
      <c r="AL72" s="15"/>
      <c r="AM72" s="15"/>
      <c r="AN72" s="16"/>
    </row>
    <row r="73" spans="3:40" x14ac:dyDescent="0.15">
      <c r="C73" s="260" t="s">
        <v>215</v>
      </c>
      <c r="D73" s="260"/>
      <c r="E73" s="293">
        <f>K73+N73+Q73+T73+W73+Z73+AC73+AF73+AI73+AL73</f>
        <v>-15732976393.669069</v>
      </c>
      <c r="F73" s="17">
        <f>F66</f>
        <v>952.63900000000001</v>
      </c>
      <c r="G73" s="17">
        <f>E73/F73</f>
        <v>-16515150.433342608</v>
      </c>
      <c r="H73" s="116"/>
      <c r="I73" s="261">
        <f>I66</f>
        <v>952.63900000000001</v>
      </c>
      <c r="J73" s="117">
        <f>H73/I73</f>
        <v>0</v>
      </c>
      <c r="K73" s="293">
        <f>-K71*2.5%</f>
        <v>50076449.770614959</v>
      </c>
      <c r="L73" s="17">
        <f>L66</f>
        <v>952.63900000000001</v>
      </c>
      <c r="M73" s="310">
        <f>K73/L73</f>
        <v>52566.029493454458</v>
      </c>
      <c r="N73" s="270">
        <f>-N71*2.5%</f>
        <v>-243677212.40834385</v>
      </c>
      <c r="O73" s="261">
        <f>O66</f>
        <v>1047.9029</v>
      </c>
      <c r="P73" s="262">
        <f>N73/O73</f>
        <v>-232537.96931790517</v>
      </c>
      <c r="Q73" s="293">
        <f>-Q71*2.5%</f>
        <v>-755737712.05301535</v>
      </c>
      <c r="R73" s="17">
        <f>R66</f>
        <v>1152.6931900000002</v>
      </c>
      <c r="S73" s="310">
        <f>Q73/R73</f>
        <v>-655627.81025280047</v>
      </c>
      <c r="T73" s="270">
        <f>-T71*2.5%</f>
        <v>-1028748934.5190594</v>
      </c>
      <c r="U73" s="261">
        <f>U66</f>
        <v>1267.9625090000004</v>
      </c>
      <c r="V73" s="262">
        <f>T73/U73</f>
        <v>-811340.18333901628</v>
      </c>
      <c r="W73" s="293">
        <f>-W71*2.5%</f>
        <v>-1306242773.4333451</v>
      </c>
      <c r="X73" s="17">
        <f>X66</f>
        <v>1394.7587599000005</v>
      </c>
      <c r="Y73" s="310">
        <f>W73/X73</f>
        <v>-936536.70511952776</v>
      </c>
      <c r="Z73" s="270">
        <f>-Z71*2.5%</f>
        <v>-2883230650.9655633</v>
      </c>
      <c r="AA73" s="261">
        <f>AA66</f>
        <v>1534.2346358900006</v>
      </c>
      <c r="AB73" s="262">
        <f>Z73/AA73</f>
        <v>-1879263.173649458</v>
      </c>
      <c r="AC73" s="293">
        <f>-AC71*2.5%</f>
        <v>-1494566820.2212772</v>
      </c>
      <c r="AD73" s="17">
        <f>AD66</f>
        <v>1687.6580994790008</v>
      </c>
      <c r="AE73" s="310">
        <f>AC73/AD73</f>
        <v>-885586.25747873157</v>
      </c>
      <c r="AF73" s="270">
        <f>-AF71*2.5%</f>
        <v>-1832633406.8916478</v>
      </c>
      <c r="AG73" s="261">
        <f>AG66</f>
        <v>1856.423909426901</v>
      </c>
      <c r="AH73" s="262">
        <f>AF73/AG73</f>
        <v>-987184.7682986384</v>
      </c>
      <c r="AI73" s="293">
        <f>-AI71*2.5%</f>
        <v>-2156676207.9338012</v>
      </c>
      <c r="AJ73" s="17">
        <f>AJ66</f>
        <v>2042.0663003695913</v>
      </c>
      <c r="AK73" s="310">
        <f>AI73/AJ73</f>
        <v>-1056124.4791824177</v>
      </c>
      <c r="AL73" s="270">
        <f>-AL71*2.5%</f>
        <v>-4081539125.0136318</v>
      </c>
      <c r="AM73" s="261">
        <f>AM66</f>
        <v>2246.2729304065506</v>
      </c>
      <c r="AN73" s="262">
        <f>AL73/AM73</f>
        <v>-1817027.2497896852</v>
      </c>
    </row>
    <row r="74" spans="3:40" ht="7.5" thickBot="1" x14ac:dyDescent="0.2">
      <c r="C74" s="238"/>
      <c r="D74" s="238"/>
      <c r="E74" s="299"/>
      <c r="F74" s="300"/>
      <c r="G74" s="300"/>
      <c r="H74" s="18"/>
      <c r="I74" s="18"/>
      <c r="J74" s="263"/>
      <c r="K74" s="299"/>
      <c r="L74" s="300"/>
      <c r="M74" s="311"/>
      <c r="N74" s="273"/>
      <c r="O74" s="18"/>
      <c r="P74" s="263"/>
      <c r="Q74" s="299"/>
      <c r="R74" s="300"/>
      <c r="S74" s="311"/>
      <c r="T74" s="273"/>
      <c r="U74" s="18"/>
      <c r="V74" s="263"/>
      <c r="W74" s="299"/>
      <c r="X74" s="300"/>
      <c r="Y74" s="311"/>
      <c r="Z74" s="273"/>
      <c r="AA74" s="18"/>
      <c r="AB74" s="263"/>
      <c r="AC74" s="299"/>
      <c r="AD74" s="300"/>
      <c r="AE74" s="311"/>
      <c r="AF74" s="273"/>
      <c r="AG74" s="18"/>
      <c r="AH74" s="263"/>
      <c r="AI74" s="299"/>
      <c r="AJ74" s="300"/>
      <c r="AK74" s="311"/>
      <c r="AL74" s="273"/>
      <c r="AM74" s="18"/>
      <c r="AN74" s="263"/>
    </row>
    <row r="75" spans="3:40" ht="7.5" thickBot="1" x14ac:dyDescent="0.2">
      <c r="C75" s="239" t="s">
        <v>73</v>
      </c>
      <c r="D75" s="239"/>
      <c r="E75" s="291">
        <f>E67+SUM(E73:E73)</f>
        <v>924535777164.14429</v>
      </c>
      <c r="F75" s="12"/>
      <c r="G75" s="12">
        <f>G67+SUM(G73:G73)</f>
        <v>865528051.19687974</v>
      </c>
      <c r="H75" s="269">
        <f>H67+SUM(H73:H73)</f>
        <v>0</v>
      </c>
      <c r="I75" s="253"/>
      <c r="J75" s="253">
        <f>J67+SUM(J73:J73)</f>
        <v>0</v>
      </c>
      <c r="K75" s="12">
        <f>K71+K73</f>
        <v>-1952981541.0539834</v>
      </c>
      <c r="L75" s="12"/>
      <c r="M75" s="291">
        <f>M71+M73</f>
        <v>-2050075.1502447207</v>
      </c>
      <c r="N75" s="253">
        <f>N71+N73</f>
        <v>9503411283.9254093</v>
      </c>
      <c r="O75" s="253"/>
      <c r="P75" s="253">
        <f>P71+P73</f>
        <v>9068980.8033983074</v>
      </c>
      <c r="Q75" s="12">
        <f>Q71+Q73</f>
        <v>29473770770.067596</v>
      </c>
      <c r="R75" s="12"/>
      <c r="S75" s="291">
        <f>S71+S73</f>
        <v>25569484.599859204</v>
      </c>
      <c r="T75" s="253">
        <f>T71+T73</f>
        <v>40121208446.243317</v>
      </c>
      <c r="U75" s="253"/>
      <c r="V75" s="253">
        <f>V71+V73</f>
        <v>31642267.150221609</v>
      </c>
      <c r="W75" s="12">
        <f>W71+W73</f>
        <v>50943468163.900459</v>
      </c>
      <c r="X75" s="12"/>
      <c r="Y75" s="291">
        <f>Y71+Y73</f>
        <v>36524931.499661572</v>
      </c>
      <c r="Z75" s="253">
        <f>Z71+Z73</f>
        <v>112445995387.65697</v>
      </c>
      <c r="AA75" s="253"/>
      <c r="AB75" s="253">
        <f>AB71+AB73</f>
        <v>8112185.1224777643</v>
      </c>
      <c r="AC75" s="12">
        <f>AC71+AC73</f>
        <v>58288105988.629814</v>
      </c>
      <c r="AD75" s="12"/>
      <c r="AE75" s="291">
        <f>AE71+AE73</f>
        <v>34537864.041670576</v>
      </c>
      <c r="AF75" s="253">
        <f>AF71+AF73</f>
        <v>71472702868.774261</v>
      </c>
      <c r="AG75" s="253"/>
      <c r="AH75" s="253">
        <f>AH71+AH73</f>
        <v>38500205.963646889</v>
      </c>
      <c r="AI75" s="12">
        <f>AI71+AI73</f>
        <v>84110372109.418243</v>
      </c>
      <c r="AJ75" s="12"/>
      <c r="AK75" s="291">
        <f>AK71+AK73</f>
        <v>41188854.688114308</v>
      </c>
      <c r="AL75" s="253">
        <f>AL71+AL73</f>
        <v>159180025875.53162</v>
      </c>
      <c r="AM75" s="253"/>
      <c r="AN75" s="253">
        <f>AN71+AN73</f>
        <v>70864062.741797775</v>
      </c>
    </row>
    <row r="77" spans="3:40" x14ac:dyDescent="0.15">
      <c r="E77" s="264"/>
      <c r="G77" s="264"/>
      <c r="K77" s="264"/>
      <c r="N77" s="264"/>
      <c r="P77" s="264"/>
      <c r="Q77" s="264"/>
      <c r="S77" s="264"/>
      <c r="T77" s="264"/>
      <c r="V77" s="264"/>
      <c r="W77" s="264"/>
      <c r="Y77" s="264"/>
      <c r="Z77" s="264"/>
      <c r="AB77" s="264"/>
      <c r="AC77" s="264"/>
      <c r="AE77" s="264"/>
      <c r="AF77" s="264"/>
      <c r="AH77" s="264"/>
      <c r="AI77" s="264"/>
      <c r="AK77" s="264"/>
      <c r="AL77" s="264"/>
      <c r="AN77" s="264"/>
    </row>
  </sheetData>
  <mergeCells count="23">
    <mergeCell ref="AI4:AK4"/>
    <mergeCell ref="E4:G4"/>
    <mergeCell ref="H4:J4"/>
    <mergeCell ref="K4:M4"/>
    <mergeCell ref="N4:P4"/>
    <mergeCell ref="Q4:S4"/>
    <mergeCell ref="AF4:AH4"/>
    <mergeCell ref="AI5:AK5"/>
    <mergeCell ref="AL5:AN5"/>
    <mergeCell ref="AL4:AN4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T4:V4"/>
    <mergeCell ref="W4:Y4"/>
    <mergeCell ref="Z4:AB4"/>
    <mergeCell ref="AC4:AE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415"/>
  <sheetViews>
    <sheetView tabSelected="1" zoomScale="90" zoomScaleNormal="90" workbookViewId="0">
      <pane xSplit="7" ySplit="7" topLeftCell="X8" activePane="bottomRight" state="frozen"/>
      <selection pane="topRight" activeCell="F1" sqref="F1"/>
      <selection pane="bottomLeft" activeCell="A8" sqref="A8"/>
      <selection pane="bottomRight" activeCell="AC14" sqref="AC14"/>
    </sheetView>
  </sheetViews>
  <sheetFormatPr defaultColWidth="9.1796875" defaultRowHeight="7" x14ac:dyDescent="0.15"/>
  <cols>
    <col min="1" max="1" width="2.1796875" style="224" customWidth="1"/>
    <col min="2" max="2" width="1" style="224" customWidth="1"/>
    <col min="3" max="3" width="28" style="371" customWidth="1"/>
    <col min="4" max="4" width="11.90625" style="371" bestFit="1" customWidth="1"/>
    <col min="5" max="5" width="4.26953125" style="371" bestFit="1" customWidth="1"/>
    <col min="6" max="6" width="5.453125" style="266" bestFit="1" customWidth="1"/>
    <col min="7" max="7" width="6.54296875" style="266" bestFit="1" customWidth="1"/>
    <col min="8" max="8" width="14" style="266" bestFit="1" customWidth="1"/>
    <col min="9" max="9" width="3.7265625" style="266" bestFit="1" customWidth="1"/>
    <col min="10" max="10" width="13.453125" style="266" bestFit="1" customWidth="1"/>
    <col min="11" max="11" width="10.1796875" style="266" bestFit="1" customWidth="1"/>
    <col min="12" max="12" width="3.7265625" style="266" bestFit="1" customWidth="1"/>
    <col min="13" max="13" width="7.36328125" style="266" bestFit="1" customWidth="1"/>
    <col min="14" max="14" width="12" style="266" bestFit="1" customWidth="1"/>
    <col min="15" max="15" width="5.54296875" style="266" bestFit="1" customWidth="1"/>
    <col min="16" max="16" width="9.453125" style="266" bestFit="1" customWidth="1"/>
    <col min="17" max="17" width="12.26953125" style="266" bestFit="1" customWidth="1"/>
    <col min="18" max="18" width="4.54296875" style="266" bestFit="1" customWidth="1"/>
    <col min="19" max="19" width="9.1796875" style="266" bestFit="1" customWidth="1"/>
    <col min="20" max="20" width="12.81640625" style="224" bestFit="1" customWidth="1"/>
    <col min="21" max="21" width="5.36328125" style="266" bestFit="1" customWidth="1"/>
    <col min="22" max="22" width="10" style="224" bestFit="1" customWidth="1"/>
    <col min="23" max="23" width="13.08984375" style="224" bestFit="1" customWidth="1"/>
    <col min="24" max="24" width="4.54296875" style="266" bestFit="1" customWidth="1"/>
    <col min="25" max="25" width="10" style="224" bestFit="1" customWidth="1"/>
    <col min="26" max="26" width="12.81640625" style="224" bestFit="1" customWidth="1"/>
    <col min="27" max="27" width="5.54296875" style="266" bestFit="1" customWidth="1"/>
    <col min="28" max="28" width="11.6328125" style="224" bestFit="1" customWidth="1"/>
    <col min="29" max="29" width="12.81640625" style="224" bestFit="1" customWidth="1"/>
    <col min="30" max="30" width="4.54296875" style="266" bestFit="1" customWidth="1"/>
    <col min="31" max="31" width="10.1796875" style="224" bestFit="1" customWidth="1"/>
    <col min="32" max="32" width="12.81640625" style="224" bestFit="1" customWidth="1"/>
    <col min="33" max="33" width="5.54296875" style="266" bestFit="1" customWidth="1"/>
    <col min="34" max="34" width="10" style="224" bestFit="1" customWidth="1"/>
    <col min="35" max="35" width="13.08984375" style="224" bestFit="1" customWidth="1"/>
    <col min="36" max="36" width="4.54296875" style="266" bestFit="1" customWidth="1"/>
    <col min="37" max="37" width="10.1796875" style="224" bestFit="1" customWidth="1"/>
    <col min="38" max="38" width="13.08984375" style="224" bestFit="1" customWidth="1"/>
    <col min="39" max="39" width="5.81640625" style="266" bestFit="1" customWidth="1"/>
    <col min="40" max="40" width="10" style="224" bestFit="1" customWidth="1"/>
    <col min="41" max="41" width="13.08984375" style="224" bestFit="1" customWidth="1"/>
    <col min="42" max="42" width="4.54296875" style="266" bestFit="1" customWidth="1"/>
    <col min="43" max="43" width="10" style="224" bestFit="1" customWidth="1"/>
    <col min="44" max="44" width="10.26953125" style="224" bestFit="1" customWidth="1"/>
    <col min="45" max="45" width="9.7265625" style="224" bestFit="1" customWidth="1"/>
    <col min="46" max="269" width="9.1796875" style="224"/>
    <col min="270" max="270" width="2.1796875" style="224" customWidth="1"/>
    <col min="271" max="271" width="1" style="224" customWidth="1"/>
    <col min="272" max="272" width="28" style="224" customWidth="1"/>
    <col min="273" max="273" width="5.453125" style="224" bestFit="1" customWidth="1"/>
    <col min="274" max="274" width="6.54296875" style="224" bestFit="1" customWidth="1"/>
    <col min="275" max="275" width="16.54296875" style="224" customWidth="1"/>
    <col min="276" max="276" width="13.453125" style="224" bestFit="1" customWidth="1"/>
    <col min="277" max="277" width="6.54296875" style="224" customWidth="1"/>
    <col min="278" max="278" width="15" style="224" customWidth="1"/>
    <col min="279" max="279" width="12" style="224" bestFit="1" customWidth="1"/>
    <col min="280" max="280" width="15.26953125" style="224" bestFit="1" customWidth="1"/>
    <col min="281" max="282" width="15" style="224" bestFit="1" customWidth="1"/>
    <col min="283" max="283" width="12" style="224" bestFit="1" customWidth="1"/>
    <col min="284" max="284" width="15.26953125" style="224" bestFit="1" customWidth="1"/>
    <col min="285" max="285" width="12" style="224" bestFit="1" customWidth="1"/>
    <col min="286" max="286" width="15.26953125" style="224" bestFit="1" customWidth="1"/>
    <col min="287" max="287" width="12" style="224" bestFit="1" customWidth="1"/>
    <col min="288" max="288" width="15" style="224" bestFit="1" customWidth="1"/>
    <col min="289" max="289" width="11.6328125" style="224" bestFit="1" customWidth="1"/>
    <col min="290" max="290" width="15.26953125" style="224" bestFit="1" customWidth="1"/>
    <col min="291" max="291" width="13.1796875" style="224" bestFit="1" customWidth="1"/>
    <col min="292" max="292" width="15.26953125" style="224" bestFit="1" customWidth="1"/>
    <col min="293" max="293" width="12.7265625" style="224" bestFit="1" customWidth="1"/>
    <col min="294" max="294" width="15" style="224" bestFit="1" customWidth="1"/>
    <col min="295" max="295" width="12.90625" style="224" bestFit="1" customWidth="1"/>
    <col min="296" max="296" width="15" style="224" bestFit="1" customWidth="1"/>
    <col min="297" max="297" width="13.1796875" style="224" bestFit="1" customWidth="1"/>
    <col min="298" max="298" width="15" style="224" bestFit="1" customWidth="1"/>
    <col min="299" max="299" width="12.7265625" style="224" bestFit="1" customWidth="1"/>
    <col min="300" max="525" width="9.1796875" style="224"/>
    <col min="526" max="526" width="2.1796875" style="224" customWidth="1"/>
    <col min="527" max="527" width="1" style="224" customWidth="1"/>
    <col min="528" max="528" width="28" style="224" customWidth="1"/>
    <col min="529" max="529" width="5.453125" style="224" bestFit="1" customWidth="1"/>
    <col min="530" max="530" width="6.54296875" style="224" bestFit="1" customWidth="1"/>
    <col min="531" max="531" width="16.54296875" style="224" customWidth="1"/>
    <col min="532" max="532" width="13.453125" style="224" bestFit="1" customWidth="1"/>
    <col min="533" max="533" width="6.54296875" style="224" customWidth="1"/>
    <col min="534" max="534" width="15" style="224" customWidth="1"/>
    <col min="535" max="535" width="12" style="224" bestFit="1" customWidth="1"/>
    <col min="536" max="536" width="15.26953125" style="224" bestFit="1" customWidth="1"/>
    <col min="537" max="538" width="15" style="224" bestFit="1" customWidth="1"/>
    <col min="539" max="539" width="12" style="224" bestFit="1" customWidth="1"/>
    <col min="540" max="540" width="15.26953125" style="224" bestFit="1" customWidth="1"/>
    <col min="541" max="541" width="12" style="224" bestFit="1" customWidth="1"/>
    <col min="542" max="542" width="15.26953125" style="224" bestFit="1" customWidth="1"/>
    <col min="543" max="543" width="12" style="224" bestFit="1" customWidth="1"/>
    <col min="544" max="544" width="15" style="224" bestFit="1" customWidth="1"/>
    <col min="545" max="545" width="11.6328125" style="224" bestFit="1" customWidth="1"/>
    <col min="546" max="546" width="15.26953125" style="224" bestFit="1" customWidth="1"/>
    <col min="547" max="547" width="13.1796875" style="224" bestFit="1" customWidth="1"/>
    <col min="548" max="548" width="15.26953125" style="224" bestFit="1" customWidth="1"/>
    <col min="549" max="549" width="12.7265625" style="224" bestFit="1" customWidth="1"/>
    <col min="550" max="550" width="15" style="224" bestFit="1" customWidth="1"/>
    <col min="551" max="551" width="12.90625" style="224" bestFit="1" customWidth="1"/>
    <col min="552" max="552" width="15" style="224" bestFit="1" customWidth="1"/>
    <col min="553" max="553" width="13.1796875" style="224" bestFit="1" customWidth="1"/>
    <col min="554" max="554" width="15" style="224" bestFit="1" customWidth="1"/>
    <col min="555" max="555" width="12.7265625" style="224" bestFit="1" customWidth="1"/>
    <col min="556" max="781" width="9.1796875" style="224"/>
    <col min="782" max="782" width="2.1796875" style="224" customWidth="1"/>
    <col min="783" max="783" width="1" style="224" customWidth="1"/>
    <col min="784" max="784" width="28" style="224" customWidth="1"/>
    <col min="785" max="785" width="5.453125" style="224" bestFit="1" customWidth="1"/>
    <col min="786" max="786" width="6.54296875" style="224" bestFit="1" customWidth="1"/>
    <col min="787" max="787" width="16.54296875" style="224" customWidth="1"/>
    <col min="788" max="788" width="13.453125" style="224" bestFit="1" customWidth="1"/>
    <col min="789" max="789" width="6.54296875" style="224" customWidth="1"/>
    <col min="790" max="790" width="15" style="224" customWidth="1"/>
    <col min="791" max="791" width="12" style="224" bestFit="1" customWidth="1"/>
    <col min="792" max="792" width="15.26953125" style="224" bestFit="1" customWidth="1"/>
    <col min="793" max="794" width="15" style="224" bestFit="1" customWidth="1"/>
    <col min="795" max="795" width="12" style="224" bestFit="1" customWidth="1"/>
    <col min="796" max="796" width="15.26953125" style="224" bestFit="1" customWidth="1"/>
    <col min="797" max="797" width="12" style="224" bestFit="1" customWidth="1"/>
    <col min="798" max="798" width="15.26953125" style="224" bestFit="1" customWidth="1"/>
    <col min="799" max="799" width="12" style="224" bestFit="1" customWidth="1"/>
    <col min="800" max="800" width="15" style="224" bestFit="1" customWidth="1"/>
    <col min="801" max="801" width="11.6328125" style="224" bestFit="1" customWidth="1"/>
    <col min="802" max="802" width="15.26953125" style="224" bestFit="1" customWidth="1"/>
    <col min="803" max="803" width="13.1796875" style="224" bestFit="1" customWidth="1"/>
    <col min="804" max="804" width="15.26953125" style="224" bestFit="1" customWidth="1"/>
    <col min="805" max="805" width="12.7265625" style="224" bestFit="1" customWidth="1"/>
    <col min="806" max="806" width="15" style="224" bestFit="1" customWidth="1"/>
    <col min="807" max="807" width="12.90625" style="224" bestFit="1" customWidth="1"/>
    <col min="808" max="808" width="15" style="224" bestFit="1" customWidth="1"/>
    <col min="809" max="809" width="13.1796875" style="224" bestFit="1" customWidth="1"/>
    <col min="810" max="810" width="15" style="224" bestFit="1" customWidth="1"/>
    <col min="811" max="811" width="12.7265625" style="224" bestFit="1" customWidth="1"/>
    <col min="812" max="1037" width="9.1796875" style="224"/>
    <col min="1038" max="1038" width="2.1796875" style="224" customWidth="1"/>
    <col min="1039" max="1039" width="1" style="224" customWidth="1"/>
    <col min="1040" max="1040" width="28" style="224" customWidth="1"/>
    <col min="1041" max="1041" width="5.453125" style="224" bestFit="1" customWidth="1"/>
    <col min="1042" max="1042" width="6.54296875" style="224" bestFit="1" customWidth="1"/>
    <col min="1043" max="1043" width="16.54296875" style="224" customWidth="1"/>
    <col min="1044" max="1044" width="13.453125" style="224" bestFit="1" customWidth="1"/>
    <col min="1045" max="1045" width="6.54296875" style="224" customWidth="1"/>
    <col min="1046" max="1046" width="15" style="224" customWidth="1"/>
    <col min="1047" max="1047" width="12" style="224" bestFit="1" customWidth="1"/>
    <col min="1048" max="1048" width="15.26953125" style="224" bestFit="1" customWidth="1"/>
    <col min="1049" max="1050" width="15" style="224" bestFit="1" customWidth="1"/>
    <col min="1051" max="1051" width="12" style="224" bestFit="1" customWidth="1"/>
    <col min="1052" max="1052" width="15.26953125" style="224" bestFit="1" customWidth="1"/>
    <col min="1053" max="1053" width="12" style="224" bestFit="1" customWidth="1"/>
    <col min="1054" max="1054" width="15.26953125" style="224" bestFit="1" customWidth="1"/>
    <col min="1055" max="1055" width="12" style="224" bestFit="1" customWidth="1"/>
    <col min="1056" max="1056" width="15" style="224" bestFit="1" customWidth="1"/>
    <col min="1057" max="1057" width="11.6328125" style="224" bestFit="1" customWidth="1"/>
    <col min="1058" max="1058" width="15.26953125" style="224" bestFit="1" customWidth="1"/>
    <col min="1059" max="1059" width="13.1796875" style="224" bestFit="1" customWidth="1"/>
    <col min="1060" max="1060" width="15.26953125" style="224" bestFit="1" customWidth="1"/>
    <col min="1061" max="1061" width="12.7265625" style="224" bestFit="1" customWidth="1"/>
    <col min="1062" max="1062" width="15" style="224" bestFit="1" customWidth="1"/>
    <col min="1063" max="1063" width="12.90625" style="224" bestFit="1" customWidth="1"/>
    <col min="1064" max="1064" width="15" style="224" bestFit="1" customWidth="1"/>
    <col min="1065" max="1065" width="13.1796875" style="224" bestFit="1" customWidth="1"/>
    <col min="1066" max="1066" width="15" style="224" bestFit="1" customWidth="1"/>
    <col min="1067" max="1067" width="12.7265625" style="224" bestFit="1" customWidth="1"/>
    <col min="1068" max="1293" width="9.1796875" style="224"/>
    <col min="1294" max="1294" width="2.1796875" style="224" customWidth="1"/>
    <col min="1295" max="1295" width="1" style="224" customWidth="1"/>
    <col min="1296" max="1296" width="28" style="224" customWidth="1"/>
    <col min="1297" max="1297" width="5.453125" style="224" bestFit="1" customWidth="1"/>
    <col min="1298" max="1298" width="6.54296875" style="224" bestFit="1" customWidth="1"/>
    <col min="1299" max="1299" width="16.54296875" style="224" customWidth="1"/>
    <col min="1300" max="1300" width="13.453125" style="224" bestFit="1" customWidth="1"/>
    <col min="1301" max="1301" width="6.54296875" style="224" customWidth="1"/>
    <col min="1302" max="1302" width="15" style="224" customWidth="1"/>
    <col min="1303" max="1303" width="12" style="224" bestFit="1" customWidth="1"/>
    <col min="1304" max="1304" width="15.26953125" style="224" bestFit="1" customWidth="1"/>
    <col min="1305" max="1306" width="15" style="224" bestFit="1" customWidth="1"/>
    <col min="1307" max="1307" width="12" style="224" bestFit="1" customWidth="1"/>
    <col min="1308" max="1308" width="15.26953125" style="224" bestFit="1" customWidth="1"/>
    <col min="1309" max="1309" width="12" style="224" bestFit="1" customWidth="1"/>
    <col min="1310" max="1310" width="15.26953125" style="224" bestFit="1" customWidth="1"/>
    <col min="1311" max="1311" width="12" style="224" bestFit="1" customWidth="1"/>
    <col min="1312" max="1312" width="15" style="224" bestFit="1" customWidth="1"/>
    <col min="1313" max="1313" width="11.6328125" style="224" bestFit="1" customWidth="1"/>
    <col min="1314" max="1314" width="15.26953125" style="224" bestFit="1" customWidth="1"/>
    <col min="1315" max="1315" width="13.1796875" style="224" bestFit="1" customWidth="1"/>
    <col min="1316" max="1316" width="15.26953125" style="224" bestFit="1" customWidth="1"/>
    <col min="1317" max="1317" width="12.7265625" style="224" bestFit="1" customWidth="1"/>
    <col min="1318" max="1318" width="15" style="224" bestFit="1" customWidth="1"/>
    <col min="1319" max="1319" width="12.90625" style="224" bestFit="1" customWidth="1"/>
    <col min="1320" max="1320" width="15" style="224" bestFit="1" customWidth="1"/>
    <col min="1321" max="1321" width="13.1796875" style="224" bestFit="1" customWidth="1"/>
    <col min="1322" max="1322" width="15" style="224" bestFit="1" customWidth="1"/>
    <col min="1323" max="1323" width="12.7265625" style="224" bestFit="1" customWidth="1"/>
    <col min="1324" max="1549" width="9.1796875" style="224"/>
    <col min="1550" max="1550" width="2.1796875" style="224" customWidth="1"/>
    <col min="1551" max="1551" width="1" style="224" customWidth="1"/>
    <col min="1552" max="1552" width="28" style="224" customWidth="1"/>
    <col min="1553" max="1553" width="5.453125" style="224" bestFit="1" customWidth="1"/>
    <col min="1554" max="1554" width="6.54296875" style="224" bestFit="1" customWidth="1"/>
    <col min="1555" max="1555" width="16.54296875" style="224" customWidth="1"/>
    <col min="1556" max="1556" width="13.453125" style="224" bestFit="1" customWidth="1"/>
    <col min="1557" max="1557" width="6.54296875" style="224" customWidth="1"/>
    <col min="1558" max="1558" width="15" style="224" customWidth="1"/>
    <col min="1559" max="1559" width="12" style="224" bestFit="1" customWidth="1"/>
    <col min="1560" max="1560" width="15.26953125" style="224" bestFit="1" customWidth="1"/>
    <col min="1561" max="1562" width="15" style="224" bestFit="1" customWidth="1"/>
    <col min="1563" max="1563" width="12" style="224" bestFit="1" customWidth="1"/>
    <col min="1564" max="1564" width="15.26953125" style="224" bestFit="1" customWidth="1"/>
    <col min="1565" max="1565" width="12" style="224" bestFit="1" customWidth="1"/>
    <col min="1566" max="1566" width="15.26953125" style="224" bestFit="1" customWidth="1"/>
    <col min="1567" max="1567" width="12" style="224" bestFit="1" customWidth="1"/>
    <col min="1568" max="1568" width="15" style="224" bestFit="1" customWidth="1"/>
    <col min="1569" max="1569" width="11.6328125" style="224" bestFit="1" customWidth="1"/>
    <col min="1570" max="1570" width="15.26953125" style="224" bestFit="1" customWidth="1"/>
    <col min="1571" max="1571" width="13.1796875" style="224" bestFit="1" customWidth="1"/>
    <col min="1572" max="1572" width="15.26953125" style="224" bestFit="1" customWidth="1"/>
    <col min="1573" max="1573" width="12.7265625" style="224" bestFit="1" customWidth="1"/>
    <col min="1574" max="1574" width="15" style="224" bestFit="1" customWidth="1"/>
    <col min="1575" max="1575" width="12.90625" style="224" bestFit="1" customWidth="1"/>
    <col min="1576" max="1576" width="15" style="224" bestFit="1" customWidth="1"/>
    <col min="1577" max="1577" width="13.1796875" style="224" bestFit="1" customWidth="1"/>
    <col min="1578" max="1578" width="15" style="224" bestFit="1" customWidth="1"/>
    <col min="1579" max="1579" width="12.7265625" style="224" bestFit="1" customWidth="1"/>
    <col min="1580" max="1805" width="9.1796875" style="224"/>
    <col min="1806" max="1806" width="2.1796875" style="224" customWidth="1"/>
    <col min="1807" max="1807" width="1" style="224" customWidth="1"/>
    <col min="1808" max="1808" width="28" style="224" customWidth="1"/>
    <col min="1809" max="1809" width="5.453125" style="224" bestFit="1" customWidth="1"/>
    <col min="1810" max="1810" width="6.54296875" style="224" bestFit="1" customWidth="1"/>
    <col min="1811" max="1811" width="16.54296875" style="224" customWidth="1"/>
    <col min="1812" max="1812" width="13.453125" style="224" bestFit="1" customWidth="1"/>
    <col min="1813" max="1813" width="6.54296875" style="224" customWidth="1"/>
    <col min="1814" max="1814" width="15" style="224" customWidth="1"/>
    <col min="1815" max="1815" width="12" style="224" bestFit="1" customWidth="1"/>
    <col min="1816" max="1816" width="15.26953125" style="224" bestFit="1" customWidth="1"/>
    <col min="1817" max="1818" width="15" style="224" bestFit="1" customWidth="1"/>
    <col min="1819" max="1819" width="12" style="224" bestFit="1" customWidth="1"/>
    <col min="1820" max="1820" width="15.26953125" style="224" bestFit="1" customWidth="1"/>
    <col min="1821" max="1821" width="12" style="224" bestFit="1" customWidth="1"/>
    <col min="1822" max="1822" width="15.26953125" style="224" bestFit="1" customWidth="1"/>
    <col min="1823" max="1823" width="12" style="224" bestFit="1" customWidth="1"/>
    <col min="1824" max="1824" width="15" style="224" bestFit="1" customWidth="1"/>
    <col min="1825" max="1825" width="11.6328125" style="224" bestFit="1" customWidth="1"/>
    <col min="1826" max="1826" width="15.26953125" style="224" bestFit="1" customWidth="1"/>
    <col min="1827" max="1827" width="13.1796875" style="224" bestFit="1" customWidth="1"/>
    <col min="1828" max="1828" width="15.26953125" style="224" bestFit="1" customWidth="1"/>
    <col min="1829" max="1829" width="12.7265625" style="224" bestFit="1" customWidth="1"/>
    <col min="1830" max="1830" width="15" style="224" bestFit="1" customWidth="1"/>
    <col min="1831" max="1831" width="12.90625" style="224" bestFit="1" customWidth="1"/>
    <col min="1832" max="1832" width="15" style="224" bestFit="1" customWidth="1"/>
    <col min="1833" max="1833" width="13.1796875" style="224" bestFit="1" customWidth="1"/>
    <col min="1834" max="1834" width="15" style="224" bestFit="1" customWidth="1"/>
    <col min="1835" max="1835" width="12.7265625" style="224" bestFit="1" customWidth="1"/>
    <col min="1836" max="2061" width="9.1796875" style="224"/>
    <col min="2062" max="2062" width="2.1796875" style="224" customWidth="1"/>
    <col min="2063" max="2063" width="1" style="224" customWidth="1"/>
    <col min="2064" max="2064" width="28" style="224" customWidth="1"/>
    <col min="2065" max="2065" width="5.453125" style="224" bestFit="1" customWidth="1"/>
    <col min="2066" max="2066" width="6.54296875" style="224" bestFit="1" customWidth="1"/>
    <col min="2067" max="2067" width="16.54296875" style="224" customWidth="1"/>
    <col min="2068" max="2068" width="13.453125" style="224" bestFit="1" customWidth="1"/>
    <col min="2069" max="2069" width="6.54296875" style="224" customWidth="1"/>
    <col min="2070" max="2070" width="15" style="224" customWidth="1"/>
    <col min="2071" max="2071" width="12" style="224" bestFit="1" customWidth="1"/>
    <col min="2072" max="2072" width="15.26953125" style="224" bestFit="1" customWidth="1"/>
    <col min="2073" max="2074" width="15" style="224" bestFit="1" customWidth="1"/>
    <col min="2075" max="2075" width="12" style="224" bestFit="1" customWidth="1"/>
    <col min="2076" max="2076" width="15.26953125" style="224" bestFit="1" customWidth="1"/>
    <col min="2077" max="2077" width="12" style="224" bestFit="1" customWidth="1"/>
    <col min="2078" max="2078" width="15.26953125" style="224" bestFit="1" customWidth="1"/>
    <col min="2079" max="2079" width="12" style="224" bestFit="1" customWidth="1"/>
    <col min="2080" max="2080" width="15" style="224" bestFit="1" customWidth="1"/>
    <col min="2081" max="2081" width="11.6328125" style="224" bestFit="1" customWidth="1"/>
    <col min="2082" max="2082" width="15.26953125" style="224" bestFit="1" customWidth="1"/>
    <col min="2083" max="2083" width="13.1796875" style="224" bestFit="1" customWidth="1"/>
    <col min="2084" max="2084" width="15.26953125" style="224" bestFit="1" customWidth="1"/>
    <col min="2085" max="2085" width="12.7265625" style="224" bestFit="1" customWidth="1"/>
    <col min="2086" max="2086" width="15" style="224" bestFit="1" customWidth="1"/>
    <col min="2087" max="2087" width="12.90625" style="224" bestFit="1" customWidth="1"/>
    <col min="2088" max="2088" width="15" style="224" bestFit="1" customWidth="1"/>
    <col min="2089" max="2089" width="13.1796875" style="224" bestFit="1" customWidth="1"/>
    <col min="2090" max="2090" width="15" style="224" bestFit="1" customWidth="1"/>
    <col min="2091" max="2091" width="12.7265625" style="224" bestFit="1" customWidth="1"/>
    <col min="2092" max="2317" width="9.1796875" style="224"/>
    <col min="2318" max="2318" width="2.1796875" style="224" customWidth="1"/>
    <col min="2319" max="2319" width="1" style="224" customWidth="1"/>
    <col min="2320" max="2320" width="28" style="224" customWidth="1"/>
    <col min="2321" max="2321" width="5.453125" style="224" bestFit="1" customWidth="1"/>
    <col min="2322" max="2322" width="6.54296875" style="224" bestFit="1" customWidth="1"/>
    <col min="2323" max="2323" width="16.54296875" style="224" customWidth="1"/>
    <col min="2324" max="2324" width="13.453125" style="224" bestFit="1" customWidth="1"/>
    <col min="2325" max="2325" width="6.54296875" style="224" customWidth="1"/>
    <col min="2326" max="2326" width="15" style="224" customWidth="1"/>
    <col min="2327" max="2327" width="12" style="224" bestFit="1" customWidth="1"/>
    <col min="2328" max="2328" width="15.26953125" style="224" bestFit="1" customWidth="1"/>
    <col min="2329" max="2330" width="15" style="224" bestFit="1" customWidth="1"/>
    <col min="2331" max="2331" width="12" style="224" bestFit="1" customWidth="1"/>
    <col min="2332" max="2332" width="15.26953125" style="224" bestFit="1" customWidth="1"/>
    <col min="2333" max="2333" width="12" style="224" bestFit="1" customWidth="1"/>
    <col min="2334" max="2334" width="15.26953125" style="224" bestFit="1" customWidth="1"/>
    <col min="2335" max="2335" width="12" style="224" bestFit="1" customWidth="1"/>
    <col min="2336" max="2336" width="15" style="224" bestFit="1" customWidth="1"/>
    <col min="2337" max="2337" width="11.6328125" style="224" bestFit="1" customWidth="1"/>
    <col min="2338" max="2338" width="15.26953125" style="224" bestFit="1" customWidth="1"/>
    <col min="2339" max="2339" width="13.1796875" style="224" bestFit="1" customWidth="1"/>
    <col min="2340" max="2340" width="15.26953125" style="224" bestFit="1" customWidth="1"/>
    <col min="2341" max="2341" width="12.7265625" style="224" bestFit="1" customWidth="1"/>
    <col min="2342" max="2342" width="15" style="224" bestFit="1" customWidth="1"/>
    <col min="2343" max="2343" width="12.90625" style="224" bestFit="1" customWidth="1"/>
    <col min="2344" max="2344" width="15" style="224" bestFit="1" customWidth="1"/>
    <col min="2345" max="2345" width="13.1796875" style="224" bestFit="1" customWidth="1"/>
    <col min="2346" max="2346" width="15" style="224" bestFit="1" customWidth="1"/>
    <col min="2347" max="2347" width="12.7265625" style="224" bestFit="1" customWidth="1"/>
    <col min="2348" max="2573" width="9.1796875" style="224"/>
    <col min="2574" max="2574" width="2.1796875" style="224" customWidth="1"/>
    <col min="2575" max="2575" width="1" style="224" customWidth="1"/>
    <col min="2576" max="2576" width="28" style="224" customWidth="1"/>
    <col min="2577" max="2577" width="5.453125" style="224" bestFit="1" customWidth="1"/>
    <col min="2578" max="2578" width="6.54296875" style="224" bestFit="1" customWidth="1"/>
    <col min="2579" max="2579" width="16.54296875" style="224" customWidth="1"/>
    <col min="2580" max="2580" width="13.453125" style="224" bestFit="1" customWidth="1"/>
    <col min="2581" max="2581" width="6.54296875" style="224" customWidth="1"/>
    <col min="2582" max="2582" width="15" style="224" customWidth="1"/>
    <col min="2583" max="2583" width="12" style="224" bestFit="1" customWidth="1"/>
    <col min="2584" max="2584" width="15.26953125" style="224" bestFit="1" customWidth="1"/>
    <col min="2585" max="2586" width="15" style="224" bestFit="1" customWidth="1"/>
    <col min="2587" max="2587" width="12" style="224" bestFit="1" customWidth="1"/>
    <col min="2588" max="2588" width="15.26953125" style="224" bestFit="1" customWidth="1"/>
    <col min="2589" max="2589" width="12" style="224" bestFit="1" customWidth="1"/>
    <col min="2590" max="2590" width="15.26953125" style="224" bestFit="1" customWidth="1"/>
    <col min="2591" max="2591" width="12" style="224" bestFit="1" customWidth="1"/>
    <col min="2592" max="2592" width="15" style="224" bestFit="1" customWidth="1"/>
    <col min="2593" max="2593" width="11.6328125" style="224" bestFit="1" customWidth="1"/>
    <col min="2594" max="2594" width="15.26953125" style="224" bestFit="1" customWidth="1"/>
    <col min="2595" max="2595" width="13.1796875" style="224" bestFit="1" customWidth="1"/>
    <col min="2596" max="2596" width="15.26953125" style="224" bestFit="1" customWidth="1"/>
    <col min="2597" max="2597" width="12.7265625" style="224" bestFit="1" customWidth="1"/>
    <col min="2598" max="2598" width="15" style="224" bestFit="1" customWidth="1"/>
    <col min="2599" max="2599" width="12.90625" style="224" bestFit="1" customWidth="1"/>
    <col min="2600" max="2600" width="15" style="224" bestFit="1" customWidth="1"/>
    <col min="2601" max="2601" width="13.1796875" style="224" bestFit="1" customWidth="1"/>
    <col min="2602" max="2602" width="15" style="224" bestFit="1" customWidth="1"/>
    <col min="2603" max="2603" width="12.7265625" style="224" bestFit="1" customWidth="1"/>
    <col min="2604" max="2829" width="9.1796875" style="224"/>
    <col min="2830" max="2830" width="2.1796875" style="224" customWidth="1"/>
    <col min="2831" max="2831" width="1" style="224" customWidth="1"/>
    <col min="2832" max="2832" width="28" style="224" customWidth="1"/>
    <col min="2833" max="2833" width="5.453125" style="224" bestFit="1" customWidth="1"/>
    <col min="2834" max="2834" width="6.54296875" style="224" bestFit="1" customWidth="1"/>
    <col min="2835" max="2835" width="16.54296875" style="224" customWidth="1"/>
    <col min="2836" max="2836" width="13.453125" style="224" bestFit="1" customWidth="1"/>
    <col min="2837" max="2837" width="6.54296875" style="224" customWidth="1"/>
    <col min="2838" max="2838" width="15" style="224" customWidth="1"/>
    <col min="2839" max="2839" width="12" style="224" bestFit="1" customWidth="1"/>
    <col min="2840" max="2840" width="15.26953125" style="224" bestFit="1" customWidth="1"/>
    <col min="2841" max="2842" width="15" style="224" bestFit="1" customWidth="1"/>
    <col min="2843" max="2843" width="12" style="224" bestFit="1" customWidth="1"/>
    <col min="2844" max="2844" width="15.26953125" style="224" bestFit="1" customWidth="1"/>
    <col min="2845" max="2845" width="12" style="224" bestFit="1" customWidth="1"/>
    <col min="2846" max="2846" width="15.26953125" style="224" bestFit="1" customWidth="1"/>
    <col min="2847" max="2847" width="12" style="224" bestFit="1" customWidth="1"/>
    <col min="2848" max="2848" width="15" style="224" bestFit="1" customWidth="1"/>
    <col min="2849" max="2849" width="11.6328125" style="224" bestFit="1" customWidth="1"/>
    <col min="2850" max="2850" width="15.26953125" style="224" bestFit="1" customWidth="1"/>
    <col min="2851" max="2851" width="13.1796875" style="224" bestFit="1" customWidth="1"/>
    <col min="2852" max="2852" width="15.26953125" style="224" bestFit="1" customWidth="1"/>
    <col min="2853" max="2853" width="12.7265625" style="224" bestFit="1" customWidth="1"/>
    <col min="2854" max="2854" width="15" style="224" bestFit="1" customWidth="1"/>
    <col min="2855" max="2855" width="12.90625" style="224" bestFit="1" customWidth="1"/>
    <col min="2856" max="2856" width="15" style="224" bestFit="1" customWidth="1"/>
    <col min="2857" max="2857" width="13.1796875" style="224" bestFit="1" customWidth="1"/>
    <col min="2858" max="2858" width="15" style="224" bestFit="1" customWidth="1"/>
    <col min="2859" max="2859" width="12.7265625" style="224" bestFit="1" customWidth="1"/>
    <col min="2860" max="3085" width="9.1796875" style="224"/>
    <col min="3086" max="3086" width="2.1796875" style="224" customWidth="1"/>
    <col min="3087" max="3087" width="1" style="224" customWidth="1"/>
    <col min="3088" max="3088" width="28" style="224" customWidth="1"/>
    <col min="3089" max="3089" width="5.453125" style="224" bestFit="1" customWidth="1"/>
    <col min="3090" max="3090" width="6.54296875" style="224" bestFit="1" customWidth="1"/>
    <col min="3091" max="3091" width="16.54296875" style="224" customWidth="1"/>
    <col min="3092" max="3092" width="13.453125" style="224" bestFit="1" customWidth="1"/>
    <col min="3093" max="3093" width="6.54296875" style="224" customWidth="1"/>
    <col min="3094" max="3094" width="15" style="224" customWidth="1"/>
    <col min="3095" max="3095" width="12" style="224" bestFit="1" customWidth="1"/>
    <col min="3096" max="3096" width="15.26953125" style="224" bestFit="1" customWidth="1"/>
    <col min="3097" max="3098" width="15" style="224" bestFit="1" customWidth="1"/>
    <col min="3099" max="3099" width="12" style="224" bestFit="1" customWidth="1"/>
    <col min="3100" max="3100" width="15.26953125" style="224" bestFit="1" customWidth="1"/>
    <col min="3101" max="3101" width="12" style="224" bestFit="1" customWidth="1"/>
    <col min="3102" max="3102" width="15.26953125" style="224" bestFit="1" customWidth="1"/>
    <col min="3103" max="3103" width="12" style="224" bestFit="1" customWidth="1"/>
    <col min="3104" max="3104" width="15" style="224" bestFit="1" customWidth="1"/>
    <col min="3105" max="3105" width="11.6328125" style="224" bestFit="1" customWidth="1"/>
    <col min="3106" max="3106" width="15.26953125" style="224" bestFit="1" customWidth="1"/>
    <col min="3107" max="3107" width="13.1796875" style="224" bestFit="1" customWidth="1"/>
    <col min="3108" max="3108" width="15.26953125" style="224" bestFit="1" customWidth="1"/>
    <col min="3109" max="3109" width="12.7265625" style="224" bestFit="1" customWidth="1"/>
    <col min="3110" max="3110" width="15" style="224" bestFit="1" customWidth="1"/>
    <col min="3111" max="3111" width="12.90625" style="224" bestFit="1" customWidth="1"/>
    <col min="3112" max="3112" width="15" style="224" bestFit="1" customWidth="1"/>
    <col min="3113" max="3113" width="13.1796875" style="224" bestFit="1" customWidth="1"/>
    <col min="3114" max="3114" width="15" style="224" bestFit="1" customWidth="1"/>
    <col min="3115" max="3115" width="12.7265625" style="224" bestFit="1" customWidth="1"/>
    <col min="3116" max="3341" width="9.1796875" style="224"/>
    <col min="3342" max="3342" width="2.1796875" style="224" customWidth="1"/>
    <col min="3343" max="3343" width="1" style="224" customWidth="1"/>
    <col min="3344" max="3344" width="28" style="224" customWidth="1"/>
    <col min="3345" max="3345" width="5.453125" style="224" bestFit="1" customWidth="1"/>
    <col min="3346" max="3346" width="6.54296875" style="224" bestFit="1" customWidth="1"/>
    <col min="3347" max="3347" width="16.54296875" style="224" customWidth="1"/>
    <col min="3348" max="3348" width="13.453125" style="224" bestFit="1" customWidth="1"/>
    <col min="3349" max="3349" width="6.54296875" style="224" customWidth="1"/>
    <col min="3350" max="3350" width="15" style="224" customWidth="1"/>
    <col min="3351" max="3351" width="12" style="224" bestFit="1" customWidth="1"/>
    <col min="3352" max="3352" width="15.26953125" style="224" bestFit="1" customWidth="1"/>
    <col min="3353" max="3354" width="15" style="224" bestFit="1" customWidth="1"/>
    <col min="3355" max="3355" width="12" style="224" bestFit="1" customWidth="1"/>
    <col min="3356" max="3356" width="15.26953125" style="224" bestFit="1" customWidth="1"/>
    <col min="3357" max="3357" width="12" style="224" bestFit="1" customWidth="1"/>
    <col min="3358" max="3358" width="15.26953125" style="224" bestFit="1" customWidth="1"/>
    <col min="3359" max="3359" width="12" style="224" bestFit="1" customWidth="1"/>
    <col min="3360" max="3360" width="15" style="224" bestFit="1" customWidth="1"/>
    <col min="3361" max="3361" width="11.6328125" style="224" bestFit="1" customWidth="1"/>
    <col min="3362" max="3362" width="15.26953125" style="224" bestFit="1" customWidth="1"/>
    <col min="3363" max="3363" width="13.1796875" style="224" bestFit="1" customWidth="1"/>
    <col min="3364" max="3364" width="15.26953125" style="224" bestFit="1" customWidth="1"/>
    <col min="3365" max="3365" width="12.7265625" style="224" bestFit="1" customWidth="1"/>
    <col min="3366" max="3366" width="15" style="224" bestFit="1" customWidth="1"/>
    <col min="3367" max="3367" width="12.90625" style="224" bestFit="1" customWidth="1"/>
    <col min="3368" max="3368" width="15" style="224" bestFit="1" customWidth="1"/>
    <col min="3369" max="3369" width="13.1796875" style="224" bestFit="1" customWidth="1"/>
    <col min="3370" max="3370" width="15" style="224" bestFit="1" customWidth="1"/>
    <col min="3371" max="3371" width="12.7265625" style="224" bestFit="1" customWidth="1"/>
    <col min="3372" max="3597" width="9.1796875" style="224"/>
    <col min="3598" max="3598" width="2.1796875" style="224" customWidth="1"/>
    <col min="3599" max="3599" width="1" style="224" customWidth="1"/>
    <col min="3600" max="3600" width="28" style="224" customWidth="1"/>
    <col min="3601" max="3601" width="5.453125" style="224" bestFit="1" customWidth="1"/>
    <col min="3602" max="3602" width="6.54296875" style="224" bestFit="1" customWidth="1"/>
    <col min="3603" max="3603" width="16.54296875" style="224" customWidth="1"/>
    <col min="3604" max="3604" width="13.453125" style="224" bestFit="1" customWidth="1"/>
    <col min="3605" max="3605" width="6.54296875" style="224" customWidth="1"/>
    <col min="3606" max="3606" width="15" style="224" customWidth="1"/>
    <col min="3607" max="3607" width="12" style="224" bestFit="1" customWidth="1"/>
    <col min="3608" max="3608" width="15.26953125" style="224" bestFit="1" customWidth="1"/>
    <col min="3609" max="3610" width="15" style="224" bestFit="1" customWidth="1"/>
    <col min="3611" max="3611" width="12" style="224" bestFit="1" customWidth="1"/>
    <col min="3612" max="3612" width="15.26953125" style="224" bestFit="1" customWidth="1"/>
    <col min="3613" max="3613" width="12" style="224" bestFit="1" customWidth="1"/>
    <col min="3614" max="3614" width="15.26953125" style="224" bestFit="1" customWidth="1"/>
    <col min="3615" max="3615" width="12" style="224" bestFit="1" customWidth="1"/>
    <col min="3616" max="3616" width="15" style="224" bestFit="1" customWidth="1"/>
    <col min="3617" max="3617" width="11.6328125" style="224" bestFit="1" customWidth="1"/>
    <col min="3618" max="3618" width="15.26953125" style="224" bestFit="1" customWidth="1"/>
    <col min="3619" max="3619" width="13.1796875" style="224" bestFit="1" customWidth="1"/>
    <col min="3620" max="3620" width="15.26953125" style="224" bestFit="1" customWidth="1"/>
    <col min="3621" max="3621" width="12.7265625" style="224" bestFit="1" customWidth="1"/>
    <col min="3622" max="3622" width="15" style="224" bestFit="1" customWidth="1"/>
    <col min="3623" max="3623" width="12.90625" style="224" bestFit="1" customWidth="1"/>
    <col min="3624" max="3624" width="15" style="224" bestFit="1" customWidth="1"/>
    <col min="3625" max="3625" width="13.1796875" style="224" bestFit="1" customWidth="1"/>
    <col min="3626" max="3626" width="15" style="224" bestFit="1" customWidth="1"/>
    <col min="3627" max="3627" width="12.7265625" style="224" bestFit="1" customWidth="1"/>
    <col min="3628" max="3853" width="9.1796875" style="224"/>
    <col min="3854" max="3854" width="2.1796875" style="224" customWidth="1"/>
    <col min="3855" max="3855" width="1" style="224" customWidth="1"/>
    <col min="3856" max="3856" width="28" style="224" customWidth="1"/>
    <col min="3857" max="3857" width="5.453125" style="224" bestFit="1" customWidth="1"/>
    <col min="3858" max="3858" width="6.54296875" style="224" bestFit="1" customWidth="1"/>
    <col min="3859" max="3859" width="16.54296875" style="224" customWidth="1"/>
    <col min="3860" max="3860" width="13.453125" style="224" bestFit="1" customWidth="1"/>
    <col min="3861" max="3861" width="6.54296875" style="224" customWidth="1"/>
    <col min="3862" max="3862" width="15" style="224" customWidth="1"/>
    <col min="3863" max="3863" width="12" style="224" bestFit="1" customWidth="1"/>
    <col min="3864" max="3864" width="15.26953125" style="224" bestFit="1" customWidth="1"/>
    <col min="3865" max="3866" width="15" style="224" bestFit="1" customWidth="1"/>
    <col min="3867" max="3867" width="12" style="224" bestFit="1" customWidth="1"/>
    <col min="3868" max="3868" width="15.26953125" style="224" bestFit="1" customWidth="1"/>
    <col min="3869" max="3869" width="12" style="224" bestFit="1" customWidth="1"/>
    <col min="3870" max="3870" width="15.26953125" style="224" bestFit="1" customWidth="1"/>
    <col min="3871" max="3871" width="12" style="224" bestFit="1" customWidth="1"/>
    <col min="3872" max="3872" width="15" style="224" bestFit="1" customWidth="1"/>
    <col min="3873" max="3873" width="11.6328125" style="224" bestFit="1" customWidth="1"/>
    <col min="3874" max="3874" width="15.26953125" style="224" bestFit="1" customWidth="1"/>
    <col min="3875" max="3875" width="13.1796875" style="224" bestFit="1" customWidth="1"/>
    <col min="3876" max="3876" width="15.26953125" style="224" bestFit="1" customWidth="1"/>
    <col min="3877" max="3877" width="12.7265625" style="224" bestFit="1" customWidth="1"/>
    <col min="3878" max="3878" width="15" style="224" bestFit="1" customWidth="1"/>
    <col min="3879" max="3879" width="12.90625" style="224" bestFit="1" customWidth="1"/>
    <col min="3880" max="3880" width="15" style="224" bestFit="1" customWidth="1"/>
    <col min="3881" max="3881" width="13.1796875" style="224" bestFit="1" customWidth="1"/>
    <col min="3882" max="3882" width="15" style="224" bestFit="1" customWidth="1"/>
    <col min="3883" max="3883" width="12.7265625" style="224" bestFit="1" customWidth="1"/>
    <col min="3884" max="4109" width="9.1796875" style="224"/>
    <col min="4110" max="4110" width="2.1796875" style="224" customWidth="1"/>
    <col min="4111" max="4111" width="1" style="224" customWidth="1"/>
    <col min="4112" max="4112" width="28" style="224" customWidth="1"/>
    <col min="4113" max="4113" width="5.453125" style="224" bestFit="1" customWidth="1"/>
    <col min="4114" max="4114" width="6.54296875" style="224" bestFit="1" customWidth="1"/>
    <col min="4115" max="4115" width="16.54296875" style="224" customWidth="1"/>
    <col min="4116" max="4116" width="13.453125" style="224" bestFit="1" customWidth="1"/>
    <col min="4117" max="4117" width="6.54296875" style="224" customWidth="1"/>
    <col min="4118" max="4118" width="15" style="224" customWidth="1"/>
    <col min="4119" max="4119" width="12" style="224" bestFit="1" customWidth="1"/>
    <col min="4120" max="4120" width="15.26953125" style="224" bestFit="1" customWidth="1"/>
    <col min="4121" max="4122" width="15" style="224" bestFit="1" customWidth="1"/>
    <col min="4123" max="4123" width="12" style="224" bestFit="1" customWidth="1"/>
    <col min="4124" max="4124" width="15.26953125" style="224" bestFit="1" customWidth="1"/>
    <col min="4125" max="4125" width="12" style="224" bestFit="1" customWidth="1"/>
    <col min="4126" max="4126" width="15.26953125" style="224" bestFit="1" customWidth="1"/>
    <col min="4127" max="4127" width="12" style="224" bestFit="1" customWidth="1"/>
    <col min="4128" max="4128" width="15" style="224" bestFit="1" customWidth="1"/>
    <col min="4129" max="4129" width="11.6328125" style="224" bestFit="1" customWidth="1"/>
    <col min="4130" max="4130" width="15.26953125" style="224" bestFit="1" customWidth="1"/>
    <col min="4131" max="4131" width="13.1796875" style="224" bestFit="1" customWidth="1"/>
    <col min="4132" max="4132" width="15.26953125" style="224" bestFit="1" customWidth="1"/>
    <col min="4133" max="4133" width="12.7265625" style="224" bestFit="1" customWidth="1"/>
    <col min="4134" max="4134" width="15" style="224" bestFit="1" customWidth="1"/>
    <col min="4135" max="4135" width="12.90625" style="224" bestFit="1" customWidth="1"/>
    <col min="4136" max="4136" width="15" style="224" bestFit="1" customWidth="1"/>
    <col min="4137" max="4137" width="13.1796875" style="224" bestFit="1" customWidth="1"/>
    <col min="4138" max="4138" width="15" style="224" bestFit="1" customWidth="1"/>
    <col min="4139" max="4139" width="12.7265625" style="224" bestFit="1" customWidth="1"/>
    <col min="4140" max="4365" width="9.1796875" style="224"/>
    <col min="4366" max="4366" width="2.1796875" style="224" customWidth="1"/>
    <col min="4367" max="4367" width="1" style="224" customWidth="1"/>
    <col min="4368" max="4368" width="28" style="224" customWidth="1"/>
    <col min="4369" max="4369" width="5.453125" style="224" bestFit="1" customWidth="1"/>
    <col min="4370" max="4370" width="6.54296875" style="224" bestFit="1" customWidth="1"/>
    <col min="4371" max="4371" width="16.54296875" style="224" customWidth="1"/>
    <col min="4372" max="4372" width="13.453125" style="224" bestFit="1" customWidth="1"/>
    <col min="4373" max="4373" width="6.54296875" style="224" customWidth="1"/>
    <col min="4374" max="4374" width="15" style="224" customWidth="1"/>
    <col min="4375" max="4375" width="12" style="224" bestFit="1" customWidth="1"/>
    <col min="4376" max="4376" width="15.26953125" style="224" bestFit="1" customWidth="1"/>
    <col min="4377" max="4378" width="15" style="224" bestFit="1" customWidth="1"/>
    <col min="4379" max="4379" width="12" style="224" bestFit="1" customWidth="1"/>
    <col min="4380" max="4380" width="15.26953125" style="224" bestFit="1" customWidth="1"/>
    <col min="4381" max="4381" width="12" style="224" bestFit="1" customWidth="1"/>
    <col min="4382" max="4382" width="15.26953125" style="224" bestFit="1" customWidth="1"/>
    <col min="4383" max="4383" width="12" style="224" bestFit="1" customWidth="1"/>
    <col min="4384" max="4384" width="15" style="224" bestFit="1" customWidth="1"/>
    <col min="4385" max="4385" width="11.6328125" style="224" bestFit="1" customWidth="1"/>
    <col min="4386" max="4386" width="15.26953125" style="224" bestFit="1" customWidth="1"/>
    <col min="4387" max="4387" width="13.1796875" style="224" bestFit="1" customWidth="1"/>
    <col min="4388" max="4388" width="15.26953125" style="224" bestFit="1" customWidth="1"/>
    <col min="4389" max="4389" width="12.7265625" style="224" bestFit="1" customWidth="1"/>
    <col min="4390" max="4390" width="15" style="224" bestFit="1" customWidth="1"/>
    <col min="4391" max="4391" width="12.90625" style="224" bestFit="1" customWidth="1"/>
    <col min="4392" max="4392" width="15" style="224" bestFit="1" customWidth="1"/>
    <col min="4393" max="4393" width="13.1796875" style="224" bestFit="1" customWidth="1"/>
    <col min="4394" max="4394" width="15" style="224" bestFit="1" customWidth="1"/>
    <col min="4395" max="4395" width="12.7265625" style="224" bestFit="1" customWidth="1"/>
    <col min="4396" max="4621" width="9.1796875" style="224"/>
    <col min="4622" max="4622" width="2.1796875" style="224" customWidth="1"/>
    <col min="4623" max="4623" width="1" style="224" customWidth="1"/>
    <col min="4624" max="4624" width="28" style="224" customWidth="1"/>
    <col min="4625" max="4625" width="5.453125" style="224" bestFit="1" customWidth="1"/>
    <col min="4626" max="4626" width="6.54296875" style="224" bestFit="1" customWidth="1"/>
    <col min="4627" max="4627" width="16.54296875" style="224" customWidth="1"/>
    <col min="4628" max="4628" width="13.453125" style="224" bestFit="1" customWidth="1"/>
    <col min="4629" max="4629" width="6.54296875" style="224" customWidth="1"/>
    <col min="4630" max="4630" width="15" style="224" customWidth="1"/>
    <col min="4631" max="4631" width="12" style="224" bestFit="1" customWidth="1"/>
    <col min="4632" max="4632" width="15.26953125" style="224" bestFit="1" customWidth="1"/>
    <col min="4633" max="4634" width="15" style="224" bestFit="1" customWidth="1"/>
    <col min="4635" max="4635" width="12" style="224" bestFit="1" customWidth="1"/>
    <col min="4636" max="4636" width="15.26953125" style="224" bestFit="1" customWidth="1"/>
    <col min="4637" max="4637" width="12" style="224" bestFit="1" customWidth="1"/>
    <col min="4638" max="4638" width="15.26953125" style="224" bestFit="1" customWidth="1"/>
    <col min="4639" max="4639" width="12" style="224" bestFit="1" customWidth="1"/>
    <col min="4640" max="4640" width="15" style="224" bestFit="1" customWidth="1"/>
    <col min="4641" max="4641" width="11.6328125" style="224" bestFit="1" customWidth="1"/>
    <col min="4642" max="4642" width="15.26953125" style="224" bestFit="1" customWidth="1"/>
    <col min="4643" max="4643" width="13.1796875" style="224" bestFit="1" customWidth="1"/>
    <col min="4644" max="4644" width="15.26953125" style="224" bestFit="1" customWidth="1"/>
    <col min="4645" max="4645" width="12.7265625" style="224" bestFit="1" customWidth="1"/>
    <col min="4646" max="4646" width="15" style="224" bestFit="1" customWidth="1"/>
    <col min="4647" max="4647" width="12.90625" style="224" bestFit="1" customWidth="1"/>
    <col min="4648" max="4648" width="15" style="224" bestFit="1" customWidth="1"/>
    <col min="4649" max="4649" width="13.1796875" style="224" bestFit="1" customWidth="1"/>
    <col min="4650" max="4650" width="15" style="224" bestFit="1" customWidth="1"/>
    <col min="4651" max="4651" width="12.7265625" style="224" bestFit="1" customWidth="1"/>
    <col min="4652" max="4877" width="9.1796875" style="224"/>
    <col min="4878" max="4878" width="2.1796875" style="224" customWidth="1"/>
    <col min="4879" max="4879" width="1" style="224" customWidth="1"/>
    <col min="4880" max="4880" width="28" style="224" customWidth="1"/>
    <col min="4881" max="4881" width="5.453125" style="224" bestFit="1" customWidth="1"/>
    <col min="4882" max="4882" width="6.54296875" style="224" bestFit="1" customWidth="1"/>
    <col min="4883" max="4883" width="16.54296875" style="224" customWidth="1"/>
    <col min="4884" max="4884" width="13.453125" style="224" bestFit="1" customWidth="1"/>
    <col min="4885" max="4885" width="6.54296875" style="224" customWidth="1"/>
    <col min="4886" max="4886" width="15" style="224" customWidth="1"/>
    <col min="4887" max="4887" width="12" style="224" bestFit="1" customWidth="1"/>
    <col min="4888" max="4888" width="15.26953125" style="224" bestFit="1" customWidth="1"/>
    <col min="4889" max="4890" width="15" style="224" bestFit="1" customWidth="1"/>
    <col min="4891" max="4891" width="12" style="224" bestFit="1" customWidth="1"/>
    <col min="4892" max="4892" width="15.26953125" style="224" bestFit="1" customWidth="1"/>
    <col min="4893" max="4893" width="12" style="224" bestFit="1" customWidth="1"/>
    <col min="4894" max="4894" width="15.26953125" style="224" bestFit="1" customWidth="1"/>
    <col min="4895" max="4895" width="12" style="224" bestFit="1" customWidth="1"/>
    <col min="4896" max="4896" width="15" style="224" bestFit="1" customWidth="1"/>
    <col min="4897" max="4897" width="11.6328125" style="224" bestFit="1" customWidth="1"/>
    <col min="4898" max="4898" width="15.26953125" style="224" bestFit="1" customWidth="1"/>
    <col min="4899" max="4899" width="13.1796875" style="224" bestFit="1" customWidth="1"/>
    <col min="4900" max="4900" width="15.26953125" style="224" bestFit="1" customWidth="1"/>
    <col min="4901" max="4901" width="12.7265625" style="224" bestFit="1" customWidth="1"/>
    <col min="4902" max="4902" width="15" style="224" bestFit="1" customWidth="1"/>
    <col min="4903" max="4903" width="12.90625" style="224" bestFit="1" customWidth="1"/>
    <col min="4904" max="4904" width="15" style="224" bestFit="1" customWidth="1"/>
    <col min="4905" max="4905" width="13.1796875" style="224" bestFit="1" customWidth="1"/>
    <col min="4906" max="4906" width="15" style="224" bestFit="1" customWidth="1"/>
    <col min="4907" max="4907" width="12.7265625" style="224" bestFit="1" customWidth="1"/>
    <col min="4908" max="5133" width="9.1796875" style="224"/>
    <col min="5134" max="5134" width="2.1796875" style="224" customWidth="1"/>
    <col min="5135" max="5135" width="1" style="224" customWidth="1"/>
    <col min="5136" max="5136" width="28" style="224" customWidth="1"/>
    <col min="5137" max="5137" width="5.453125" style="224" bestFit="1" customWidth="1"/>
    <col min="5138" max="5138" width="6.54296875" style="224" bestFit="1" customWidth="1"/>
    <col min="5139" max="5139" width="16.54296875" style="224" customWidth="1"/>
    <col min="5140" max="5140" width="13.453125" style="224" bestFit="1" customWidth="1"/>
    <col min="5141" max="5141" width="6.54296875" style="224" customWidth="1"/>
    <col min="5142" max="5142" width="15" style="224" customWidth="1"/>
    <col min="5143" max="5143" width="12" style="224" bestFit="1" customWidth="1"/>
    <col min="5144" max="5144" width="15.26953125" style="224" bestFit="1" customWidth="1"/>
    <col min="5145" max="5146" width="15" style="224" bestFit="1" customWidth="1"/>
    <col min="5147" max="5147" width="12" style="224" bestFit="1" customWidth="1"/>
    <col min="5148" max="5148" width="15.26953125" style="224" bestFit="1" customWidth="1"/>
    <col min="5149" max="5149" width="12" style="224" bestFit="1" customWidth="1"/>
    <col min="5150" max="5150" width="15.26953125" style="224" bestFit="1" customWidth="1"/>
    <col min="5151" max="5151" width="12" style="224" bestFit="1" customWidth="1"/>
    <col min="5152" max="5152" width="15" style="224" bestFit="1" customWidth="1"/>
    <col min="5153" max="5153" width="11.6328125" style="224" bestFit="1" customWidth="1"/>
    <col min="5154" max="5154" width="15.26953125" style="224" bestFit="1" customWidth="1"/>
    <col min="5155" max="5155" width="13.1796875" style="224" bestFit="1" customWidth="1"/>
    <col min="5156" max="5156" width="15.26953125" style="224" bestFit="1" customWidth="1"/>
    <col min="5157" max="5157" width="12.7265625" style="224" bestFit="1" customWidth="1"/>
    <col min="5158" max="5158" width="15" style="224" bestFit="1" customWidth="1"/>
    <col min="5159" max="5159" width="12.90625" style="224" bestFit="1" customWidth="1"/>
    <col min="5160" max="5160" width="15" style="224" bestFit="1" customWidth="1"/>
    <col min="5161" max="5161" width="13.1796875" style="224" bestFit="1" customWidth="1"/>
    <col min="5162" max="5162" width="15" style="224" bestFit="1" customWidth="1"/>
    <col min="5163" max="5163" width="12.7265625" style="224" bestFit="1" customWidth="1"/>
    <col min="5164" max="5389" width="9.1796875" style="224"/>
    <col min="5390" max="5390" width="2.1796875" style="224" customWidth="1"/>
    <col min="5391" max="5391" width="1" style="224" customWidth="1"/>
    <col min="5392" max="5392" width="28" style="224" customWidth="1"/>
    <col min="5393" max="5393" width="5.453125" style="224" bestFit="1" customWidth="1"/>
    <col min="5394" max="5394" width="6.54296875" style="224" bestFit="1" customWidth="1"/>
    <col min="5395" max="5395" width="16.54296875" style="224" customWidth="1"/>
    <col min="5396" max="5396" width="13.453125" style="224" bestFit="1" customWidth="1"/>
    <col min="5397" max="5397" width="6.54296875" style="224" customWidth="1"/>
    <col min="5398" max="5398" width="15" style="224" customWidth="1"/>
    <col min="5399" max="5399" width="12" style="224" bestFit="1" customWidth="1"/>
    <col min="5400" max="5400" width="15.26953125" style="224" bestFit="1" customWidth="1"/>
    <col min="5401" max="5402" width="15" style="224" bestFit="1" customWidth="1"/>
    <col min="5403" max="5403" width="12" style="224" bestFit="1" customWidth="1"/>
    <col min="5404" max="5404" width="15.26953125" style="224" bestFit="1" customWidth="1"/>
    <col min="5405" max="5405" width="12" style="224" bestFit="1" customWidth="1"/>
    <col min="5406" max="5406" width="15.26953125" style="224" bestFit="1" customWidth="1"/>
    <col min="5407" max="5407" width="12" style="224" bestFit="1" customWidth="1"/>
    <col min="5408" max="5408" width="15" style="224" bestFit="1" customWidth="1"/>
    <col min="5409" max="5409" width="11.6328125" style="224" bestFit="1" customWidth="1"/>
    <col min="5410" max="5410" width="15.26953125" style="224" bestFit="1" customWidth="1"/>
    <col min="5411" max="5411" width="13.1796875" style="224" bestFit="1" customWidth="1"/>
    <col min="5412" max="5412" width="15.26953125" style="224" bestFit="1" customWidth="1"/>
    <col min="5413" max="5413" width="12.7265625" style="224" bestFit="1" customWidth="1"/>
    <col min="5414" max="5414" width="15" style="224" bestFit="1" customWidth="1"/>
    <col min="5415" max="5415" width="12.90625" style="224" bestFit="1" customWidth="1"/>
    <col min="5416" max="5416" width="15" style="224" bestFit="1" customWidth="1"/>
    <col min="5417" max="5417" width="13.1796875" style="224" bestFit="1" customWidth="1"/>
    <col min="5418" max="5418" width="15" style="224" bestFit="1" customWidth="1"/>
    <col min="5419" max="5419" width="12.7265625" style="224" bestFit="1" customWidth="1"/>
    <col min="5420" max="5645" width="9.1796875" style="224"/>
    <col min="5646" max="5646" width="2.1796875" style="224" customWidth="1"/>
    <col min="5647" max="5647" width="1" style="224" customWidth="1"/>
    <col min="5648" max="5648" width="28" style="224" customWidth="1"/>
    <col min="5649" max="5649" width="5.453125" style="224" bestFit="1" customWidth="1"/>
    <col min="5650" max="5650" width="6.54296875" style="224" bestFit="1" customWidth="1"/>
    <col min="5651" max="5651" width="16.54296875" style="224" customWidth="1"/>
    <col min="5652" max="5652" width="13.453125" style="224" bestFit="1" customWidth="1"/>
    <col min="5653" max="5653" width="6.54296875" style="224" customWidth="1"/>
    <col min="5654" max="5654" width="15" style="224" customWidth="1"/>
    <col min="5655" max="5655" width="12" style="224" bestFit="1" customWidth="1"/>
    <col min="5656" max="5656" width="15.26953125" style="224" bestFit="1" customWidth="1"/>
    <col min="5657" max="5658" width="15" style="224" bestFit="1" customWidth="1"/>
    <col min="5659" max="5659" width="12" style="224" bestFit="1" customWidth="1"/>
    <col min="5660" max="5660" width="15.26953125" style="224" bestFit="1" customWidth="1"/>
    <col min="5661" max="5661" width="12" style="224" bestFit="1" customWidth="1"/>
    <col min="5662" max="5662" width="15.26953125" style="224" bestFit="1" customWidth="1"/>
    <col min="5663" max="5663" width="12" style="224" bestFit="1" customWidth="1"/>
    <col min="5664" max="5664" width="15" style="224" bestFit="1" customWidth="1"/>
    <col min="5665" max="5665" width="11.6328125" style="224" bestFit="1" customWidth="1"/>
    <col min="5666" max="5666" width="15.26953125" style="224" bestFit="1" customWidth="1"/>
    <col min="5667" max="5667" width="13.1796875" style="224" bestFit="1" customWidth="1"/>
    <col min="5668" max="5668" width="15.26953125" style="224" bestFit="1" customWidth="1"/>
    <col min="5669" max="5669" width="12.7265625" style="224" bestFit="1" customWidth="1"/>
    <col min="5670" max="5670" width="15" style="224" bestFit="1" customWidth="1"/>
    <col min="5671" max="5671" width="12.90625" style="224" bestFit="1" customWidth="1"/>
    <col min="5672" max="5672" width="15" style="224" bestFit="1" customWidth="1"/>
    <col min="5673" max="5673" width="13.1796875" style="224" bestFit="1" customWidth="1"/>
    <col min="5674" max="5674" width="15" style="224" bestFit="1" customWidth="1"/>
    <col min="5675" max="5675" width="12.7265625" style="224" bestFit="1" customWidth="1"/>
    <col min="5676" max="5901" width="9.1796875" style="224"/>
    <col min="5902" max="5902" width="2.1796875" style="224" customWidth="1"/>
    <col min="5903" max="5903" width="1" style="224" customWidth="1"/>
    <col min="5904" max="5904" width="28" style="224" customWidth="1"/>
    <col min="5905" max="5905" width="5.453125" style="224" bestFit="1" customWidth="1"/>
    <col min="5906" max="5906" width="6.54296875" style="224" bestFit="1" customWidth="1"/>
    <col min="5907" max="5907" width="16.54296875" style="224" customWidth="1"/>
    <col min="5908" max="5908" width="13.453125" style="224" bestFit="1" customWidth="1"/>
    <col min="5909" max="5909" width="6.54296875" style="224" customWidth="1"/>
    <col min="5910" max="5910" width="15" style="224" customWidth="1"/>
    <col min="5911" max="5911" width="12" style="224" bestFit="1" customWidth="1"/>
    <col min="5912" max="5912" width="15.26953125" style="224" bestFit="1" customWidth="1"/>
    <col min="5913" max="5914" width="15" style="224" bestFit="1" customWidth="1"/>
    <col min="5915" max="5915" width="12" style="224" bestFit="1" customWidth="1"/>
    <col min="5916" max="5916" width="15.26953125" style="224" bestFit="1" customWidth="1"/>
    <col min="5917" max="5917" width="12" style="224" bestFit="1" customWidth="1"/>
    <col min="5918" max="5918" width="15.26953125" style="224" bestFit="1" customWidth="1"/>
    <col min="5919" max="5919" width="12" style="224" bestFit="1" customWidth="1"/>
    <col min="5920" max="5920" width="15" style="224" bestFit="1" customWidth="1"/>
    <col min="5921" max="5921" width="11.6328125" style="224" bestFit="1" customWidth="1"/>
    <col min="5922" max="5922" width="15.26953125" style="224" bestFit="1" customWidth="1"/>
    <col min="5923" max="5923" width="13.1796875" style="224" bestFit="1" customWidth="1"/>
    <col min="5924" max="5924" width="15.26953125" style="224" bestFit="1" customWidth="1"/>
    <col min="5925" max="5925" width="12.7265625" style="224" bestFit="1" customWidth="1"/>
    <col min="5926" max="5926" width="15" style="224" bestFit="1" customWidth="1"/>
    <col min="5927" max="5927" width="12.90625" style="224" bestFit="1" customWidth="1"/>
    <col min="5928" max="5928" width="15" style="224" bestFit="1" customWidth="1"/>
    <col min="5929" max="5929" width="13.1796875" style="224" bestFit="1" customWidth="1"/>
    <col min="5930" max="5930" width="15" style="224" bestFit="1" customWidth="1"/>
    <col min="5931" max="5931" width="12.7265625" style="224" bestFit="1" customWidth="1"/>
    <col min="5932" max="6157" width="9.1796875" style="224"/>
    <col min="6158" max="6158" width="2.1796875" style="224" customWidth="1"/>
    <col min="6159" max="6159" width="1" style="224" customWidth="1"/>
    <col min="6160" max="6160" width="28" style="224" customWidth="1"/>
    <col min="6161" max="6161" width="5.453125" style="224" bestFit="1" customWidth="1"/>
    <col min="6162" max="6162" width="6.54296875" style="224" bestFit="1" customWidth="1"/>
    <col min="6163" max="6163" width="16.54296875" style="224" customWidth="1"/>
    <col min="6164" max="6164" width="13.453125" style="224" bestFit="1" customWidth="1"/>
    <col min="6165" max="6165" width="6.54296875" style="224" customWidth="1"/>
    <col min="6166" max="6166" width="15" style="224" customWidth="1"/>
    <col min="6167" max="6167" width="12" style="224" bestFit="1" customWidth="1"/>
    <col min="6168" max="6168" width="15.26953125" style="224" bestFit="1" customWidth="1"/>
    <col min="6169" max="6170" width="15" style="224" bestFit="1" customWidth="1"/>
    <col min="6171" max="6171" width="12" style="224" bestFit="1" customWidth="1"/>
    <col min="6172" max="6172" width="15.26953125" style="224" bestFit="1" customWidth="1"/>
    <col min="6173" max="6173" width="12" style="224" bestFit="1" customWidth="1"/>
    <col min="6174" max="6174" width="15.26953125" style="224" bestFit="1" customWidth="1"/>
    <col min="6175" max="6175" width="12" style="224" bestFit="1" customWidth="1"/>
    <col min="6176" max="6176" width="15" style="224" bestFit="1" customWidth="1"/>
    <col min="6177" max="6177" width="11.6328125" style="224" bestFit="1" customWidth="1"/>
    <col min="6178" max="6178" width="15.26953125" style="224" bestFit="1" customWidth="1"/>
    <col min="6179" max="6179" width="13.1796875" style="224" bestFit="1" customWidth="1"/>
    <col min="6180" max="6180" width="15.26953125" style="224" bestFit="1" customWidth="1"/>
    <col min="6181" max="6181" width="12.7265625" style="224" bestFit="1" customWidth="1"/>
    <col min="6182" max="6182" width="15" style="224" bestFit="1" customWidth="1"/>
    <col min="6183" max="6183" width="12.90625" style="224" bestFit="1" customWidth="1"/>
    <col min="6184" max="6184" width="15" style="224" bestFit="1" customWidth="1"/>
    <col min="6185" max="6185" width="13.1796875" style="224" bestFit="1" customWidth="1"/>
    <col min="6186" max="6186" width="15" style="224" bestFit="1" customWidth="1"/>
    <col min="6187" max="6187" width="12.7265625" style="224" bestFit="1" customWidth="1"/>
    <col min="6188" max="6413" width="9.1796875" style="224"/>
    <col min="6414" max="6414" width="2.1796875" style="224" customWidth="1"/>
    <col min="6415" max="6415" width="1" style="224" customWidth="1"/>
    <col min="6416" max="6416" width="28" style="224" customWidth="1"/>
    <col min="6417" max="6417" width="5.453125" style="224" bestFit="1" customWidth="1"/>
    <col min="6418" max="6418" width="6.54296875" style="224" bestFit="1" customWidth="1"/>
    <col min="6419" max="6419" width="16.54296875" style="224" customWidth="1"/>
    <col min="6420" max="6420" width="13.453125" style="224" bestFit="1" customWidth="1"/>
    <col min="6421" max="6421" width="6.54296875" style="224" customWidth="1"/>
    <col min="6422" max="6422" width="15" style="224" customWidth="1"/>
    <col min="6423" max="6423" width="12" style="224" bestFit="1" customWidth="1"/>
    <col min="6424" max="6424" width="15.26953125" style="224" bestFit="1" customWidth="1"/>
    <col min="6425" max="6426" width="15" style="224" bestFit="1" customWidth="1"/>
    <col min="6427" max="6427" width="12" style="224" bestFit="1" customWidth="1"/>
    <col min="6428" max="6428" width="15.26953125" style="224" bestFit="1" customWidth="1"/>
    <col min="6429" max="6429" width="12" style="224" bestFit="1" customWidth="1"/>
    <col min="6430" max="6430" width="15.26953125" style="224" bestFit="1" customWidth="1"/>
    <col min="6431" max="6431" width="12" style="224" bestFit="1" customWidth="1"/>
    <col min="6432" max="6432" width="15" style="224" bestFit="1" customWidth="1"/>
    <col min="6433" max="6433" width="11.6328125" style="224" bestFit="1" customWidth="1"/>
    <col min="6434" max="6434" width="15.26953125" style="224" bestFit="1" customWidth="1"/>
    <col min="6435" max="6435" width="13.1796875" style="224" bestFit="1" customWidth="1"/>
    <col min="6436" max="6436" width="15.26953125" style="224" bestFit="1" customWidth="1"/>
    <col min="6437" max="6437" width="12.7265625" style="224" bestFit="1" customWidth="1"/>
    <col min="6438" max="6438" width="15" style="224" bestFit="1" customWidth="1"/>
    <col min="6439" max="6439" width="12.90625" style="224" bestFit="1" customWidth="1"/>
    <col min="6440" max="6440" width="15" style="224" bestFit="1" customWidth="1"/>
    <col min="6441" max="6441" width="13.1796875" style="224" bestFit="1" customWidth="1"/>
    <col min="6442" max="6442" width="15" style="224" bestFit="1" customWidth="1"/>
    <col min="6443" max="6443" width="12.7265625" style="224" bestFit="1" customWidth="1"/>
    <col min="6444" max="6669" width="9.1796875" style="224"/>
    <col min="6670" max="6670" width="2.1796875" style="224" customWidth="1"/>
    <col min="6671" max="6671" width="1" style="224" customWidth="1"/>
    <col min="6672" max="6672" width="28" style="224" customWidth="1"/>
    <col min="6673" max="6673" width="5.453125" style="224" bestFit="1" customWidth="1"/>
    <col min="6674" max="6674" width="6.54296875" style="224" bestFit="1" customWidth="1"/>
    <col min="6675" max="6675" width="16.54296875" style="224" customWidth="1"/>
    <col min="6676" max="6676" width="13.453125" style="224" bestFit="1" customWidth="1"/>
    <col min="6677" max="6677" width="6.54296875" style="224" customWidth="1"/>
    <col min="6678" max="6678" width="15" style="224" customWidth="1"/>
    <col min="6679" max="6679" width="12" style="224" bestFit="1" customWidth="1"/>
    <col min="6680" max="6680" width="15.26953125" style="224" bestFit="1" customWidth="1"/>
    <col min="6681" max="6682" width="15" style="224" bestFit="1" customWidth="1"/>
    <col min="6683" max="6683" width="12" style="224" bestFit="1" customWidth="1"/>
    <col min="6684" max="6684" width="15.26953125" style="224" bestFit="1" customWidth="1"/>
    <col min="6685" max="6685" width="12" style="224" bestFit="1" customWidth="1"/>
    <col min="6686" max="6686" width="15.26953125" style="224" bestFit="1" customWidth="1"/>
    <col min="6687" max="6687" width="12" style="224" bestFit="1" customWidth="1"/>
    <col min="6688" max="6688" width="15" style="224" bestFit="1" customWidth="1"/>
    <col min="6689" max="6689" width="11.6328125" style="224" bestFit="1" customWidth="1"/>
    <col min="6690" max="6690" width="15.26953125" style="224" bestFit="1" customWidth="1"/>
    <col min="6691" max="6691" width="13.1796875" style="224" bestFit="1" customWidth="1"/>
    <col min="6692" max="6692" width="15.26953125" style="224" bestFit="1" customWidth="1"/>
    <col min="6693" max="6693" width="12.7265625" style="224" bestFit="1" customWidth="1"/>
    <col min="6694" max="6694" width="15" style="224" bestFit="1" customWidth="1"/>
    <col min="6695" max="6695" width="12.90625" style="224" bestFit="1" customWidth="1"/>
    <col min="6696" max="6696" width="15" style="224" bestFit="1" customWidth="1"/>
    <col min="6697" max="6697" width="13.1796875" style="224" bestFit="1" customWidth="1"/>
    <col min="6698" max="6698" width="15" style="224" bestFit="1" customWidth="1"/>
    <col min="6699" max="6699" width="12.7265625" style="224" bestFit="1" customWidth="1"/>
    <col min="6700" max="6925" width="9.1796875" style="224"/>
    <col min="6926" max="6926" width="2.1796875" style="224" customWidth="1"/>
    <col min="6927" max="6927" width="1" style="224" customWidth="1"/>
    <col min="6928" max="6928" width="28" style="224" customWidth="1"/>
    <col min="6929" max="6929" width="5.453125" style="224" bestFit="1" customWidth="1"/>
    <col min="6930" max="6930" width="6.54296875" style="224" bestFit="1" customWidth="1"/>
    <col min="6931" max="6931" width="16.54296875" style="224" customWidth="1"/>
    <col min="6932" max="6932" width="13.453125" style="224" bestFit="1" customWidth="1"/>
    <col min="6933" max="6933" width="6.54296875" style="224" customWidth="1"/>
    <col min="6934" max="6934" width="15" style="224" customWidth="1"/>
    <col min="6935" max="6935" width="12" style="224" bestFit="1" customWidth="1"/>
    <col min="6936" max="6936" width="15.26953125" style="224" bestFit="1" customWidth="1"/>
    <col min="6937" max="6938" width="15" style="224" bestFit="1" customWidth="1"/>
    <col min="6939" max="6939" width="12" style="224" bestFit="1" customWidth="1"/>
    <col min="6940" max="6940" width="15.26953125" style="224" bestFit="1" customWidth="1"/>
    <col min="6941" max="6941" width="12" style="224" bestFit="1" customWidth="1"/>
    <col min="6942" max="6942" width="15.26953125" style="224" bestFit="1" customWidth="1"/>
    <col min="6943" max="6943" width="12" style="224" bestFit="1" customWidth="1"/>
    <col min="6944" max="6944" width="15" style="224" bestFit="1" customWidth="1"/>
    <col min="6945" max="6945" width="11.6328125" style="224" bestFit="1" customWidth="1"/>
    <col min="6946" max="6946" width="15.26953125" style="224" bestFit="1" customWidth="1"/>
    <col min="6947" max="6947" width="13.1796875" style="224" bestFit="1" customWidth="1"/>
    <col min="6948" max="6948" width="15.26953125" style="224" bestFit="1" customWidth="1"/>
    <col min="6949" max="6949" width="12.7265625" style="224" bestFit="1" customWidth="1"/>
    <col min="6950" max="6950" width="15" style="224" bestFit="1" customWidth="1"/>
    <col min="6951" max="6951" width="12.90625" style="224" bestFit="1" customWidth="1"/>
    <col min="6952" max="6952" width="15" style="224" bestFit="1" customWidth="1"/>
    <col min="6953" max="6953" width="13.1796875" style="224" bestFit="1" customWidth="1"/>
    <col min="6954" max="6954" width="15" style="224" bestFit="1" customWidth="1"/>
    <col min="6955" max="6955" width="12.7265625" style="224" bestFit="1" customWidth="1"/>
    <col min="6956" max="7181" width="9.1796875" style="224"/>
    <col min="7182" max="7182" width="2.1796875" style="224" customWidth="1"/>
    <col min="7183" max="7183" width="1" style="224" customWidth="1"/>
    <col min="7184" max="7184" width="28" style="224" customWidth="1"/>
    <col min="7185" max="7185" width="5.453125" style="224" bestFit="1" customWidth="1"/>
    <col min="7186" max="7186" width="6.54296875" style="224" bestFit="1" customWidth="1"/>
    <col min="7187" max="7187" width="16.54296875" style="224" customWidth="1"/>
    <col min="7188" max="7188" width="13.453125" style="224" bestFit="1" customWidth="1"/>
    <col min="7189" max="7189" width="6.54296875" style="224" customWidth="1"/>
    <col min="7190" max="7190" width="15" style="224" customWidth="1"/>
    <col min="7191" max="7191" width="12" style="224" bestFit="1" customWidth="1"/>
    <col min="7192" max="7192" width="15.26953125" style="224" bestFit="1" customWidth="1"/>
    <col min="7193" max="7194" width="15" style="224" bestFit="1" customWidth="1"/>
    <col min="7195" max="7195" width="12" style="224" bestFit="1" customWidth="1"/>
    <col min="7196" max="7196" width="15.26953125" style="224" bestFit="1" customWidth="1"/>
    <col min="7197" max="7197" width="12" style="224" bestFit="1" customWidth="1"/>
    <col min="7198" max="7198" width="15.26953125" style="224" bestFit="1" customWidth="1"/>
    <col min="7199" max="7199" width="12" style="224" bestFit="1" customWidth="1"/>
    <col min="7200" max="7200" width="15" style="224" bestFit="1" customWidth="1"/>
    <col min="7201" max="7201" width="11.6328125" style="224" bestFit="1" customWidth="1"/>
    <col min="7202" max="7202" width="15.26953125" style="224" bestFit="1" customWidth="1"/>
    <col min="7203" max="7203" width="13.1796875" style="224" bestFit="1" customWidth="1"/>
    <col min="7204" max="7204" width="15.26953125" style="224" bestFit="1" customWidth="1"/>
    <col min="7205" max="7205" width="12.7265625" style="224" bestFit="1" customWidth="1"/>
    <col min="7206" max="7206" width="15" style="224" bestFit="1" customWidth="1"/>
    <col min="7207" max="7207" width="12.90625" style="224" bestFit="1" customWidth="1"/>
    <col min="7208" max="7208" width="15" style="224" bestFit="1" customWidth="1"/>
    <col min="7209" max="7209" width="13.1796875" style="224" bestFit="1" customWidth="1"/>
    <col min="7210" max="7210" width="15" style="224" bestFit="1" customWidth="1"/>
    <col min="7211" max="7211" width="12.7265625" style="224" bestFit="1" customWidth="1"/>
    <col min="7212" max="7437" width="9.1796875" style="224"/>
    <col min="7438" max="7438" width="2.1796875" style="224" customWidth="1"/>
    <col min="7439" max="7439" width="1" style="224" customWidth="1"/>
    <col min="7440" max="7440" width="28" style="224" customWidth="1"/>
    <col min="7441" max="7441" width="5.453125" style="224" bestFit="1" customWidth="1"/>
    <col min="7442" max="7442" width="6.54296875" style="224" bestFit="1" customWidth="1"/>
    <col min="7443" max="7443" width="16.54296875" style="224" customWidth="1"/>
    <col min="7444" max="7444" width="13.453125" style="224" bestFit="1" customWidth="1"/>
    <col min="7445" max="7445" width="6.54296875" style="224" customWidth="1"/>
    <col min="7446" max="7446" width="15" style="224" customWidth="1"/>
    <col min="7447" max="7447" width="12" style="224" bestFit="1" customWidth="1"/>
    <col min="7448" max="7448" width="15.26953125" style="224" bestFit="1" customWidth="1"/>
    <col min="7449" max="7450" width="15" style="224" bestFit="1" customWidth="1"/>
    <col min="7451" max="7451" width="12" style="224" bestFit="1" customWidth="1"/>
    <col min="7452" max="7452" width="15.26953125" style="224" bestFit="1" customWidth="1"/>
    <col min="7453" max="7453" width="12" style="224" bestFit="1" customWidth="1"/>
    <col min="7454" max="7454" width="15.26953125" style="224" bestFit="1" customWidth="1"/>
    <col min="7455" max="7455" width="12" style="224" bestFit="1" customWidth="1"/>
    <col min="7456" max="7456" width="15" style="224" bestFit="1" customWidth="1"/>
    <col min="7457" max="7457" width="11.6328125" style="224" bestFit="1" customWidth="1"/>
    <col min="7458" max="7458" width="15.26953125" style="224" bestFit="1" customWidth="1"/>
    <col min="7459" max="7459" width="13.1796875" style="224" bestFit="1" customWidth="1"/>
    <col min="7460" max="7460" width="15.26953125" style="224" bestFit="1" customWidth="1"/>
    <col min="7461" max="7461" width="12.7265625" style="224" bestFit="1" customWidth="1"/>
    <col min="7462" max="7462" width="15" style="224" bestFit="1" customWidth="1"/>
    <col min="7463" max="7463" width="12.90625" style="224" bestFit="1" customWidth="1"/>
    <col min="7464" max="7464" width="15" style="224" bestFit="1" customWidth="1"/>
    <col min="7465" max="7465" width="13.1796875" style="224" bestFit="1" customWidth="1"/>
    <col min="7466" max="7466" width="15" style="224" bestFit="1" customWidth="1"/>
    <col min="7467" max="7467" width="12.7265625" style="224" bestFit="1" customWidth="1"/>
    <col min="7468" max="7693" width="9.1796875" style="224"/>
    <col min="7694" max="7694" width="2.1796875" style="224" customWidth="1"/>
    <col min="7695" max="7695" width="1" style="224" customWidth="1"/>
    <col min="7696" max="7696" width="28" style="224" customWidth="1"/>
    <col min="7697" max="7697" width="5.453125" style="224" bestFit="1" customWidth="1"/>
    <col min="7698" max="7698" width="6.54296875" style="224" bestFit="1" customWidth="1"/>
    <col min="7699" max="7699" width="16.54296875" style="224" customWidth="1"/>
    <col min="7700" max="7700" width="13.453125" style="224" bestFit="1" customWidth="1"/>
    <col min="7701" max="7701" width="6.54296875" style="224" customWidth="1"/>
    <col min="7702" max="7702" width="15" style="224" customWidth="1"/>
    <col min="7703" max="7703" width="12" style="224" bestFit="1" customWidth="1"/>
    <col min="7704" max="7704" width="15.26953125" style="224" bestFit="1" customWidth="1"/>
    <col min="7705" max="7706" width="15" style="224" bestFit="1" customWidth="1"/>
    <col min="7707" max="7707" width="12" style="224" bestFit="1" customWidth="1"/>
    <col min="7708" max="7708" width="15.26953125" style="224" bestFit="1" customWidth="1"/>
    <col min="7709" max="7709" width="12" style="224" bestFit="1" customWidth="1"/>
    <col min="7710" max="7710" width="15.26953125" style="224" bestFit="1" customWidth="1"/>
    <col min="7711" max="7711" width="12" style="224" bestFit="1" customWidth="1"/>
    <col min="7712" max="7712" width="15" style="224" bestFit="1" customWidth="1"/>
    <col min="7713" max="7713" width="11.6328125" style="224" bestFit="1" customWidth="1"/>
    <col min="7714" max="7714" width="15.26953125" style="224" bestFit="1" customWidth="1"/>
    <col min="7715" max="7715" width="13.1796875" style="224" bestFit="1" customWidth="1"/>
    <col min="7716" max="7716" width="15.26953125" style="224" bestFit="1" customWidth="1"/>
    <col min="7717" max="7717" width="12.7265625" style="224" bestFit="1" customWidth="1"/>
    <col min="7718" max="7718" width="15" style="224" bestFit="1" customWidth="1"/>
    <col min="7719" max="7719" width="12.90625" style="224" bestFit="1" customWidth="1"/>
    <col min="7720" max="7720" width="15" style="224" bestFit="1" customWidth="1"/>
    <col min="7721" max="7721" width="13.1796875" style="224" bestFit="1" customWidth="1"/>
    <col min="7722" max="7722" width="15" style="224" bestFit="1" customWidth="1"/>
    <col min="7723" max="7723" width="12.7265625" style="224" bestFit="1" customWidth="1"/>
    <col min="7724" max="7949" width="9.1796875" style="224"/>
    <col min="7950" max="7950" width="2.1796875" style="224" customWidth="1"/>
    <col min="7951" max="7951" width="1" style="224" customWidth="1"/>
    <col min="7952" max="7952" width="28" style="224" customWidth="1"/>
    <col min="7953" max="7953" width="5.453125" style="224" bestFit="1" customWidth="1"/>
    <col min="7954" max="7954" width="6.54296875" style="224" bestFit="1" customWidth="1"/>
    <col min="7955" max="7955" width="16.54296875" style="224" customWidth="1"/>
    <col min="7956" max="7956" width="13.453125" style="224" bestFit="1" customWidth="1"/>
    <col min="7957" max="7957" width="6.54296875" style="224" customWidth="1"/>
    <col min="7958" max="7958" width="15" style="224" customWidth="1"/>
    <col min="7959" max="7959" width="12" style="224" bestFit="1" customWidth="1"/>
    <col min="7960" max="7960" width="15.26953125" style="224" bestFit="1" customWidth="1"/>
    <col min="7961" max="7962" width="15" style="224" bestFit="1" customWidth="1"/>
    <col min="7963" max="7963" width="12" style="224" bestFit="1" customWidth="1"/>
    <col min="7964" max="7964" width="15.26953125" style="224" bestFit="1" customWidth="1"/>
    <col min="7965" max="7965" width="12" style="224" bestFit="1" customWidth="1"/>
    <col min="7966" max="7966" width="15.26953125" style="224" bestFit="1" customWidth="1"/>
    <col min="7967" max="7967" width="12" style="224" bestFit="1" customWidth="1"/>
    <col min="7968" max="7968" width="15" style="224" bestFit="1" customWidth="1"/>
    <col min="7969" max="7969" width="11.6328125" style="224" bestFit="1" customWidth="1"/>
    <col min="7970" max="7970" width="15.26953125" style="224" bestFit="1" customWidth="1"/>
    <col min="7971" max="7971" width="13.1796875" style="224" bestFit="1" customWidth="1"/>
    <col min="7972" max="7972" width="15.26953125" style="224" bestFit="1" customWidth="1"/>
    <col min="7973" max="7973" width="12.7265625" style="224" bestFit="1" customWidth="1"/>
    <col min="7974" max="7974" width="15" style="224" bestFit="1" customWidth="1"/>
    <col min="7975" max="7975" width="12.90625" style="224" bestFit="1" customWidth="1"/>
    <col min="7976" max="7976" width="15" style="224" bestFit="1" customWidth="1"/>
    <col min="7977" max="7977" width="13.1796875" style="224" bestFit="1" customWidth="1"/>
    <col min="7978" max="7978" width="15" style="224" bestFit="1" customWidth="1"/>
    <col min="7979" max="7979" width="12.7265625" style="224" bestFit="1" customWidth="1"/>
    <col min="7980" max="8205" width="9.1796875" style="224"/>
    <col min="8206" max="8206" width="2.1796875" style="224" customWidth="1"/>
    <col min="8207" max="8207" width="1" style="224" customWidth="1"/>
    <col min="8208" max="8208" width="28" style="224" customWidth="1"/>
    <col min="8209" max="8209" width="5.453125" style="224" bestFit="1" customWidth="1"/>
    <col min="8210" max="8210" width="6.54296875" style="224" bestFit="1" customWidth="1"/>
    <col min="8211" max="8211" width="16.54296875" style="224" customWidth="1"/>
    <col min="8212" max="8212" width="13.453125" style="224" bestFit="1" customWidth="1"/>
    <col min="8213" max="8213" width="6.54296875" style="224" customWidth="1"/>
    <col min="8214" max="8214" width="15" style="224" customWidth="1"/>
    <col min="8215" max="8215" width="12" style="224" bestFit="1" customWidth="1"/>
    <col min="8216" max="8216" width="15.26953125" style="224" bestFit="1" customWidth="1"/>
    <col min="8217" max="8218" width="15" style="224" bestFit="1" customWidth="1"/>
    <col min="8219" max="8219" width="12" style="224" bestFit="1" customWidth="1"/>
    <col min="8220" max="8220" width="15.26953125" style="224" bestFit="1" customWidth="1"/>
    <col min="8221" max="8221" width="12" style="224" bestFit="1" customWidth="1"/>
    <col min="8222" max="8222" width="15.26953125" style="224" bestFit="1" customWidth="1"/>
    <col min="8223" max="8223" width="12" style="224" bestFit="1" customWidth="1"/>
    <col min="8224" max="8224" width="15" style="224" bestFit="1" customWidth="1"/>
    <col min="8225" max="8225" width="11.6328125" style="224" bestFit="1" customWidth="1"/>
    <col min="8226" max="8226" width="15.26953125" style="224" bestFit="1" customWidth="1"/>
    <col min="8227" max="8227" width="13.1796875" style="224" bestFit="1" customWidth="1"/>
    <col min="8228" max="8228" width="15.26953125" style="224" bestFit="1" customWidth="1"/>
    <col min="8229" max="8229" width="12.7265625" style="224" bestFit="1" customWidth="1"/>
    <col min="8230" max="8230" width="15" style="224" bestFit="1" customWidth="1"/>
    <col min="8231" max="8231" width="12.90625" style="224" bestFit="1" customWidth="1"/>
    <col min="8232" max="8232" width="15" style="224" bestFit="1" customWidth="1"/>
    <col min="8233" max="8233" width="13.1796875" style="224" bestFit="1" customWidth="1"/>
    <col min="8234" max="8234" width="15" style="224" bestFit="1" customWidth="1"/>
    <col min="8235" max="8235" width="12.7265625" style="224" bestFit="1" customWidth="1"/>
    <col min="8236" max="8461" width="9.1796875" style="224"/>
    <col min="8462" max="8462" width="2.1796875" style="224" customWidth="1"/>
    <col min="8463" max="8463" width="1" style="224" customWidth="1"/>
    <col min="8464" max="8464" width="28" style="224" customWidth="1"/>
    <col min="8465" max="8465" width="5.453125" style="224" bestFit="1" customWidth="1"/>
    <col min="8466" max="8466" width="6.54296875" style="224" bestFit="1" customWidth="1"/>
    <col min="8467" max="8467" width="16.54296875" style="224" customWidth="1"/>
    <col min="8468" max="8468" width="13.453125" style="224" bestFit="1" customWidth="1"/>
    <col min="8469" max="8469" width="6.54296875" style="224" customWidth="1"/>
    <col min="8470" max="8470" width="15" style="224" customWidth="1"/>
    <col min="8471" max="8471" width="12" style="224" bestFit="1" customWidth="1"/>
    <col min="8472" max="8472" width="15.26953125" style="224" bestFit="1" customWidth="1"/>
    <col min="8473" max="8474" width="15" style="224" bestFit="1" customWidth="1"/>
    <col min="8475" max="8475" width="12" style="224" bestFit="1" customWidth="1"/>
    <col min="8476" max="8476" width="15.26953125" style="224" bestFit="1" customWidth="1"/>
    <col min="8477" max="8477" width="12" style="224" bestFit="1" customWidth="1"/>
    <col min="8478" max="8478" width="15.26953125" style="224" bestFit="1" customWidth="1"/>
    <col min="8479" max="8479" width="12" style="224" bestFit="1" customWidth="1"/>
    <col min="8480" max="8480" width="15" style="224" bestFit="1" customWidth="1"/>
    <col min="8481" max="8481" width="11.6328125" style="224" bestFit="1" customWidth="1"/>
    <col min="8482" max="8482" width="15.26953125" style="224" bestFit="1" customWidth="1"/>
    <col min="8483" max="8483" width="13.1796875" style="224" bestFit="1" customWidth="1"/>
    <col min="8484" max="8484" width="15.26953125" style="224" bestFit="1" customWidth="1"/>
    <col min="8485" max="8485" width="12.7265625" style="224" bestFit="1" customWidth="1"/>
    <col min="8486" max="8486" width="15" style="224" bestFit="1" customWidth="1"/>
    <col min="8487" max="8487" width="12.90625" style="224" bestFit="1" customWidth="1"/>
    <col min="8488" max="8488" width="15" style="224" bestFit="1" customWidth="1"/>
    <col min="8489" max="8489" width="13.1796875" style="224" bestFit="1" customWidth="1"/>
    <col min="8490" max="8490" width="15" style="224" bestFit="1" customWidth="1"/>
    <col min="8491" max="8491" width="12.7265625" style="224" bestFit="1" customWidth="1"/>
    <col min="8492" max="8717" width="9.1796875" style="224"/>
    <col min="8718" max="8718" width="2.1796875" style="224" customWidth="1"/>
    <col min="8719" max="8719" width="1" style="224" customWidth="1"/>
    <col min="8720" max="8720" width="28" style="224" customWidth="1"/>
    <col min="8721" max="8721" width="5.453125" style="224" bestFit="1" customWidth="1"/>
    <col min="8722" max="8722" width="6.54296875" style="224" bestFit="1" customWidth="1"/>
    <col min="8723" max="8723" width="16.54296875" style="224" customWidth="1"/>
    <col min="8724" max="8724" width="13.453125" style="224" bestFit="1" customWidth="1"/>
    <col min="8725" max="8725" width="6.54296875" style="224" customWidth="1"/>
    <col min="8726" max="8726" width="15" style="224" customWidth="1"/>
    <col min="8727" max="8727" width="12" style="224" bestFit="1" customWidth="1"/>
    <col min="8728" max="8728" width="15.26953125" style="224" bestFit="1" customWidth="1"/>
    <col min="8729" max="8730" width="15" style="224" bestFit="1" customWidth="1"/>
    <col min="8731" max="8731" width="12" style="224" bestFit="1" customWidth="1"/>
    <col min="8732" max="8732" width="15.26953125" style="224" bestFit="1" customWidth="1"/>
    <col min="8733" max="8733" width="12" style="224" bestFit="1" customWidth="1"/>
    <col min="8734" max="8734" width="15.26953125" style="224" bestFit="1" customWidth="1"/>
    <col min="8735" max="8735" width="12" style="224" bestFit="1" customWidth="1"/>
    <col min="8736" max="8736" width="15" style="224" bestFit="1" customWidth="1"/>
    <col min="8737" max="8737" width="11.6328125" style="224" bestFit="1" customWidth="1"/>
    <col min="8738" max="8738" width="15.26953125" style="224" bestFit="1" customWidth="1"/>
    <col min="8739" max="8739" width="13.1796875" style="224" bestFit="1" customWidth="1"/>
    <col min="8740" max="8740" width="15.26953125" style="224" bestFit="1" customWidth="1"/>
    <col min="8741" max="8741" width="12.7265625" style="224" bestFit="1" customWidth="1"/>
    <col min="8742" max="8742" width="15" style="224" bestFit="1" customWidth="1"/>
    <col min="8743" max="8743" width="12.90625" style="224" bestFit="1" customWidth="1"/>
    <col min="8744" max="8744" width="15" style="224" bestFit="1" customWidth="1"/>
    <col min="8745" max="8745" width="13.1796875" style="224" bestFit="1" customWidth="1"/>
    <col min="8746" max="8746" width="15" style="224" bestFit="1" customWidth="1"/>
    <col min="8747" max="8747" width="12.7265625" style="224" bestFit="1" customWidth="1"/>
    <col min="8748" max="8973" width="9.1796875" style="224"/>
    <col min="8974" max="8974" width="2.1796875" style="224" customWidth="1"/>
    <col min="8975" max="8975" width="1" style="224" customWidth="1"/>
    <col min="8976" max="8976" width="28" style="224" customWidth="1"/>
    <col min="8977" max="8977" width="5.453125" style="224" bestFit="1" customWidth="1"/>
    <col min="8978" max="8978" width="6.54296875" style="224" bestFit="1" customWidth="1"/>
    <col min="8979" max="8979" width="16.54296875" style="224" customWidth="1"/>
    <col min="8980" max="8980" width="13.453125" style="224" bestFit="1" customWidth="1"/>
    <col min="8981" max="8981" width="6.54296875" style="224" customWidth="1"/>
    <col min="8982" max="8982" width="15" style="224" customWidth="1"/>
    <col min="8983" max="8983" width="12" style="224" bestFit="1" customWidth="1"/>
    <col min="8984" max="8984" width="15.26953125" style="224" bestFit="1" customWidth="1"/>
    <col min="8985" max="8986" width="15" style="224" bestFit="1" customWidth="1"/>
    <col min="8987" max="8987" width="12" style="224" bestFit="1" customWidth="1"/>
    <col min="8988" max="8988" width="15.26953125" style="224" bestFit="1" customWidth="1"/>
    <col min="8989" max="8989" width="12" style="224" bestFit="1" customWidth="1"/>
    <col min="8990" max="8990" width="15.26953125" style="224" bestFit="1" customWidth="1"/>
    <col min="8991" max="8991" width="12" style="224" bestFit="1" customWidth="1"/>
    <col min="8992" max="8992" width="15" style="224" bestFit="1" customWidth="1"/>
    <col min="8993" max="8993" width="11.6328125" style="224" bestFit="1" customWidth="1"/>
    <col min="8994" max="8994" width="15.26953125" style="224" bestFit="1" customWidth="1"/>
    <col min="8995" max="8995" width="13.1796875" style="224" bestFit="1" customWidth="1"/>
    <col min="8996" max="8996" width="15.26953125" style="224" bestFit="1" customWidth="1"/>
    <col min="8997" max="8997" width="12.7265625" style="224" bestFit="1" customWidth="1"/>
    <col min="8998" max="8998" width="15" style="224" bestFit="1" customWidth="1"/>
    <col min="8999" max="8999" width="12.90625" style="224" bestFit="1" customWidth="1"/>
    <col min="9000" max="9000" width="15" style="224" bestFit="1" customWidth="1"/>
    <col min="9001" max="9001" width="13.1796875" style="224" bestFit="1" customWidth="1"/>
    <col min="9002" max="9002" width="15" style="224" bestFit="1" customWidth="1"/>
    <col min="9003" max="9003" width="12.7265625" style="224" bestFit="1" customWidth="1"/>
    <col min="9004" max="9229" width="9.1796875" style="224"/>
    <col min="9230" max="9230" width="2.1796875" style="224" customWidth="1"/>
    <col min="9231" max="9231" width="1" style="224" customWidth="1"/>
    <col min="9232" max="9232" width="28" style="224" customWidth="1"/>
    <col min="9233" max="9233" width="5.453125" style="224" bestFit="1" customWidth="1"/>
    <col min="9234" max="9234" width="6.54296875" style="224" bestFit="1" customWidth="1"/>
    <col min="9235" max="9235" width="16.54296875" style="224" customWidth="1"/>
    <col min="9236" max="9236" width="13.453125" style="224" bestFit="1" customWidth="1"/>
    <col min="9237" max="9237" width="6.54296875" style="224" customWidth="1"/>
    <col min="9238" max="9238" width="15" style="224" customWidth="1"/>
    <col min="9239" max="9239" width="12" style="224" bestFit="1" customWidth="1"/>
    <col min="9240" max="9240" width="15.26953125" style="224" bestFit="1" customWidth="1"/>
    <col min="9241" max="9242" width="15" style="224" bestFit="1" customWidth="1"/>
    <col min="9243" max="9243" width="12" style="224" bestFit="1" customWidth="1"/>
    <col min="9244" max="9244" width="15.26953125" style="224" bestFit="1" customWidth="1"/>
    <col min="9245" max="9245" width="12" style="224" bestFit="1" customWidth="1"/>
    <col min="9246" max="9246" width="15.26953125" style="224" bestFit="1" customWidth="1"/>
    <col min="9247" max="9247" width="12" style="224" bestFit="1" customWidth="1"/>
    <col min="9248" max="9248" width="15" style="224" bestFit="1" customWidth="1"/>
    <col min="9249" max="9249" width="11.6328125" style="224" bestFit="1" customWidth="1"/>
    <col min="9250" max="9250" width="15.26953125" style="224" bestFit="1" customWidth="1"/>
    <col min="9251" max="9251" width="13.1796875" style="224" bestFit="1" customWidth="1"/>
    <col min="9252" max="9252" width="15.26953125" style="224" bestFit="1" customWidth="1"/>
    <col min="9253" max="9253" width="12.7265625" style="224" bestFit="1" customWidth="1"/>
    <col min="9254" max="9254" width="15" style="224" bestFit="1" customWidth="1"/>
    <col min="9255" max="9255" width="12.90625" style="224" bestFit="1" customWidth="1"/>
    <col min="9256" max="9256" width="15" style="224" bestFit="1" customWidth="1"/>
    <col min="9257" max="9257" width="13.1796875" style="224" bestFit="1" customWidth="1"/>
    <col min="9258" max="9258" width="15" style="224" bestFit="1" customWidth="1"/>
    <col min="9259" max="9259" width="12.7265625" style="224" bestFit="1" customWidth="1"/>
    <col min="9260" max="9485" width="9.1796875" style="224"/>
    <col min="9486" max="9486" width="2.1796875" style="224" customWidth="1"/>
    <col min="9487" max="9487" width="1" style="224" customWidth="1"/>
    <col min="9488" max="9488" width="28" style="224" customWidth="1"/>
    <col min="9489" max="9489" width="5.453125" style="224" bestFit="1" customWidth="1"/>
    <col min="9490" max="9490" width="6.54296875" style="224" bestFit="1" customWidth="1"/>
    <col min="9491" max="9491" width="16.54296875" style="224" customWidth="1"/>
    <col min="9492" max="9492" width="13.453125" style="224" bestFit="1" customWidth="1"/>
    <col min="9493" max="9493" width="6.54296875" style="224" customWidth="1"/>
    <col min="9494" max="9494" width="15" style="224" customWidth="1"/>
    <col min="9495" max="9495" width="12" style="224" bestFit="1" customWidth="1"/>
    <col min="9496" max="9496" width="15.26953125" style="224" bestFit="1" customWidth="1"/>
    <col min="9497" max="9498" width="15" style="224" bestFit="1" customWidth="1"/>
    <col min="9499" max="9499" width="12" style="224" bestFit="1" customWidth="1"/>
    <col min="9500" max="9500" width="15.26953125" style="224" bestFit="1" customWidth="1"/>
    <col min="9501" max="9501" width="12" style="224" bestFit="1" customWidth="1"/>
    <col min="9502" max="9502" width="15.26953125" style="224" bestFit="1" customWidth="1"/>
    <col min="9503" max="9503" width="12" style="224" bestFit="1" customWidth="1"/>
    <col min="9504" max="9504" width="15" style="224" bestFit="1" customWidth="1"/>
    <col min="9505" max="9505" width="11.6328125" style="224" bestFit="1" customWidth="1"/>
    <col min="9506" max="9506" width="15.26953125" style="224" bestFit="1" customWidth="1"/>
    <col min="9507" max="9507" width="13.1796875" style="224" bestFit="1" customWidth="1"/>
    <col min="9508" max="9508" width="15.26953125" style="224" bestFit="1" customWidth="1"/>
    <col min="9509" max="9509" width="12.7265625" style="224" bestFit="1" customWidth="1"/>
    <col min="9510" max="9510" width="15" style="224" bestFit="1" customWidth="1"/>
    <col min="9511" max="9511" width="12.90625" style="224" bestFit="1" customWidth="1"/>
    <col min="9512" max="9512" width="15" style="224" bestFit="1" customWidth="1"/>
    <col min="9513" max="9513" width="13.1796875" style="224" bestFit="1" customWidth="1"/>
    <col min="9514" max="9514" width="15" style="224" bestFit="1" customWidth="1"/>
    <col min="9515" max="9515" width="12.7265625" style="224" bestFit="1" customWidth="1"/>
    <col min="9516" max="9741" width="9.1796875" style="224"/>
    <col min="9742" max="9742" width="2.1796875" style="224" customWidth="1"/>
    <col min="9743" max="9743" width="1" style="224" customWidth="1"/>
    <col min="9744" max="9744" width="28" style="224" customWidth="1"/>
    <col min="9745" max="9745" width="5.453125" style="224" bestFit="1" customWidth="1"/>
    <col min="9746" max="9746" width="6.54296875" style="224" bestFit="1" customWidth="1"/>
    <col min="9747" max="9747" width="16.54296875" style="224" customWidth="1"/>
    <col min="9748" max="9748" width="13.453125" style="224" bestFit="1" customWidth="1"/>
    <col min="9749" max="9749" width="6.54296875" style="224" customWidth="1"/>
    <col min="9750" max="9750" width="15" style="224" customWidth="1"/>
    <col min="9751" max="9751" width="12" style="224" bestFit="1" customWidth="1"/>
    <col min="9752" max="9752" width="15.26953125" style="224" bestFit="1" customWidth="1"/>
    <col min="9753" max="9754" width="15" style="224" bestFit="1" customWidth="1"/>
    <col min="9755" max="9755" width="12" style="224" bestFit="1" customWidth="1"/>
    <col min="9756" max="9756" width="15.26953125" style="224" bestFit="1" customWidth="1"/>
    <col min="9757" max="9757" width="12" style="224" bestFit="1" customWidth="1"/>
    <col min="9758" max="9758" width="15.26953125" style="224" bestFit="1" customWidth="1"/>
    <col min="9759" max="9759" width="12" style="224" bestFit="1" customWidth="1"/>
    <col min="9760" max="9760" width="15" style="224" bestFit="1" customWidth="1"/>
    <col min="9761" max="9761" width="11.6328125" style="224" bestFit="1" customWidth="1"/>
    <col min="9762" max="9762" width="15.26953125" style="224" bestFit="1" customWidth="1"/>
    <col min="9763" max="9763" width="13.1796875" style="224" bestFit="1" customWidth="1"/>
    <col min="9764" max="9764" width="15.26953125" style="224" bestFit="1" customWidth="1"/>
    <col min="9765" max="9765" width="12.7265625" style="224" bestFit="1" customWidth="1"/>
    <col min="9766" max="9766" width="15" style="224" bestFit="1" customWidth="1"/>
    <col min="9767" max="9767" width="12.90625" style="224" bestFit="1" customWidth="1"/>
    <col min="9768" max="9768" width="15" style="224" bestFit="1" customWidth="1"/>
    <col min="9769" max="9769" width="13.1796875" style="224" bestFit="1" customWidth="1"/>
    <col min="9770" max="9770" width="15" style="224" bestFit="1" customWidth="1"/>
    <col min="9771" max="9771" width="12.7265625" style="224" bestFit="1" customWidth="1"/>
    <col min="9772" max="9997" width="9.1796875" style="224"/>
    <col min="9998" max="9998" width="2.1796875" style="224" customWidth="1"/>
    <col min="9999" max="9999" width="1" style="224" customWidth="1"/>
    <col min="10000" max="10000" width="28" style="224" customWidth="1"/>
    <col min="10001" max="10001" width="5.453125" style="224" bestFit="1" customWidth="1"/>
    <col min="10002" max="10002" width="6.54296875" style="224" bestFit="1" customWidth="1"/>
    <col min="10003" max="10003" width="16.54296875" style="224" customWidth="1"/>
    <col min="10004" max="10004" width="13.453125" style="224" bestFit="1" customWidth="1"/>
    <col min="10005" max="10005" width="6.54296875" style="224" customWidth="1"/>
    <col min="10006" max="10006" width="15" style="224" customWidth="1"/>
    <col min="10007" max="10007" width="12" style="224" bestFit="1" customWidth="1"/>
    <col min="10008" max="10008" width="15.26953125" style="224" bestFit="1" customWidth="1"/>
    <col min="10009" max="10010" width="15" style="224" bestFit="1" customWidth="1"/>
    <col min="10011" max="10011" width="12" style="224" bestFit="1" customWidth="1"/>
    <col min="10012" max="10012" width="15.26953125" style="224" bestFit="1" customWidth="1"/>
    <col min="10013" max="10013" width="12" style="224" bestFit="1" customWidth="1"/>
    <col min="10014" max="10014" width="15.26953125" style="224" bestFit="1" customWidth="1"/>
    <col min="10015" max="10015" width="12" style="224" bestFit="1" customWidth="1"/>
    <col min="10016" max="10016" width="15" style="224" bestFit="1" customWidth="1"/>
    <col min="10017" max="10017" width="11.6328125" style="224" bestFit="1" customWidth="1"/>
    <col min="10018" max="10018" width="15.26953125" style="224" bestFit="1" customWidth="1"/>
    <col min="10019" max="10019" width="13.1796875" style="224" bestFit="1" customWidth="1"/>
    <col min="10020" max="10020" width="15.26953125" style="224" bestFit="1" customWidth="1"/>
    <col min="10021" max="10021" width="12.7265625" style="224" bestFit="1" customWidth="1"/>
    <col min="10022" max="10022" width="15" style="224" bestFit="1" customWidth="1"/>
    <col min="10023" max="10023" width="12.90625" style="224" bestFit="1" customWidth="1"/>
    <col min="10024" max="10024" width="15" style="224" bestFit="1" customWidth="1"/>
    <col min="10025" max="10025" width="13.1796875" style="224" bestFit="1" customWidth="1"/>
    <col min="10026" max="10026" width="15" style="224" bestFit="1" customWidth="1"/>
    <col min="10027" max="10027" width="12.7265625" style="224" bestFit="1" customWidth="1"/>
    <col min="10028" max="10253" width="9.1796875" style="224"/>
    <col min="10254" max="10254" width="2.1796875" style="224" customWidth="1"/>
    <col min="10255" max="10255" width="1" style="224" customWidth="1"/>
    <col min="10256" max="10256" width="28" style="224" customWidth="1"/>
    <col min="10257" max="10257" width="5.453125" style="224" bestFit="1" customWidth="1"/>
    <col min="10258" max="10258" width="6.54296875" style="224" bestFit="1" customWidth="1"/>
    <col min="10259" max="10259" width="16.54296875" style="224" customWidth="1"/>
    <col min="10260" max="10260" width="13.453125" style="224" bestFit="1" customWidth="1"/>
    <col min="10261" max="10261" width="6.54296875" style="224" customWidth="1"/>
    <col min="10262" max="10262" width="15" style="224" customWidth="1"/>
    <col min="10263" max="10263" width="12" style="224" bestFit="1" customWidth="1"/>
    <col min="10264" max="10264" width="15.26953125" style="224" bestFit="1" customWidth="1"/>
    <col min="10265" max="10266" width="15" style="224" bestFit="1" customWidth="1"/>
    <col min="10267" max="10267" width="12" style="224" bestFit="1" customWidth="1"/>
    <col min="10268" max="10268" width="15.26953125" style="224" bestFit="1" customWidth="1"/>
    <col min="10269" max="10269" width="12" style="224" bestFit="1" customWidth="1"/>
    <col min="10270" max="10270" width="15.26953125" style="224" bestFit="1" customWidth="1"/>
    <col min="10271" max="10271" width="12" style="224" bestFit="1" customWidth="1"/>
    <col min="10272" max="10272" width="15" style="224" bestFit="1" customWidth="1"/>
    <col min="10273" max="10273" width="11.6328125" style="224" bestFit="1" customWidth="1"/>
    <col min="10274" max="10274" width="15.26953125" style="224" bestFit="1" customWidth="1"/>
    <col min="10275" max="10275" width="13.1796875" style="224" bestFit="1" customWidth="1"/>
    <col min="10276" max="10276" width="15.26953125" style="224" bestFit="1" customWidth="1"/>
    <col min="10277" max="10277" width="12.7265625" style="224" bestFit="1" customWidth="1"/>
    <col min="10278" max="10278" width="15" style="224" bestFit="1" customWidth="1"/>
    <col min="10279" max="10279" width="12.90625" style="224" bestFit="1" customWidth="1"/>
    <col min="10280" max="10280" width="15" style="224" bestFit="1" customWidth="1"/>
    <col min="10281" max="10281" width="13.1796875" style="224" bestFit="1" customWidth="1"/>
    <col min="10282" max="10282" width="15" style="224" bestFit="1" customWidth="1"/>
    <col min="10283" max="10283" width="12.7265625" style="224" bestFit="1" customWidth="1"/>
    <col min="10284" max="10509" width="9.1796875" style="224"/>
    <col min="10510" max="10510" width="2.1796875" style="224" customWidth="1"/>
    <col min="10511" max="10511" width="1" style="224" customWidth="1"/>
    <col min="10512" max="10512" width="28" style="224" customWidth="1"/>
    <col min="10513" max="10513" width="5.453125" style="224" bestFit="1" customWidth="1"/>
    <col min="10514" max="10514" width="6.54296875" style="224" bestFit="1" customWidth="1"/>
    <col min="10515" max="10515" width="16.54296875" style="224" customWidth="1"/>
    <col min="10516" max="10516" width="13.453125" style="224" bestFit="1" customWidth="1"/>
    <col min="10517" max="10517" width="6.54296875" style="224" customWidth="1"/>
    <col min="10518" max="10518" width="15" style="224" customWidth="1"/>
    <col min="10519" max="10519" width="12" style="224" bestFit="1" customWidth="1"/>
    <col min="10520" max="10520" width="15.26953125" style="224" bestFit="1" customWidth="1"/>
    <col min="10521" max="10522" width="15" style="224" bestFit="1" customWidth="1"/>
    <col min="10523" max="10523" width="12" style="224" bestFit="1" customWidth="1"/>
    <col min="10524" max="10524" width="15.26953125" style="224" bestFit="1" customWidth="1"/>
    <col min="10525" max="10525" width="12" style="224" bestFit="1" customWidth="1"/>
    <col min="10526" max="10526" width="15.26953125" style="224" bestFit="1" customWidth="1"/>
    <col min="10527" max="10527" width="12" style="224" bestFit="1" customWidth="1"/>
    <col min="10528" max="10528" width="15" style="224" bestFit="1" customWidth="1"/>
    <col min="10529" max="10529" width="11.6328125" style="224" bestFit="1" customWidth="1"/>
    <col min="10530" max="10530" width="15.26953125" style="224" bestFit="1" customWidth="1"/>
    <col min="10531" max="10531" width="13.1796875" style="224" bestFit="1" customWidth="1"/>
    <col min="10532" max="10532" width="15.26953125" style="224" bestFit="1" customWidth="1"/>
    <col min="10533" max="10533" width="12.7265625" style="224" bestFit="1" customWidth="1"/>
    <col min="10534" max="10534" width="15" style="224" bestFit="1" customWidth="1"/>
    <col min="10535" max="10535" width="12.90625" style="224" bestFit="1" customWidth="1"/>
    <col min="10536" max="10536" width="15" style="224" bestFit="1" customWidth="1"/>
    <col min="10537" max="10537" width="13.1796875" style="224" bestFit="1" customWidth="1"/>
    <col min="10538" max="10538" width="15" style="224" bestFit="1" customWidth="1"/>
    <col min="10539" max="10539" width="12.7265625" style="224" bestFit="1" customWidth="1"/>
    <col min="10540" max="10765" width="9.1796875" style="224"/>
    <col min="10766" max="10766" width="2.1796875" style="224" customWidth="1"/>
    <col min="10767" max="10767" width="1" style="224" customWidth="1"/>
    <col min="10768" max="10768" width="28" style="224" customWidth="1"/>
    <col min="10769" max="10769" width="5.453125" style="224" bestFit="1" customWidth="1"/>
    <col min="10770" max="10770" width="6.54296875" style="224" bestFit="1" customWidth="1"/>
    <col min="10771" max="10771" width="16.54296875" style="224" customWidth="1"/>
    <col min="10772" max="10772" width="13.453125" style="224" bestFit="1" customWidth="1"/>
    <col min="10773" max="10773" width="6.54296875" style="224" customWidth="1"/>
    <col min="10774" max="10774" width="15" style="224" customWidth="1"/>
    <col min="10775" max="10775" width="12" style="224" bestFit="1" customWidth="1"/>
    <col min="10776" max="10776" width="15.26953125" style="224" bestFit="1" customWidth="1"/>
    <col min="10777" max="10778" width="15" style="224" bestFit="1" customWidth="1"/>
    <col min="10779" max="10779" width="12" style="224" bestFit="1" customWidth="1"/>
    <col min="10780" max="10780" width="15.26953125" style="224" bestFit="1" customWidth="1"/>
    <col min="10781" max="10781" width="12" style="224" bestFit="1" customWidth="1"/>
    <col min="10782" max="10782" width="15.26953125" style="224" bestFit="1" customWidth="1"/>
    <col min="10783" max="10783" width="12" style="224" bestFit="1" customWidth="1"/>
    <col min="10784" max="10784" width="15" style="224" bestFit="1" customWidth="1"/>
    <col min="10785" max="10785" width="11.6328125" style="224" bestFit="1" customWidth="1"/>
    <col min="10786" max="10786" width="15.26953125" style="224" bestFit="1" customWidth="1"/>
    <col min="10787" max="10787" width="13.1796875" style="224" bestFit="1" customWidth="1"/>
    <col min="10788" max="10788" width="15.26953125" style="224" bestFit="1" customWidth="1"/>
    <col min="10789" max="10789" width="12.7265625" style="224" bestFit="1" customWidth="1"/>
    <col min="10790" max="10790" width="15" style="224" bestFit="1" customWidth="1"/>
    <col min="10791" max="10791" width="12.90625" style="224" bestFit="1" customWidth="1"/>
    <col min="10792" max="10792" width="15" style="224" bestFit="1" customWidth="1"/>
    <col min="10793" max="10793" width="13.1796875" style="224" bestFit="1" customWidth="1"/>
    <col min="10794" max="10794" width="15" style="224" bestFit="1" customWidth="1"/>
    <col min="10795" max="10795" width="12.7265625" style="224" bestFit="1" customWidth="1"/>
    <col min="10796" max="11021" width="9.1796875" style="224"/>
    <col min="11022" max="11022" width="2.1796875" style="224" customWidth="1"/>
    <col min="11023" max="11023" width="1" style="224" customWidth="1"/>
    <col min="11024" max="11024" width="28" style="224" customWidth="1"/>
    <col min="11025" max="11025" width="5.453125" style="224" bestFit="1" customWidth="1"/>
    <col min="11026" max="11026" width="6.54296875" style="224" bestFit="1" customWidth="1"/>
    <col min="11027" max="11027" width="16.54296875" style="224" customWidth="1"/>
    <col min="11028" max="11028" width="13.453125" style="224" bestFit="1" customWidth="1"/>
    <col min="11029" max="11029" width="6.54296875" style="224" customWidth="1"/>
    <col min="11030" max="11030" width="15" style="224" customWidth="1"/>
    <col min="11031" max="11031" width="12" style="224" bestFit="1" customWidth="1"/>
    <col min="11032" max="11032" width="15.26953125" style="224" bestFit="1" customWidth="1"/>
    <col min="11033" max="11034" width="15" style="224" bestFit="1" customWidth="1"/>
    <col min="11035" max="11035" width="12" style="224" bestFit="1" customWidth="1"/>
    <col min="11036" max="11036" width="15.26953125" style="224" bestFit="1" customWidth="1"/>
    <col min="11037" max="11037" width="12" style="224" bestFit="1" customWidth="1"/>
    <col min="11038" max="11038" width="15.26953125" style="224" bestFit="1" customWidth="1"/>
    <col min="11039" max="11039" width="12" style="224" bestFit="1" customWidth="1"/>
    <col min="11040" max="11040" width="15" style="224" bestFit="1" customWidth="1"/>
    <col min="11041" max="11041" width="11.6328125" style="224" bestFit="1" customWidth="1"/>
    <col min="11042" max="11042" width="15.26953125" style="224" bestFit="1" customWidth="1"/>
    <col min="11043" max="11043" width="13.1796875" style="224" bestFit="1" customWidth="1"/>
    <col min="11044" max="11044" width="15.26953125" style="224" bestFit="1" customWidth="1"/>
    <col min="11045" max="11045" width="12.7265625" style="224" bestFit="1" customWidth="1"/>
    <col min="11046" max="11046" width="15" style="224" bestFit="1" customWidth="1"/>
    <col min="11047" max="11047" width="12.90625" style="224" bestFit="1" customWidth="1"/>
    <col min="11048" max="11048" width="15" style="224" bestFit="1" customWidth="1"/>
    <col min="11049" max="11049" width="13.1796875" style="224" bestFit="1" customWidth="1"/>
    <col min="11050" max="11050" width="15" style="224" bestFit="1" customWidth="1"/>
    <col min="11051" max="11051" width="12.7265625" style="224" bestFit="1" customWidth="1"/>
    <col min="11052" max="11277" width="9.1796875" style="224"/>
    <col min="11278" max="11278" width="2.1796875" style="224" customWidth="1"/>
    <col min="11279" max="11279" width="1" style="224" customWidth="1"/>
    <col min="11280" max="11280" width="28" style="224" customWidth="1"/>
    <col min="11281" max="11281" width="5.453125" style="224" bestFit="1" customWidth="1"/>
    <col min="11282" max="11282" width="6.54296875" style="224" bestFit="1" customWidth="1"/>
    <col min="11283" max="11283" width="16.54296875" style="224" customWidth="1"/>
    <col min="11284" max="11284" width="13.453125" style="224" bestFit="1" customWidth="1"/>
    <col min="11285" max="11285" width="6.54296875" style="224" customWidth="1"/>
    <col min="11286" max="11286" width="15" style="224" customWidth="1"/>
    <col min="11287" max="11287" width="12" style="224" bestFit="1" customWidth="1"/>
    <col min="11288" max="11288" width="15.26953125" style="224" bestFit="1" customWidth="1"/>
    <col min="11289" max="11290" width="15" style="224" bestFit="1" customWidth="1"/>
    <col min="11291" max="11291" width="12" style="224" bestFit="1" customWidth="1"/>
    <col min="11292" max="11292" width="15.26953125" style="224" bestFit="1" customWidth="1"/>
    <col min="11293" max="11293" width="12" style="224" bestFit="1" customWidth="1"/>
    <col min="11294" max="11294" width="15.26953125" style="224" bestFit="1" customWidth="1"/>
    <col min="11295" max="11295" width="12" style="224" bestFit="1" customWidth="1"/>
    <col min="11296" max="11296" width="15" style="224" bestFit="1" customWidth="1"/>
    <col min="11297" max="11297" width="11.6328125" style="224" bestFit="1" customWidth="1"/>
    <col min="11298" max="11298" width="15.26953125" style="224" bestFit="1" customWidth="1"/>
    <col min="11299" max="11299" width="13.1796875" style="224" bestFit="1" customWidth="1"/>
    <col min="11300" max="11300" width="15.26953125" style="224" bestFit="1" customWidth="1"/>
    <col min="11301" max="11301" width="12.7265625" style="224" bestFit="1" customWidth="1"/>
    <col min="11302" max="11302" width="15" style="224" bestFit="1" customWidth="1"/>
    <col min="11303" max="11303" width="12.90625" style="224" bestFit="1" customWidth="1"/>
    <col min="11304" max="11304" width="15" style="224" bestFit="1" customWidth="1"/>
    <col min="11305" max="11305" width="13.1796875" style="224" bestFit="1" customWidth="1"/>
    <col min="11306" max="11306" width="15" style="224" bestFit="1" customWidth="1"/>
    <col min="11307" max="11307" width="12.7265625" style="224" bestFit="1" customWidth="1"/>
    <col min="11308" max="11533" width="9.1796875" style="224"/>
    <col min="11534" max="11534" width="2.1796875" style="224" customWidth="1"/>
    <col min="11535" max="11535" width="1" style="224" customWidth="1"/>
    <col min="11536" max="11536" width="28" style="224" customWidth="1"/>
    <col min="11537" max="11537" width="5.453125" style="224" bestFit="1" customWidth="1"/>
    <col min="11538" max="11538" width="6.54296875" style="224" bestFit="1" customWidth="1"/>
    <col min="11539" max="11539" width="16.54296875" style="224" customWidth="1"/>
    <col min="11540" max="11540" width="13.453125" style="224" bestFit="1" customWidth="1"/>
    <col min="11541" max="11541" width="6.54296875" style="224" customWidth="1"/>
    <col min="11542" max="11542" width="15" style="224" customWidth="1"/>
    <col min="11543" max="11543" width="12" style="224" bestFit="1" customWidth="1"/>
    <col min="11544" max="11544" width="15.26953125" style="224" bestFit="1" customWidth="1"/>
    <col min="11545" max="11546" width="15" style="224" bestFit="1" customWidth="1"/>
    <col min="11547" max="11547" width="12" style="224" bestFit="1" customWidth="1"/>
    <col min="11548" max="11548" width="15.26953125" style="224" bestFit="1" customWidth="1"/>
    <col min="11549" max="11549" width="12" style="224" bestFit="1" customWidth="1"/>
    <col min="11550" max="11550" width="15.26953125" style="224" bestFit="1" customWidth="1"/>
    <col min="11551" max="11551" width="12" style="224" bestFit="1" customWidth="1"/>
    <col min="11552" max="11552" width="15" style="224" bestFit="1" customWidth="1"/>
    <col min="11553" max="11553" width="11.6328125" style="224" bestFit="1" customWidth="1"/>
    <col min="11554" max="11554" width="15.26953125" style="224" bestFit="1" customWidth="1"/>
    <col min="11555" max="11555" width="13.1796875" style="224" bestFit="1" customWidth="1"/>
    <col min="11556" max="11556" width="15.26953125" style="224" bestFit="1" customWidth="1"/>
    <col min="11557" max="11557" width="12.7265625" style="224" bestFit="1" customWidth="1"/>
    <col min="11558" max="11558" width="15" style="224" bestFit="1" customWidth="1"/>
    <col min="11559" max="11559" width="12.90625" style="224" bestFit="1" customWidth="1"/>
    <col min="11560" max="11560" width="15" style="224" bestFit="1" customWidth="1"/>
    <col min="11561" max="11561" width="13.1796875" style="224" bestFit="1" customWidth="1"/>
    <col min="11562" max="11562" width="15" style="224" bestFit="1" customWidth="1"/>
    <col min="11563" max="11563" width="12.7265625" style="224" bestFit="1" customWidth="1"/>
    <col min="11564" max="11789" width="9.1796875" style="224"/>
    <col min="11790" max="11790" width="2.1796875" style="224" customWidth="1"/>
    <col min="11791" max="11791" width="1" style="224" customWidth="1"/>
    <col min="11792" max="11792" width="28" style="224" customWidth="1"/>
    <col min="11793" max="11793" width="5.453125" style="224" bestFit="1" customWidth="1"/>
    <col min="11794" max="11794" width="6.54296875" style="224" bestFit="1" customWidth="1"/>
    <col min="11795" max="11795" width="16.54296875" style="224" customWidth="1"/>
    <col min="11796" max="11796" width="13.453125" style="224" bestFit="1" customWidth="1"/>
    <col min="11797" max="11797" width="6.54296875" style="224" customWidth="1"/>
    <col min="11798" max="11798" width="15" style="224" customWidth="1"/>
    <col min="11799" max="11799" width="12" style="224" bestFit="1" customWidth="1"/>
    <col min="11800" max="11800" width="15.26953125" style="224" bestFit="1" customWidth="1"/>
    <col min="11801" max="11802" width="15" style="224" bestFit="1" customWidth="1"/>
    <col min="11803" max="11803" width="12" style="224" bestFit="1" customWidth="1"/>
    <col min="11804" max="11804" width="15.26953125" style="224" bestFit="1" customWidth="1"/>
    <col min="11805" max="11805" width="12" style="224" bestFit="1" customWidth="1"/>
    <col min="11806" max="11806" width="15.26953125" style="224" bestFit="1" customWidth="1"/>
    <col min="11807" max="11807" width="12" style="224" bestFit="1" customWidth="1"/>
    <col min="11808" max="11808" width="15" style="224" bestFit="1" customWidth="1"/>
    <col min="11809" max="11809" width="11.6328125" style="224" bestFit="1" customWidth="1"/>
    <col min="11810" max="11810" width="15.26953125" style="224" bestFit="1" customWidth="1"/>
    <col min="11811" max="11811" width="13.1796875" style="224" bestFit="1" customWidth="1"/>
    <col min="11812" max="11812" width="15.26953125" style="224" bestFit="1" customWidth="1"/>
    <col min="11813" max="11813" width="12.7265625" style="224" bestFit="1" customWidth="1"/>
    <col min="11814" max="11814" width="15" style="224" bestFit="1" customWidth="1"/>
    <col min="11815" max="11815" width="12.90625" style="224" bestFit="1" customWidth="1"/>
    <col min="11816" max="11816" width="15" style="224" bestFit="1" customWidth="1"/>
    <col min="11817" max="11817" width="13.1796875" style="224" bestFit="1" customWidth="1"/>
    <col min="11818" max="11818" width="15" style="224" bestFit="1" customWidth="1"/>
    <col min="11819" max="11819" width="12.7265625" style="224" bestFit="1" customWidth="1"/>
    <col min="11820" max="12045" width="9.1796875" style="224"/>
    <col min="12046" max="12046" width="2.1796875" style="224" customWidth="1"/>
    <col min="12047" max="12047" width="1" style="224" customWidth="1"/>
    <col min="12048" max="12048" width="28" style="224" customWidth="1"/>
    <col min="12049" max="12049" width="5.453125" style="224" bestFit="1" customWidth="1"/>
    <col min="12050" max="12050" width="6.54296875" style="224" bestFit="1" customWidth="1"/>
    <col min="12051" max="12051" width="16.54296875" style="224" customWidth="1"/>
    <col min="12052" max="12052" width="13.453125" style="224" bestFit="1" customWidth="1"/>
    <col min="12053" max="12053" width="6.54296875" style="224" customWidth="1"/>
    <col min="12054" max="12054" width="15" style="224" customWidth="1"/>
    <col min="12055" max="12055" width="12" style="224" bestFit="1" customWidth="1"/>
    <col min="12056" max="12056" width="15.26953125" style="224" bestFit="1" customWidth="1"/>
    <col min="12057" max="12058" width="15" style="224" bestFit="1" customWidth="1"/>
    <col min="12059" max="12059" width="12" style="224" bestFit="1" customWidth="1"/>
    <col min="12060" max="12060" width="15.26953125" style="224" bestFit="1" customWidth="1"/>
    <col min="12061" max="12061" width="12" style="224" bestFit="1" customWidth="1"/>
    <col min="12062" max="12062" width="15.26953125" style="224" bestFit="1" customWidth="1"/>
    <col min="12063" max="12063" width="12" style="224" bestFit="1" customWidth="1"/>
    <col min="12064" max="12064" width="15" style="224" bestFit="1" customWidth="1"/>
    <col min="12065" max="12065" width="11.6328125" style="224" bestFit="1" customWidth="1"/>
    <col min="12066" max="12066" width="15.26953125" style="224" bestFit="1" customWidth="1"/>
    <col min="12067" max="12067" width="13.1796875" style="224" bestFit="1" customWidth="1"/>
    <col min="12068" max="12068" width="15.26953125" style="224" bestFit="1" customWidth="1"/>
    <col min="12069" max="12069" width="12.7265625" style="224" bestFit="1" customWidth="1"/>
    <col min="12070" max="12070" width="15" style="224" bestFit="1" customWidth="1"/>
    <col min="12071" max="12071" width="12.90625" style="224" bestFit="1" customWidth="1"/>
    <col min="12072" max="12072" width="15" style="224" bestFit="1" customWidth="1"/>
    <col min="12073" max="12073" width="13.1796875" style="224" bestFit="1" customWidth="1"/>
    <col min="12074" max="12074" width="15" style="224" bestFit="1" customWidth="1"/>
    <col min="12075" max="12075" width="12.7265625" style="224" bestFit="1" customWidth="1"/>
    <col min="12076" max="12301" width="9.1796875" style="224"/>
    <col min="12302" max="12302" width="2.1796875" style="224" customWidth="1"/>
    <col min="12303" max="12303" width="1" style="224" customWidth="1"/>
    <col min="12304" max="12304" width="28" style="224" customWidth="1"/>
    <col min="12305" max="12305" width="5.453125" style="224" bestFit="1" customWidth="1"/>
    <col min="12306" max="12306" width="6.54296875" style="224" bestFit="1" customWidth="1"/>
    <col min="12307" max="12307" width="16.54296875" style="224" customWidth="1"/>
    <col min="12308" max="12308" width="13.453125" style="224" bestFit="1" customWidth="1"/>
    <col min="12309" max="12309" width="6.54296875" style="224" customWidth="1"/>
    <col min="12310" max="12310" width="15" style="224" customWidth="1"/>
    <col min="12311" max="12311" width="12" style="224" bestFit="1" customWidth="1"/>
    <col min="12312" max="12312" width="15.26953125" style="224" bestFit="1" customWidth="1"/>
    <col min="12313" max="12314" width="15" style="224" bestFit="1" customWidth="1"/>
    <col min="12315" max="12315" width="12" style="224" bestFit="1" customWidth="1"/>
    <col min="12316" max="12316" width="15.26953125" style="224" bestFit="1" customWidth="1"/>
    <col min="12317" max="12317" width="12" style="224" bestFit="1" customWidth="1"/>
    <col min="12318" max="12318" width="15.26953125" style="224" bestFit="1" customWidth="1"/>
    <col min="12319" max="12319" width="12" style="224" bestFit="1" customWidth="1"/>
    <col min="12320" max="12320" width="15" style="224" bestFit="1" customWidth="1"/>
    <col min="12321" max="12321" width="11.6328125" style="224" bestFit="1" customWidth="1"/>
    <col min="12322" max="12322" width="15.26953125" style="224" bestFit="1" customWidth="1"/>
    <col min="12323" max="12323" width="13.1796875" style="224" bestFit="1" customWidth="1"/>
    <col min="12324" max="12324" width="15.26953125" style="224" bestFit="1" customWidth="1"/>
    <col min="12325" max="12325" width="12.7265625" style="224" bestFit="1" customWidth="1"/>
    <col min="12326" max="12326" width="15" style="224" bestFit="1" customWidth="1"/>
    <col min="12327" max="12327" width="12.90625" style="224" bestFit="1" customWidth="1"/>
    <col min="12328" max="12328" width="15" style="224" bestFit="1" customWidth="1"/>
    <col min="12329" max="12329" width="13.1796875" style="224" bestFit="1" customWidth="1"/>
    <col min="12330" max="12330" width="15" style="224" bestFit="1" customWidth="1"/>
    <col min="12331" max="12331" width="12.7265625" style="224" bestFit="1" customWidth="1"/>
    <col min="12332" max="12557" width="9.1796875" style="224"/>
    <col min="12558" max="12558" width="2.1796875" style="224" customWidth="1"/>
    <col min="12559" max="12559" width="1" style="224" customWidth="1"/>
    <col min="12560" max="12560" width="28" style="224" customWidth="1"/>
    <col min="12561" max="12561" width="5.453125" style="224" bestFit="1" customWidth="1"/>
    <col min="12562" max="12562" width="6.54296875" style="224" bestFit="1" customWidth="1"/>
    <col min="12563" max="12563" width="16.54296875" style="224" customWidth="1"/>
    <col min="12564" max="12564" width="13.453125" style="224" bestFit="1" customWidth="1"/>
    <col min="12565" max="12565" width="6.54296875" style="224" customWidth="1"/>
    <col min="12566" max="12566" width="15" style="224" customWidth="1"/>
    <col min="12567" max="12567" width="12" style="224" bestFit="1" customWidth="1"/>
    <col min="12568" max="12568" width="15.26953125" style="224" bestFit="1" customWidth="1"/>
    <col min="12569" max="12570" width="15" style="224" bestFit="1" customWidth="1"/>
    <col min="12571" max="12571" width="12" style="224" bestFit="1" customWidth="1"/>
    <col min="12572" max="12572" width="15.26953125" style="224" bestFit="1" customWidth="1"/>
    <col min="12573" max="12573" width="12" style="224" bestFit="1" customWidth="1"/>
    <col min="12574" max="12574" width="15.26953125" style="224" bestFit="1" customWidth="1"/>
    <col min="12575" max="12575" width="12" style="224" bestFit="1" customWidth="1"/>
    <col min="12576" max="12576" width="15" style="224" bestFit="1" customWidth="1"/>
    <col min="12577" max="12577" width="11.6328125" style="224" bestFit="1" customWidth="1"/>
    <col min="12578" max="12578" width="15.26953125" style="224" bestFit="1" customWidth="1"/>
    <col min="12579" max="12579" width="13.1796875" style="224" bestFit="1" customWidth="1"/>
    <col min="12580" max="12580" width="15.26953125" style="224" bestFit="1" customWidth="1"/>
    <col min="12581" max="12581" width="12.7265625" style="224" bestFit="1" customWidth="1"/>
    <col min="12582" max="12582" width="15" style="224" bestFit="1" customWidth="1"/>
    <col min="12583" max="12583" width="12.90625" style="224" bestFit="1" customWidth="1"/>
    <col min="12584" max="12584" width="15" style="224" bestFit="1" customWidth="1"/>
    <col min="12585" max="12585" width="13.1796875" style="224" bestFit="1" customWidth="1"/>
    <col min="12586" max="12586" width="15" style="224" bestFit="1" customWidth="1"/>
    <col min="12587" max="12587" width="12.7265625" style="224" bestFit="1" customWidth="1"/>
    <col min="12588" max="12813" width="9.1796875" style="224"/>
    <col min="12814" max="12814" width="2.1796875" style="224" customWidth="1"/>
    <col min="12815" max="12815" width="1" style="224" customWidth="1"/>
    <col min="12816" max="12816" width="28" style="224" customWidth="1"/>
    <col min="12817" max="12817" width="5.453125" style="224" bestFit="1" customWidth="1"/>
    <col min="12818" max="12818" width="6.54296875" style="224" bestFit="1" customWidth="1"/>
    <col min="12819" max="12819" width="16.54296875" style="224" customWidth="1"/>
    <col min="12820" max="12820" width="13.453125" style="224" bestFit="1" customWidth="1"/>
    <col min="12821" max="12821" width="6.54296875" style="224" customWidth="1"/>
    <col min="12822" max="12822" width="15" style="224" customWidth="1"/>
    <col min="12823" max="12823" width="12" style="224" bestFit="1" customWidth="1"/>
    <col min="12824" max="12824" width="15.26953125" style="224" bestFit="1" customWidth="1"/>
    <col min="12825" max="12826" width="15" style="224" bestFit="1" customWidth="1"/>
    <col min="12827" max="12827" width="12" style="224" bestFit="1" customWidth="1"/>
    <col min="12828" max="12828" width="15.26953125" style="224" bestFit="1" customWidth="1"/>
    <col min="12829" max="12829" width="12" style="224" bestFit="1" customWidth="1"/>
    <col min="12830" max="12830" width="15.26953125" style="224" bestFit="1" customWidth="1"/>
    <col min="12831" max="12831" width="12" style="224" bestFit="1" customWidth="1"/>
    <col min="12832" max="12832" width="15" style="224" bestFit="1" customWidth="1"/>
    <col min="12833" max="12833" width="11.6328125" style="224" bestFit="1" customWidth="1"/>
    <col min="12834" max="12834" width="15.26953125" style="224" bestFit="1" customWidth="1"/>
    <col min="12835" max="12835" width="13.1796875" style="224" bestFit="1" customWidth="1"/>
    <col min="12836" max="12836" width="15.26953125" style="224" bestFit="1" customWidth="1"/>
    <col min="12837" max="12837" width="12.7265625" style="224" bestFit="1" customWidth="1"/>
    <col min="12838" max="12838" width="15" style="224" bestFit="1" customWidth="1"/>
    <col min="12839" max="12839" width="12.90625" style="224" bestFit="1" customWidth="1"/>
    <col min="12840" max="12840" width="15" style="224" bestFit="1" customWidth="1"/>
    <col min="12841" max="12841" width="13.1796875" style="224" bestFit="1" customWidth="1"/>
    <col min="12842" max="12842" width="15" style="224" bestFit="1" customWidth="1"/>
    <col min="12843" max="12843" width="12.7265625" style="224" bestFit="1" customWidth="1"/>
    <col min="12844" max="13069" width="9.1796875" style="224"/>
    <col min="13070" max="13070" width="2.1796875" style="224" customWidth="1"/>
    <col min="13071" max="13071" width="1" style="224" customWidth="1"/>
    <col min="13072" max="13072" width="28" style="224" customWidth="1"/>
    <col min="13073" max="13073" width="5.453125" style="224" bestFit="1" customWidth="1"/>
    <col min="13074" max="13074" width="6.54296875" style="224" bestFit="1" customWidth="1"/>
    <col min="13075" max="13075" width="16.54296875" style="224" customWidth="1"/>
    <col min="13076" max="13076" width="13.453125" style="224" bestFit="1" customWidth="1"/>
    <col min="13077" max="13077" width="6.54296875" style="224" customWidth="1"/>
    <col min="13078" max="13078" width="15" style="224" customWidth="1"/>
    <col min="13079" max="13079" width="12" style="224" bestFit="1" customWidth="1"/>
    <col min="13080" max="13080" width="15.26953125" style="224" bestFit="1" customWidth="1"/>
    <col min="13081" max="13082" width="15" style="224" bestFit="1" customWidth="1"/>
    <col min="13083" max="13083" width="12" style="224" bestFit="1" customWidth="1"/>
    <col min="13084" max="13084" width="15.26953125" style="224" bestFit="1" customWidth="1"/>
    <col min="13085" max="13085" width="12" style="224" bestFit="1" customWidth="1"/>
    <col min="13086" max="13086" width="15.26953125" style="224" bestFit="1" customWidth="1"/>
    <col min="13087" max="13087" width="12" style="224" bestFit="1" customWidth="1"/>
    <col min="13088" max="13088" width="15" style="224" bestFit="1" customWidth="1"/>
    <col min="13089" max="13089" width="11.6328125" style="224" bestFit="1" customWidth="1"/>
    <col min="13090" max="13090" width="15.26953125" style="224" bestFit="1" customWidth="1"/>
    <col min="13091" max="13091" width="13.1796875" style="224" bestFit="1" customWidth="1"/>
    <col min="13092" max="13092" width="15.26953125" style="224" bestFit="1" customWidth="1"/>
    <col min="13093" max="13093" width="12.7265625" style="224" bestFit="1" customWidth="1"/>
    <col min="13094" max="13094" width="15" style="224" bestFit="1" customWidth="1"/>
    <col min="13095" max="13095" width="12.90625" style="224" bestFit="1" customWidth="1"/>
    <col min="13096" max="13096" width="15" style="224" bestFit="1" customWidth="1"/>
    <col min="13097" max="13097" width="13.1796875" style="224" bestFit="1" customWidth="1"/>
    <col min="13098" max="13098" width="15" style="224" bestFit="1" customWidth="1"/>
    <col min="13099" max="13099" width="12.7265625" style="224" bestFit="1" customWidth="1"/>
    <col min="13100" max="13325" width="9.1796875" style="224"/>
    <col min="13326" max="13326" width="2.1796875" style="224" customWidth="1"/>
    <col min="13327" max="13327" width="1" style="224" customWidth="1"/>
    <col min="13328" max="13328" width="28" style="224" customWidth="1"/>
    <col min="13329" max="13329" width="5.453125" style="224" bestFit="1" customWidth="1"/>
    <col min="13330" max="13330" width="6.54296875" style="224" bestFit="1" customWidth="1"/>
    <col min="13331" max="13331" width="16.54296875" style="224" customWidth="1"/>
    <col min="13332" max="13332" width="13.453125" style="224" bestFit="1" customWidth="1"/>
    <col min="13333" max="13333" width="6.54296875" style="224" customWidth="1"/>
    <col min="13334" max="13334" width="15" style="224" customWidth="1"/>
    <col min="13335" max="13335" width="12" style="224" bestFit="1" customWidth="1"/>
    <col min="13336" max="13336" width="15.26953125" style="224" bestFit="1" customWidth="1"/>
    <col min="13337" max="13338" width="15" style="224" bestFit="1" customWidth="1"/>
    <col min="13339" max="13339" width="12" style="224" bestFit="1" customWidth="1"/>
    <col min="13340" max="13340" width="15.26953125" style="224" bestFit="1" customWidth="1"/>
    <col min="13341" max="13341" width="12" style="224" bestFit="1" customWidth="1"/>
    <col min="13342" max="13342" width="15.26953125" style="224" bestFit="1" customWidth="1"/>
    <col min="13343" max="13343" width="12" style="224" bestFit="1" customWidth="1"/>
    <col min="13344" max="13344" width="15" style="224" bestFit="1" customWidth="1"/>
    <col min="13345" max="13345" width="11.6328125" style="224" bestFit="1" customWidth="1"/>
    <col min="13346" max="13346" width="15.26953125" style="224" bestFit="1" customWidth="1"/>
    <col min="13347" max="13347" width="13.1796875" style="224" bestFit="1" customWidth="1"/>
    <col min="13348" max="13348" width="15.26953125" style="224" bestFit="1" customWidth="1"/>
    <col min="13349" max="13349" width="12.7265625" style="224" bestFit="1" customWidth="1"/>
    <col min="13350" max="13350" width="15" style="224" bestFit="1" customWidth="1"/>
    <col min="13351" max="13351" width="12.90625" style="224" bestFit="1" customWidth="1"/>
    <col min="13352" max="13352" width="15" style="224" bestFit="1" customWidth="1"/>
    <col min="13353" max="13353" width="13.1796875" style="224" bestFit="1" customWidth="1"/>
    <col min="13354" max="13354" width="15" style="224" bestFit="1" customWidth="1"/>
    <col min="13355" max="13355" width="12.7265625" style="224" bestFit="1" customWidth="1"/>
    <col min="13356" max="13581" width="9.1796875" style="224"/>
    <col min="13582" max="13582" width="2.1796875" style="224" customWidth="1"/>
    <col min="13583" max="13583" width="1" style="224" customWidth="1"/>
    <col min="13584" max="13584" width="28" style="224" customWidth="1"/>
    <col min="13585" max="13585" width="5.453125" style="224" bestFit="1" customWidth="1"/>
    <col min="13586" max="13586" width="6.54296875" style="224" bestFit="1" customWidth="1"/>
    <col min="13587" max="13587" width="16.54296875" style="224" customWidth="1"/>
    <col min="13588" max="13588" width="13.453125" style="224" bestFit="1" customWidth="1"/>
    <col min="13589" max="13589" width="6.54296875" style="224" customWidth="1"/>
    <col min="13590" max="13590" width="15" style="224" customWidth="1"/>
    <col min="13591" max="13591" width="12" style="224" bestFit="1" customWidth="1"/>
    <col min="13592" max="13592" width="15.26953125" style="224" bestFit="1" customWidth="1"/>
    <col min="13593" max="13594" width="15" style="224" bestFit="1" customWidth="1"/>
    <col min="13595" max="13595" width="12" style="224" bestFit="1" customWidth="1"/>
    <col min="13596" max="13596" width="15.26953125" style="224" bestFit="1" customWidth="1"/>
    <col min="13597" max="13597" width="12" style="224" bestFit="1" customWidth="1"/>
    <col min="13598" max="13598" width="15.26953125" style="224" bestFit="1" customWidth="1"/>
    <col min="13599" max="13599" width="12" style="224" bestFit="1" customWidth="1"/>
    <col min="13600" max="13600" width="15" style="224" bestFit="1" customWidth="1"/>
    <col min="13601" max="13601" width="11.6328125" style="224" bestFit="1" customWidth="1"/>
    <col min="13602" max="13602" width="15.26953125" style="224" bestFit="1" customWidth="1"/>
    <col min="13603" max="13603" width="13.1796875" style="224" bestFit="1" customWidth="1"/>
    <col min="13604" max="13604" width="15.26953125" style="224" bestFit="1" customWidth="1"/>
    <col min="13605" max="13605" width="12.7265625" style="224" bestFit="1" customWidth="1"/>
    <col min="13606" max="13606" width="15" style="224" bestFit="1" customWidth="1"/>
    <col min="13607" max="13607" width="12.90625" style="224" bestFit="1" customWidth="1"/>
    <col min="13608" max="13608" width="15" style="224" bestFit="1" customWidth="1"/>
    <col min="13609" max="13609" width="13.1796875" style="224" bestFit="1" customWidth="1"/>
    <col min="13610" max="13610" width="15" style="224" bestFit="1" customWidth="1"/>
    <col min="13611" max="13611" width="12.7265625" style="224" bestFit="1" customWidth="1"/>
    <col min="13612" max="13837" width="9.1796875" style="224"/>
    <col min="13838" max="13838" width="2.1796875" style="224" customWidth="1"/>
    <col min="13839" max="13839" width="1" style="224" customWidth="1"/>
    <col min="13840" max="13840" width="28" style="224" customWidth="1"/>
    <col min="13841" max="13841" width="5.453125" style="224" bestFit="1" customWidth="1"/>
    <col min="13842" max="13842" width="6.54296875" style="224" bestFit="1" customWidth="1"/>
    <col min="13843" max="13843" width="16.54296875" style="224" customWidth="1"/>
    <col min="13844" max="13844" width="13.453125" style="224" bestFit="1" customWidth="1"/>
    <col min="13845" max="13845" width="6.54296875" style="224" customWidth="1"/>
    <col min="13846" max="13846" width="15" style="224" customWidth="1"/>
    <col min="13847" max="13847" width="12" style="224" bestFit="1" customWidth="1"/>
    <col min="13848" max="13848" width="15.26953125" style="224" bestFit="1" customWidth="1"/>
    <col min="13849" max="13850" width="15" style="224" bestFit="1" customWidth="1"/>
    <col min="13851" max="13851" width="12" style="224" bestFit="1" customWidth="1"/>
    <col min="13852" max="13852" width="15.26953125" style="224" bestFit="1" customWidth="1"/>
    <col min="13853" max="13853" width="12" style="224" bestFit="1" customWidth="1"/>
    <col min="13854" max="13854" width="15.26953125" style="224" bestFit="1" customWidth="1"/>
    <col min="13855" max="13855" width="12" style="224" bestFit="1" customWidth="1"/>
    <col min="13856" max="13856" width="15" style="224" bestFit="1" customWidth="1"/>
    <col min="13857" max="13857" width="11.6328125" style="224" bestFit="1" customWidth="1"/>
    <col min="13858" max="13858" width="15.26953125" style="224" bestFit="1" customWidth="1"/>
    <col min="13859" max="13859" width="13.1796875" style="224" bestFit="1" customWidth="1"/>
    <col min="13860" max="13860" width="15.26953125" style="224" bestFit="1" customWidth="1"/>
    <col min="13861" max="13861" width="12.7265625" style="224" bestFit="1" customWidth="1"/>
    <col min="13862" max="13862" width="15" style="224" bestFit="1" customWidth="1"/>
    <col min="13863" max="13863" width="12.90625" style="224" bestFit="1" customWidth="1"/>
    <col min="13864" max="13864" width="15" style="224" bestFit="1" customWidth="1"/>
    <col min="13865" max="13865" width="13.1796875" style="224" bestFit="1" customWidth="1"/>
    <col min="13866" max="13866" width="15" style="224" bestFit="1" customWidth="1"/>
    <col min="13867" max="13867" width="12.7265625" style="224" bestFit="1" customWidth="1"/>
    <col min="13868" max="14093" width="9.1796875" style="224"/>
    <col min="14094" max="14094" width="2.1796875" style="224" customWidth="1"/>
    <col min="14095" max="14095" width="1" style="224" customWidth="1"/>
    <col min="14096" max="14096" width="28" style="224" customWidth="1"/>
    <col min="14097" max="14097" width="5.453125" style="224" bestFit="1" customWidth="1"/>
    <col min="14098" max="14098" width="6.54296875" style="224" bestFit="1" customWidth="1"/>
    <col min="14099" max="14099" width="16.54296875" style="224" customWidth="1"/>
    <col min="14100" max="14100" width="13.453125" style="224" bestFit="1" customWidth="1"/>
    <col min="14101" max="14101" width="6.54296875" style="224" customWidth="1"/>
    <col min="14102" max="14102" width="15" style="224" customWidth="1"/>
    <col min="14103" max="14103" width="12" style="224" bestFit="1" customWidth="1"/>
    <col min="14104" max="14104" width="15.26953125" style="224" bestFit="1" customWidth="1"/>
    <col min="14105" max="14106" width="15" style="224" bestFit="1" customWidth="1"/>
    <col min="14107" max="14107" width="12" style="224" bestFit="1" customWidth="1"/>
    <col min="14108" max="14108" width="15.26953125" style="224" bestFit="1" customWidth="1"/>
    <col min="14109" max="14109" width="12" style="224" bestFit="1" customWidth="1"/>
    <col min="14110" max="14110" width="15.26953125" style="224" bestFit="1" customWidth="1"/>
    <col min="14111" max="14111" width="12" style="224" bestFit="1" customWidth="1"/>
    <col min="14112" max="14112" width="15" style="224" bestFit="1" customWidth="1"/>
    <col min="14113" max="14113" width="11.6328125" style="224" bestFit="1" customWidth="1"/>
    <col min="14114" max="14114" width="15.26953125" style="224" bestFit="1" customWidth="1"/>
    <col min="14115" max="14115" width="13.1796875" style="224" bestFit="1" customWidth="1"/>
    <col min="14116" max="14116" width="15.26953125" style="224" bestFit="1" customWidth="1"/>
    <col min="14117" max="14117" width="12.7265625" style="224" bestFit="1" customWidth="1"/>
    <col min="14118" max="14118" width="15" style="224" bestFit="1" customWidth="1"/>
    <col min="14119" max="14119" width="12.90625" style="224" bestFit="1" customWidth="1"/>
    <col min="14120" max="14120" width="15" style="224" bestFit="1" customWidth="1"/>
    <col min="14121" max="14121" width="13.1796875" style="224" bestFit="1" customWidth="1"/>
    <col min="14122" max="14122" width="15" style="224" bestFit="1" customWidth="1"/>
    <col min="14123" max="14123" width="12.7265625" style="224" bestFit="1" customWidth="1"/>
    <col min="14124" max="14349" width="9.1796875" style="224"/>
    <col min="14350" max="14350" width="2.1796875" style="224" customWidth="1"/>
    <col min="14351" max="14351" width="1" style="224" customWidth="1"/>
    <col min="14352" max="14352" width="28" style="224" customWidth="1"/>
    <col min="14353" max="14353" width="5.453125" style="224" bestFit="1" customWidth="1"/>
    <col min="14354" max="14354" width="6.54296875" style="224" bestFit="1" customWidth="1"/>
    <col min="14355" max="14355" width="16.54296875" style="224" customWidth="1"/>
    <col min="14356" max="14356" width="13.453125" style="224" bestFit="1" customWidth="1"/>
    <col min="14357" max="14357" width="6.54296875" style="224" customWidth="1"/>
    <col min="14358" max="14358" width="15" style="224" customWidth="1"/>
    <col min="14359" max="14359" width="12" style="224" bestFit="1" customWidth="1"/>
    <col min="14360" max="14360" width="15.26953125" style="224" bestFit="1" customWidth="1"/>
    <col min="14361" max="14362" width="15" style="224" bestFit="1" customWidth="1"/>
    <col min="14363" max="14363" width="12" style="224" bestFit="1" customWidth="1"/>
    <col min="14364" max="14364" width="15.26953125" style="224" bestFit="1" customWidth="1"/>
    <col min="14365" max="14365" width="12" style="224" bestFit="1" customWidth="1"/>
    <col min="14366" max="14366" width="15.26953125" style="224" bestFit="1" customWidth="1"/>
    <col min="14367" max="14367" width="12" style="224" bestFit="1" customWidth="1"/>
    <col min="14368" max="14368" width="15" style="224" bestFit="1" customWidth="1"/>
    <col min="14369" max="14369" width="11.6328125" style="224" bestFit="1" customWidth="1"/>
    <col min="14370" max="14370" width="15.26953125" style="224" bestFit="1" customWidth="1"/>
    <col min="14371" max="14371" width="13.1796875" style="224" bestFit="1" customWidth="1"/>
    <col min="14372" max="14372" width="15.26953125" style="224" bestFit="1" customWidth="1"/>
    <col min="14373" max="14373" width="12.7265625" style="224" bestFit="1" customWidth="1"/>
    <col min="14374" max="14374" width="15" style="224" bestFit="1" customWidth="1"/>
    <col min="14375" max="14375" width="12.90625" style="224" bestFit="1" customWidth="1"/>
    <col min="14376" max="14376" width="15" style="224" bestFit="1" customWidth="1"/>
    <col min="14377" max="14377" width="13.1796875" style="224" bestFit="1" customWidth="1"/>
    <col min="14378" max="14378" width="15" style="224" bestFit="1" customWidth="1"/>
    <col min="14379" max="14379" width="12.7265625" style="224" bestFit="1" customWidth="1"/>
    <col min="14380" max="14605" width="9.1796875" style="224"/>
    <col min="14606" max="14606" width="2.1796875" style="224" customWidth="1"/>
    <col min="14607" max="14607" width="1" style="224" customWidth="1"/>
    <col min="14608" max="14608" width="28" style="224" customWidth="1"/>
    <col min="14609" max="14609" width="5.453125" style="224" bestFit="1" customWidth="1"/>
    <col min="14610" max="14610" width="6.54296875" style="224" bestFit="1" customWidth="1"/>
    <col min="14611" max="14611" width="16.54296875" style="224" customWidth="1"/>
    <col min="14612" max="14612" width="13.453125" style="224" bestFit="1" customWidth="1"/>
    <col min="14613" max="14613" width="6.54296875" style="224" customWidth="1"/>
    <col min="14614" max="14614" width="15" style="224" customWidth="1"/>
    <col min="14615" max="14615" width="12" style="224" bestFit="1" customWidth="1"/>
    <col min="14616" max="14616" width="15.26953125" style="224" bestFit="1" customWidth="1"/>
    <col min="14617" max="14618" width="15" style="224" bestFit="1" customWidth="1"/>
    <col min="14619" max="14619" width="12" style="224" bestFit="1" customWidth="1"/>
    <col min="14620" max="14620" width="15.26953125" style="224" bestFit="1" customWidth="1"/>
    <col min="14621" max="14621" width="12" style="224" bestFit="1" customWidth="1"/>
    <col min="14622" max="14622" width="15.26953125" style="224" bestFit="1" customWidth="1"/>
    <col min="14623" max="14623" width="12" style="224" bestFit="1" customWidth="1"/>
    <col min="14624" max="14624" width="15" style="224" bestFit="1" customWidth="1"/>
    <col min="14625" max="14625" width="11.6328125" style="224" bestFit="1" customWidth="1"/>
    <col min="14626" max="14626" width="15.26953125" style="224" bestFit="1" customWidth="1"/>
    <col min="14627" max="14627" width="13.1796875" style="224" bestFit="1" customWidth="1"/>
    <col min="14628" max="14628" width="15.26953125" style="224" bestFit="1" customWidth="1"/>
    <col min="14629" max="14629" width="12.7265625" style="224" bestFit="1" customWidth="1"/>
    <col min="14630" max="14630" width="15" style="224" bestFit="1" customWidth="1"/>
    <col min="14631" max="14631" width="12.90625" style="224" bestFit="1" customWidth="1"/>
    <col min="14632" max="14632" width="15" style="224" bestFit="1" customWidth="1"/>
    <col min="14633" max="14633" width="13.1796875" style="224" bestFit="1" customWidth="1"/>
    <col min="14634" max="14634" width="15" style="224" bestFit="1" customWidth="1"/>
    <col min="14635" max="14635" width="12.7265625" style="224" bestFit="1" customWidth="1"/>
    <col min="14636" max="14861" width="9.1796875" style="224"/>
    <col min="14862" max="14862" width="2.1796875" style="224" customWidth="1"/>
    <col min="14863" max="14863" width="1" style="224" customWidth="1"/>
    <col min="14864" max="14864" width="28" style="224" customWidth="1"/>
    <col min="14865" max="14865" width="5.453125" style="224" bestFit="1" customWidth="1"/>
    <col min="14866" max="14866" width="6.54296875" style="224" bestFit="1" customWidth="1"/>
    <col min="14867" max="14867" width="16.54296875" style="224" customWidth="1"/>
    <col min="14868" max="14868" width="13.453125" style="224" bestFit="1" customWidth="1"/>
    <col min="14869" max="14869" width="6.54296875" style="224" customWidth="1"/>
    <col min="14870" max="14870" width="15" style="224" customWidth="1"/>
    <col min="14871" max="14871" width="12" style="224" bestFit="1" customWidth="1"/>
    <col min="14872" max="14872" width="15.26953125" style="224" bestFit="1" customWidth="1"/>
    <col min="14873" max="14874" width="15" style="224" bestFit="1" customWidth="1"/>
    <col min="14875" max="14875" width="12" style="224" bestFit="1" customWidth="1"/>
    <col min="14876" max="14876" width="15.26953125" style="224" bestFit="1" customWidth="1"/>
    <col min="14877" max="14877" width="12" style="224" bestFit="1" customWidth="1"/>
    <col min="14878" max="14878" width="15.26953125" style="224" bestFit="1" customWidth="1"/>
    <col min="14879" max="14879" width="12" style="224" bestFit="1" customWidth="1"/>
    <col min="14880" max="14880" width="15" style="224" bestFit="1" customWidth="1"/>
    <col min="14881" max="14881" width="11.6328125" style="224" bestFit="1" customWidth="1"/>
    <col min="14882" max="14882" width="15.26953125" style="224" bestFit="1" customWidth="1"/>
    <col min="14883" max="14883" width="13.1796875" style="224" bestFit="1" customWidth="1"/>
    <col min="14884" max="14884" width="15.26953125" style="224" bestFit="1" customWidth="1"/>
    <col min="14885" max="14885" width="12.7265625" style="224" bestFit="1" customWidth="1"/>
    <col min="14886" max="14886" width="15" style="224" bestFit="1" customWidth="1"/>
    <col min="14887" max="14887" width="12.90625" style="224" bestFit="1" customWidth="1"/>
    <col min="14888" max="14888" width="15" style="224" bestFit="1" customWidth="1"/>
    <col min="14889" max="14889" width="13.1796875" style="224" bestFit="1" customWidth="1"/>
    <col min="14890" max="14890" width="15" style="224" bestFit="1" customWidth="1"/>
    <col min="14891" max="14891" width="12.7265625" style="224" bestFit="1" customWidth="1"/>
    <col min="14892" max="15117" width="9.1796875" style="224"/>
    <col min="15118" max="15118" width="2.1796875" style="224" customWidth="1"/>
    <col min="15119" max="15119" width="1" style="224" customWidth="1"/>
    <col min="15120" max="15120" width="28" style="224" customWidth="1"/>
    <col min="15121" max="15121" width="5.453125" style="224" bestFit="1" customWidth="1"/>
    <col min="15122" max="15122" width="6.54296875" style="224" bestFit="1" customWidth="1"/>
    <col min="15123" max="15123" width="16.54296875" style="224" customWidth="1"/>
    <col min="15124" max="15124" width="13.453125" style="224" bestFit="1" customWidth="1"/>
    <col min="15125" max="15125" width="6.54296875" style="224" customWidth="1"/>
    <col min="15126" max="15126" width="15" style="224" customWidth="1"/>
    <col min="15127" max="15127" width="12" style="224" bestFit="1" customWidth="1"/>
    <col min="15128" max="15128" width="15.26953125" style="224" bestFit="1" customWidth="1"/>
    <col min="15129" max="15130" width="15" style="224" bestFit="1" customWidth="1"/>
    <col min="15131" max="15131" width="12" style="224" bestFit="1" customWidth="1"/>
    <col min="15132" max="15132" width="15.26953125" style="224" bestFit="1" customWidth="1"/>
    <col min="15133" max="15133" width="12" style="224" bestFit="1" customWidth="1"/>
    <col min="15134" max="15134" width="15.26953125" style="224" bestFit="1" customWidth="1"/>
    <col min="15135" max="15135" width="12" style="224" bestFit="1" customWidth="1"/>
    <col min="15136" max="15136" width="15" style="224" bestFit="1" customWidth="1"/>
    <col min="15137" max="15137" width="11.6328125" style="224" bestFit="1" customWidth="1"/>
    <col min="15138" max="15138" width="15.26953125" style="224" bestFit="1" customWidth="1"/>
    <col min="15139" max="15139" width="13.1796875" style="224" bestFit="1" customWidth="1"/>
    <col min="15140" max="15140" width="15.26953125" style="224" bestFit="1" customWidth="1"/>
    <col min="15141" max="15141" width="12.7265625" style="224" bestFit="1" customWidth="1"/>
    <col min="15142" max="15142" width="15" style="224" bestFit="1" customWidth="1"/>
    <col min="15143" max="15143" width="12.90625" style="224" bestFit="1" customWidth="1"/>
    <col min="15144" max="15144" width="15" style="224" bestFit="1" customWidth="1"/>
    <col min="15145" max="15145" width="13.1796875" style="224" bestFit="1" customWidth="1"/>
    <col min="15146" max="15146" width="15" style="224" bestFit="1" customWidth="1"/>
    <col min="15147" max="15147" width="12.7265625" style="224" bestFit="1" customWidth="1"/>
    <col min="15148" max="15373" width="9.1796875" style="224"/>
    <col min="15374" max="15374" width="2.1796875" style="224" customWidth="1"/>
    <col min="15375" max="15375" width="1" style="224" customWidth="1"/>
    <col min="15376" max="15376" width="28" style="224" customWidth="1"/>
    <col min="15377" max="15377" width="5.453125" style="224" bestFit="1" customWidth="1"/>
    <col min="15378" max="15378" width="6.54296875" style="224" bestFit="1" customWidth="1"/>
    <col min="15379" max="15379" width="16.54296875" style="224" customWidth="1"/>
    <col min="15380" max="15380" width="13.453125" style="224" bestFit="1" customWidth="1"/>
    <col min="15381" max="15381" width="6.54296875" style="224" customWidth="1"/>
    <col min="15382" max="15382" width="15" style="224" customWidth="1"/>
    <col min="15383" max="15383" width="12" style="224" bestFit="1" customWidth="1"/>
    <col min="15384" max="15384" width="15.26953125" style="224" bestFit="1" customWidth="1"/>
    <col min="15385" max="15386" width="15" style="224" bestFit="1" customWidth="1"/>
    <col min="15387" max="15387" width="12" style="224" bestFit="1" customWidth="1"/>
    <col min="15388" max="15388" width="15.26953125" style="224" bestFit="1" customWidth="1"/>
    <col min="15389" max="15389" width="12" style="224" bestFit="1" customWidth="1"/>
    <col min="15390" max="15390" width="15.26953125" style="224" bestFit="1" customWidth="1"/>
    <col min="15391" max="15391" width="12" style="224" bestFit="1" customWidth="1"/>
    <col min="15392" max="15392" width="15" style="224" bestFit="1" customWidth="1"/>
    <col min="15393" max="15393" width="11.6328125" style="224" bestFit="1" customWidth="1"/>
    <col min="15394" max="15394" width="15.26953125" style="224" bestFit="1" customWidth="1"/>
    <col min="15395" max="15395" width="13.1796875" style="224" bestFit="1" customWidth="1"/>
    <col min="15396" max="15396" width="15.26953125" style="224" bestFit="1" customWidth="1"/>
    <col min="15397" max="15397" width="12.7265625" style="224" bestFit="1" customWidth="1"/>
    <col min="15398" max="15398" width="15" style="224" bestFit="1" customWidth="1"/>
    <col min="15399" max="15399" width="12.90625" style="224" bestFit="1" customWidth="1"/>
    <col min="15400" max="15400" width="15" style="224" bestFit="1" customWidth="1"/>
    <col min="15401" max="15401" width="13.1796875" style="224" bestFit="1" customWidth="1"/>
    <col min="15402" max="15402" width="15" style="224" bestFit="1" customWidth="1"/>
    <col min="15403" max="15403" width="12.7265625" style="224" bestFit="1" customWidth="1"/>
    <col min="15404" max="15629" width="9.1796875" style="224"/>
    <col min="15630" max="15630" width="2.1796875" style="224" customWidth="1"/>
    <col min="15631" max="15631" width="1" style="224" customWidth="1"/>
    <col min="15632" max="15632" width="28" style="224" customWidth="1"/>
    <col min="15633" max="15633" width="5.453125" style="224" bestFit="1" customWidth="1"/>
    <col min="15634" max="15634" width="6.54296875" style="224" bestFit="1" customWidth="1"/>
    <col min="15635" max="15635" width="16.54296875" style="224" customWidth="1"/>
    <col min="15636" max="15636" width="13.453125" style="224" bestFit="1" customWidth="1"/>
    <col min="15637" max="15637" width="6.54296875" style="224" customWidth="1"/>
    <col min="15638" max="15638" width="15" style="224" customWidth="1"/>
    <col min="15639" max="15639" width="12" style="224" bestFit="1" customWidth="1"/>
    <col min="15640" max="15640" width="15.26953125" style="224" bestFit="1" customWidth="1"/>
    <col min="15641" max="15642" width="15" style="224" bestFit="1" customWidth="1"/>
    <col min="15643" max="15643" width="12" style="224" bestFit="1" customWidth="1"/>
    <col min="15644" max="15644" width="15.26953125" style="224" bestFit="1" customWidth="1"/>
    <col min="15645" max="15645" width="12" style="224" bestFit="1" customWidth="1"/>
    <col min="15646" max="15646" width="15.26953125" style="224" bestFit="1" customWidth="1"/>
    <col min="15647" max="15647" width="12" style="224" bestFit="1" customWidth="1"/>
    <col min="15648" max="15648" width="15" style="224" bestFit="1" customWidth="1"/>
    <col min="15649" max="15649" width="11.6328125" style="224" bestFit="1" customWidth="1"/>
    <col min="15650" max="15650" width="15.26953125" style="224" bestFit="1" customWidth="1"/>
    <col min="15651" max="15651" width="13.1796875" style="224" bestFit="1" customWidth="1"/>
    <col min="15652" max="15652" width="15.26953125" style="224" bestFit="1" customWidth="1"/>
    <col min="15653" max="15653" width="12.7265625" style="224" bestFit="1" customWidth="1"/>
    <col min="15654" max="15654" width="15" style="224" bestFit="1" customWidth="1"/>
    <col min="15655" max="15655" width="12.90625" style="224" bestFit="1" customWidth="1"/>
    <col min="15656" max="15656" width="15" style="224" bestFit="1" customWidth="1"/>
    <col min="15657" max="15657" width="13.1796875" style="224" bestFit="1" customWidth="1"/>
    <col min="15658" max="15658" width="15" style="224" bestFit="1" customWidth="1"/>
    <col min="15659" max="15659" width="12.7265625" style="224" bestFit="1" customWidth="1"/>
    <col min="15660" max="15885" width="9.1796875" style="224"/>
    <col min="15886" max="15886" width="2.1796875" style="224" customWidth="1"/>
    <col min="15887" max="15887" width="1" style="224" customWidth="1"/>
    <col min="15888" max="15888" width="28" style="224" customWidth="1"/>
    <col min="15889" max="15889" width="5.453125" style="224" bestFit="1" customWidth="1"/>
    <col min="15890" max="15890" width="6.54296875" style="224" bestFit="1" customWidth="1"/>
    <col min="15891" max="15891" width="16.54296875" style="224" customWidth="1"/>
    <col min="15892" max="15892" width="13.453125" style="224" bestFit="1" customWidth="1"/>
    <col min="15893" max="15893" width="6.54296875" style="224" customWidth="1"/>
    <col min="15894" max="15894" width="15" style="224" customWidth="1"/>
    <col min="15895" max="15895" width="12" style="224" bestFit="1" customWidth="1"/>
    <col min="15896" max="15896" width="15.26953125" style="224" bestFit="1" customWidth="1"/>
    <col min="15897" max="15898" width="15" style="224" bestFit="1" customWidth="1"/>
    <col min="15899" max="15899" width="12" style="224" bestFit="1" customWidth="1"/>
    <col min="15900" max="15900" width="15.26953125" style="224" bestFit="1" customWidth="1"/>
    <col min="15901" max="15901" width="12" style="224" bestFit="1" customWidth="1"/>
    <col min="15902" max="15902" width="15.26953125" style="224" bestFit="1" customWidth="1"/>
    <col min="15903" max="15903" width="12" style="224" bestFit="1" customWidth="1"/>
    <col min="15904" max="15904" width="15" style="224" bestFit="1" customWidth="1"/>
    <col min="15905" max="15905" width="11.6328125" style="224" bestFit="1" customWidth="1"/>
    <col min="15906" max="15906" width="15.26953125" style="224" bestFit="1" customWidth="1"/>
    <col min="15907" max="15907" width="13.1796875" style="224" bestFit="1" customWidth="1"/>
    <col min="15908" max="15908" width="15.26953125" style="224" bestFit="1" customWidth="1"/>
    <col min="15909" max="15909" width="12.7265625" style="224" bestFit="1" customWidth="1"/>
    <col min="15910" max="15910" width="15" style="224" bestFit="1" customWidth="1"/>
    <col min="15911" max="15911" width="12.90625" style="224" bestFit="1" customWidth="1"/>
    <col min="15912" max="15912" width="15" style="224" bestFit="1" customWidth="1"/>
    <col min="15913" max="15913" width="13.1796875" style="224" bestFit="1" customWidth="1"/>
    <col min="15914" max="15914" width="15" style="224" bestFit="1" customWidth="1"/>
    <col min="15915" max="15915" width="12.7265625" style="224" bestFit="1" customWidth="1"/>
    <col min="15916" max="16141" width="9.1796875" style="224"/>
    <col min="16142" max="16142" width="2.1796875" style="224" customWidth="1"/>
    <col min="16143" max="16143" width="1" style="224" customWidth="1"/>
    <col min="16144" max="16144" width="28" style="224" customWidth="1"/>
    <col min="16145" max="16145" width="5.453125" style="224" bestFit="1" customWidth="1"/>
    <col min="16146" max="16146" width="6.54296875" style="224" bestFit="1" customWidth="1"/>
    <col min="16147" max="16147" width="16.54296875" style="224" customWidth="1"/>
    <col min="16148" max="16148" width="13.453125" style="224" bestFit="1" customWidth="1"/>
    <col min="16149" max="16149" width="6.54296875" style="224" customWidth="1"/>
    <col min="16150" max="16150" width="15" style="224" customWidth="1"/>
    <col min="16151" max="16151" width="12" style="224" bestFit="1" customWidth="1"/>
    <col min="16152" max="16152" width="15.26953125" style="224" bestFit="1" customWidth="1"/>
    <col min="16153" max="16154" width="15" style="224" bestFit="1" customWidth="1"/>
    <col min="16155" max="16155" width="12" style="224" bestFit="1" customWidth="1"/>
    <col min="16156" max="16156" width="15.26953125" style="224" bestFit="1" customWidth="1"/>
    <col min="16157" max="16157" width="12" style="224" bestFit="1" customWidth="1"/>
    <col min="16158" max="16158" width="15.26953125" style="224" bestFit="1" customWidth="1"/>
    <col min="16159" max="16159" width="12" style="224" bestFit="1" customWidth="1"/>
    <col min="16160" max="16160" width="15" style="224" bestFit="1" customWidth="1"/>
    <col min="16161" max="16161" width="11.6328125" style="224" bestFit="1" customWidth="1"/>
    <col min="16162" max="16162" width="15.26953125" style="224" bestFit="1" customWidth="1"/>
    <col min="16163" max="16163" width="13.1796875" style="224" bestFit="1" customWidth="1"/>
    <col min="16164" max="16164" width="15.26953125" style="224" bestFit="1" customWidth="1"/>
    <col min="16165" max="16165" width="12.7265625" style="224" bestFit="1" customWidth="1"/>
    <col min="16166" max="16166" width="15" style="224" bestFit="1" customWidth="1"/>
    <col min="16167" max="16167" width="12.90625" style="224" bestFit="1" customWidth="1"/>
    <col min="16168" max="16168" width="15" style="224" bestFit="1" customWidth="1"/>
    <col min="16169" max="16169" width="13.1796875" style="224" bestFit="1" customWidth="1"/>
    <col min="16170" max="16170" width="15" style="224" bestFit="1" customWidth="1"/>
    <col min="16171" max="16171" width="12.7265625" style="224" bestFit="1" customWidth="1"/>
    <col min="16172" max="16384" width="9.1796875" style="224"/>
  </cols>
  <sheetData>
    <row r="2" spans="3:43" x14ac:dyDescent="0.15">
      <c r="C2" s="312" t="s">
        <v>119</v>
      </c>
      <c r="D2" s="312"/>
      <c r="E2" s="312"/>
      <c r="F2" s="109"/>
      <c r="G2" s="109"/>
      <c r="H2" s="109"/>
      <c r="I2" s="450"/>
      <c r="J2" s="109"/>
      <c r="K2" s="109"/>
      <c r="L2" s="109"/>
      <c r="M2" s="109"/>
      <c r="N2" s="109"/>
      <c r="O2" s="109"/>
      <c r="P2" s="109"/>
      <c r="Q2" s="109"/>
      <c r="R2" s="109"/>
      <c r="S2" s="109"/>
      <c r="U2" s="109"/>
      <c r="X2" s="109"/>
      <c r="AA2" s="109"/>
      <c r="AD2" s="109"/>
      <c r="AG2" s="109"/>
      <c r="AJ2" s="109"/>
      <c r="AM2" s="109"/>
      <c r="AP2" s="109"/>
    </row>
    <row r="3" spans="3:43" x14ac:dyDescent="0.15">
      <c r="C3" s="220" t="s">
        <v>134</v>
      </c>
      <c r="D3" s="220"/>
      <c r="E3" s="220"/>
      <c r="F3" s="109"/>
      <c r="G3" s="109"/>
      <c r="H3" s="109"/>
      <c r="I3" s="450"/>
      <c r="J3" s="109"/>
      <c r="K3" s="109"/>
      <c r="L3" s="109"/>
      <c r="M3" s="109"/>
      <c r="N3" s="109"/>
      <c r="O3" s="109"/>
      <c r="P3" s="109"/>
      <c r="Q3" s="109"/>
      <c r="R3" s="109"/>
      <c r="S3" s="109"/>
      <c r="U3" s="109"/>
      <c r="X3" s="109"/>
      <c r="Z3" s="313"/>
      <c r="AA3" s="109"/>
      <c r="AD3" s="109"/>
      <c r="AG3" s="109"/>
      <c r="AJ3" s="109"/>
      <c r="AM3" s="109"/>
      <c r="AP3" s="109"/>
    </row>
    <row r="4" spans="3:43" ht="7.5" thickBot="1" x14ac:dyDescent="0.2">
      <c r="C4" s="312"/>
      <c r="D4" s="312"/>
      <c r="E4" s="312"/>
      <c r="F4" s="109"/>
      <c r="G4" s="109"/>
      <c r="H4" s="109"/>
      <c r="I4" s="450"/>
      <c r="J4" s="109"/>
      <c r="K4" s="109"/>
      <c r="L4" s="109"/>
      <c r="M4" s="109"/>
      <c r="N4" s="109"/>
      <c r="O4" s="109"/>
      <c r="P4" s="109"/>
      <c r="Q4" s="109"/>
      <c r="R4" s="109"/>
      <c r="S4" s="109"/>
      <c r="U4" s="109"/>
      <c r="X4" s="109"/>
      <c r="Z4" s="313"/>
      <c r="AA4" s="109"/>
      <c r="AD4" s="109"/>
      <c r="AG4" s="109"/>
      <c r="AJ4" s="109"/>
      <c r="AM4" s="109"/>
      <c r="AP4" s="109"/>
    </row>
    <row r="5" spans="3:43" s="317" customFormat="1" ht="21.5" customHeight="1" thickBot="1" x14ac:dyDescent="0.4">
      <c r="C5" s="314"/>
      <c r="D5" s="315"/>
      <c r="E5" s="315"/>
      <c r="F5" s="316"/>
      <c r="G5" s="316"/>
      <c r="H5" s="376"/>
      <c r="I5" s="451"/>
      <c r="J5" s="376"/>
      <c r="K5" s="612" t="s">
        <v>64</v>
      </c>
      <c r="L5" s="613"/>
      <c r="M5" s="614"/>
      <c r="N5" s="610">
        <v>1</v>
      </c>
      <c r="O5" s="610"/>
      <c r="P5" s="611"/>
      <c r="Q5" s="613">
        <f>N5+1</f>
        <v>2</v>
      </c>
      <c r="R5" s="613"/>
      <c r="S5" s="614"/>
      <c r="T5" s="610">
        <f>Q5+1</f>
        <v>3</v>
      </c>
      <c r="U5" s="610"/>
      <c r="V5" s="611"/>
      <c r="W5" s="613">
        <f>T5+1</f>
        <v>4</v>
      </c>
      <c r="X5" s="613"/>
      <c r="Y5" s="614"/>
      <c r="Z5" s="610">
        <f>W5+1</f>
        <v>5</v>
      </c>
      <c r="AA5" s="610"/>
      <c r="AB5" s="611"/>
      <c r="AC5" s="606">
        <f>Z5+1</f>
        <v>6</v>
      </c>
      <c r="AD5" s="606"/>
      <c r="AE5" s="607"/>
      <c r="AF5" s="608">
        <f>AC5+1</f>
        <v>7</v>
      </c>
      <c r="AG5" s="608"/>
      <c r="AH5" s="609"/>
      <c r="AI5" s="606">
        <f>AF5+1</f>
        <v>8</v>
      </c>
      <c r="AJ5" s="606"/>
      <c r="AK5" s="607"/>
      <c r="AL5" s="608">
        <f>AI5+1</f>
        <v>9</v>
      </c>
      <c r="AM5" s="608"/>
      <c r="AN5" s="609"/>
      <c r="AO5" s="606">
        <f>AL5+1</f>
        <v>10</v>
      </c>
      <c r="AP5" s="606"/>
      <c r="AQ5" s="607"/>
    </row>
    <row r="6" spans="3:43" s="321" customFormat="1" ht="7.5" thickBot="1" x14ac:dyDescent="0.2">
      <c r="C6" s="318"/>
      <c r="D6" s="319"/>
      <c r="E6" s="319"/>
      <c r="F6" s="596" t="s">
        <v>84</v>
      </c>
      <c r="G6" s="320"/>
      <c r="H6" s="598" t="s">
        <v>63</v>
      </c>
      <c r="I6" s="599"/>
      <c r="J6" s="600"/>
      <c r="K6" s="601">
        <v>2023</v>
      </c>
      <c r="L6" s="602"/>
      <c r="M6" s="603"/>
      <c r="N6" s="604">
        <v>45657</v>
      </c>
      <c r="O6" s="604"/>
      <c r="P6" s="605"/>
      <c r="Q6" s="592">
        <v>46022</v>
      </c>
      <c r="R6" s="592"/>
      <c r="S6" s="593"/>
      <c r="T6" s="590">
        <v>46387</v>
      </c>
      <c r="U6" s="590"/>
      <c r="V6" s="591"/>
      <c r="W6" s="592">
        <v>46752</v>
      </c>
      <c r="X6" s="592"/>
      <c r="Y6" s="593"/>
      <c r="Z6" s="595">
        <v>47118</v>
      </c>
      <c r="AA6" s="590"/>
      <c r="AB6" s="591"/>
      <c r="AC6" s="592">
        <v>47483</v>
      </c>
      <c r="AD6" s="592"/>
      <c r="AE6" s="593"/>
      <c r="AF6" s="590">
        <v>47848</v>
      </c>
      <c r="AG6" s="590"/>
      <c r="AH6" s="591"/>
      <c r="AI6" s="592">
        <v>48213</v>
      </c>
      <c r="AJ6" s="592"/>
      <c r="AK6" s="593"/>
      <c r="AL6" s="590">
        <v>48579</v>
      </c>
      <c r="AM6" s="590"/>
      <c r="AN6" s="591"/>
      <c r="AO6" s="592">
        <v>48944</v>
      </c>
      <c r="AP6" s="592"/>
      <c r="AQ6" s="593"/>
    </row>
    <row r="7" spans="3:43" ht="21.5" thickBot="1" x14ac:dyDescent="0.2">
      <c r="C7" s="322"/>
      <c r="D7" s="323" t="s">
        <v>171</v>
      </c>
      <c r="E7" s="323" t="s">
        <v>84</v>
      </c>
      <c r="F7" s="597"/>
      <c r="G7" s="324" t="s">
        <v>62</v>
      </c>
      <c r="H7" s="377" t="s">
        <v>1</v>
      </c>
      <c r="I7" s="452"/>
      <c r="J7" s="377" t="s">
        <v>66</v>
      </c>
      <c r="K7" s="325" t="s">
        <v>1</v>
      </c>
      <c r="L7" s="325"/>
      <c r="M7" s="325" t="s">
        <v>66</v>
      </c>
      <c r="N7" s="377" t="s">
        <v>1</v>
      </c>
      <c r="O7" s="377"/>
      <c r="P7" s="455" t="s">
        <v>66</v>
      </c>
      <c r="Q7" s="456" t="s">
        <v>1</v>
      </c>
      <c r="R7" s="325"/>
      <c r="S7" s="456" t="s">
        <v>66</v>
      </c>
      <c r="T7" s="377" t="s">
        <v>1</v>
      </c>
      <c r="U7" s="377"/>
      <c r="V7" s="455" t="s">
        <v>66</v>
      </c>
      <c r="W7" s="456" t="s">
        <v>1</v>
      </c>
      <c r="X7" s="325"/>
      <c r="Y7" s="456" t="s">
        <v>66</v>
      </c>
      <c r="Z7" s="377" t="s">
        <v>1</v>
      </c>
      <c r="AA7" s="377"/>
      <c r="AB7" s="455" t="s">
        <v>66</v>
      </c>
      <c r="AC7" s="456" t="s">
        <v>1</v>
      </c>
      <c r="AD7" s="325"/>
      <c r="AE7" s="456" t="s">
        <v>66</v>
      </c>
      <c r="AF7" s="377" t="s">
        <v>1</v>
      </c>
      <c r="AG7" s="377"/>
      <c r="AH7" s="455" t="s">
        <v>66</v>
      </c>
      <c r="AI7" s="325" t="s">
        <v>1</v>
      </c>
      <c r="AJ7" s="325"/>
      <c r="AK7" s="456" t="s">
        <v>66</v>
      </c>
      <c r="AL7" s="377" t="s">
        <v>1</v>
      </c>
      <c r="AM7" s="377"/>
      <c r="AN7" s="455" t="s">
        <v>66</v>
      </c>
      <c r="AO7" s="325" t="s">
        <v>1</v>
      </c>
      <c r="AP7" s="325"/>
      <c r="AQ7" s="456" t="s">
        <v>66</v>
      </c>
    </row>
    <row r="8" spans="3:43" x14ac:dyDescent="0.15">
      <c r="C8" s="326" t="s">
        <v>120</v>
      </c>
      <c r="D8" s="326"/>
      <c r="E8" s="326"/>
      <c r="F8" s="327">
        <f>'Parameters and Summary'!E70</f>
        <v>952.63900000000001</v>
      </c>
      <c r="G8" s="327"/>
      <c r="H8" s="378">
        <f>K8</f>
        <v>0</v>
      </c>
      <c r="I8" s="379">
        <f>'Exchange Rate growth '!D6</f>
        <v>952.63900000000001</v>
      </c>
      <c r="J8" s="378">
        <f>M8</f>
        <v>0</v>
      </c>
      <c r="K8" s="116"/>
      <c r="L8" s="116">
        <f>'Exchange Rate growth '!D6</f>
        <v>952.63900000000001</v>
      </c>
      <c r="M8" s="249">
        <f>K8/L8</f>
        <v>0</v>
      </c>
      <c r="N8" s="379">
        <f>K91</f>
        <v>445000000</v>
      </c>
      <c r="O8" s="378">
        <f>'Exchange Rate growth '!D6</f>
        <v>952.63900000000001</v>
      </c>
      <c r="P8" s="393">
        <f>N8/O8</f>
        <v>467123.43290585413</v>
      </c>
      <c r="Q8" s="117">
        <f>N91</f>
        <v>14593225047.895405</v>
      </c>
      <c r="R8" s="116">
        <f>'Exchange Rate growth '!E6</f>
        <v>1047.9029</v>
      </c>
      <c r="S8" s="117">
        <f>Q8/R8</f>
        <v>13926123.353504799</v>
      </c>
      <c r="T8" s="379">
        <f>Q91</f>
        <v>63102839157.088097</v>
      </c>
      <c r="U8" s="378">
        <f>'Exchange Rate growth '!F6</f>
        <v>1152.6931900000002</v>
      </c>
      <c r="V8" s="393">
        <f>T8/U8</f>
        <v>54743829.237932853</v>
      </c>
      <c r="W8" s="117">
        <f>T91</f>
        <v>156625068397.36609</v>
      </c>
      <c r="X8" s="116">
        <f>'Exchange Rate growth '!G6</f>
        <v>1267.9625090000004</v>
      </c>
      <c r="Y8" s="117">
        <f>W8/X8</f>
        <v>123524999.5844838</v>
      </c>
      <c r="Z8" s="393">
        <f>W91</f>
        <v>277336095710.79254</v>
      </c>
      <c r="AA8" s="378">
        <f>'Exchange Rate growth '!H6</f>
        <v>1394.7587599000005</v>
      </c>
      <c r="AB8" s="393">
        <f>Z8/AA8</f>
        <v>198841623.14254016</v>
      </c>
      <c r="AC8" s="117">
        <f>Z91</f>
        <v>432601220539.81702</v>
      </c>
      <c r="AD8" s="116">
        <f>'Exchange Rate growth '!I6</f>
        <v>1534.2346358900006</v>
      </c>
      <c r="AE8" s="117">
        <f>AC8/AD8</f>
        <v>281965489.77586311</v>
      </c>
      <c r="AF8" s="393">
        <f>AC91</f>
        <v>416240888318.44098</v>
      </c>
      <c r="AG8" s="378">
        <f>'Exchange Rate growth '!J6</f>
        <v>1687.6580994790008</v>
      </c>
      <c r="AH8" s="393">
        <f>AF8/AG8</f>
        <v>246638159.97265041</v>
      </c>
      <c r="AI8" s="117">
        <f>AF91</f>
        <v>258326304949.19183</v>
      </c>
      <c r="AJ8" s="116">
        <f>'Exchange Rate growth '!K6</f>
        <v>1856.423909426901</v>
      </c>
      <c r="AK8" s="117">
        <f>AI8/AJ8</f>
        <v>139152649.15379164</v>
      </c>
      <c r="AL8" s="393">
        <f>AI91</f>
        <v>120738975764.29095</v>
      </c>
      <c r="AM8" s="378">
        <f>'Exchange Rate growth '!L6</f>
        <v>2042.0663003695913</v>
      </c>
      <c r="AN8" s="393">
        <f>AL8/AM8</f>
        <v>59125884.278310917</v>
      </c>
      <c r="AO8" s="117">
        <f>AL91</f>
        <v>-35964560973.937073</v>
      </c>
      <c r="AP8" s="116">
        <f>'Exchange Rate growth '!M6</f>
        <v>2246.2729304065506</v>
      </c>
      <c r="AQ8" s="117">
        <f>AO8/AP8</f>
        <v>-16010770.769261723</v>
      </c>
    </row>
    <row r="9" spans="3:43" x14ac:dyDescent="0.15">
      <c r="C9" s="328"/>
      <c r="D9" s="326"/>
      <c r="E9" s="326"/>
      <c r="F9" s="327"/>
      <c r="G9" s="327"/>
      <c r="H9" s="378"/>
      <c r="I9" s="379"/>
      <c r="J9" s="378"/>
      <c r="K9" s="116"/>
      <c r="L9" s="116"/>
      <c r="M9" s="329"/>
      <c r="N9" s="383"/>
      <c r="O9" s="378"/>
      <c r="P9" s="394"/>
      <c r="Q9" s="250"/>
      <c r="R9" s="116"/>
      <c r="S9" s="250"/>
      <c r="T9" s="383"/>
      <c r="U9" s="378"/>
      <c r="V9" s="394"/>
      <c r="W9" s="249"/>
      <c r="X9" s="116"/>
      <c r="Y9" s="250"/>
      <c r="Z9" s="383"/>
      <c r="AA9" s="378"/>
      <c r="AB9" s="393"/>
      <c r="AC9" s="249"/>
      <c r="AD9" s="116"/>
      <c r="AE9" s="117"/>
      <c r="AF9" s="383"/>
      <c r="AG9" s="378"/>
      <c r="AH9" s="393"/>
      <c r="AI9" s="249"/>
      <c r="AJ9" s="116"/>
      <c r="AK9" s="117"/>
      <c r="AL9" s="383"/>
      <c r="AM9" s="378"/>
      <c r="AN9" s="393"/>
      <c r="AO9" s="249"/>
      <c r="AP9" s="116"/>
      <c r="AQ9" s="117"/>
    </row>
    <row r="10" spans="3:43" x14ac:dyDescent="0.15">
      <c r="C10" s="328" t="s">
        <v>121</v>
      </c>
      <c r="D10" s="326"/>
      <c r="E10" s="326"/>
      <c r="F10" s="327"/>
      <c r="G10" s="327"/>
      <c r="H10" s="378"/>
      <c r="I10" s="379"/>
      <c r="J10" s="378"/>
      <c r="K10" s="116"/>
      <c r="L10" s="116"/>
      <c r="M10" s="329"/>
      <c r="N10" s="383"/>
      <c r="O10" s="378"/>
      <c r="P10" s="394"/>
      <c r="Q10" s="250"/>
      <c r="R10" s="116"/>
      <c r="S10" s="250"/>
      <c r="T10" s="383"/>
      <c r="U10" s="378"/>
      <c r="V10" s="394"/>
      <c r="W10" s="249"/>
      <c r="X10" s="116"/>
      <c r="Y10" s="250"/>
      <c r="Z10" s="383"/>
      <c r="AA10" s="378"/>
      <c r="AB10" s="393"/>
      <c r="AC10" s="249"/>
      <c r="AD10" s="116"/>
      <c r="AE10" s="117"/>
      <c r="AF10" s="383"/>
      <c r="AG10" s="378"/>
      <c r="AH10" s="393"/>
      <c r="AI10" s="249"/>
      <c r="AJ10" s="116"/>
      <c r="AK10" s="117"/>
      <c r="AL10" s="383"/>
      <c r="AM10" s="378"/>
      <c r="AN10" s="393"/>
      <c r="AO10" s="249"/>
      <c r="AP10" s="116"/>
      <c r="AQ10" s="117"/>
    </row>
    <row r="11" spans="3:43" x14ac:dyDescent="0.15">
      <c r="C11" s="330" t="str">
        <f>'[2]Investment Financing'!C6</f>
        <v>Equity Financing</v>
      </c>
      <c r="D11" s="331"/>
      <c r="E11" s="331"/>
      <c r="F11" s="116">
        <f>F8</f>
        <v>952.63900000000001</v>
      </c>
      <c r="G11" s="116"/>
      <c r="H11" s="379">
        <f>K11+N11+Q11+T11+W11+Z11+AC11+AF11+AI11+AL11+AO11</f>
        <v>500000000</v>
      </c>
      <c r="I11" s="379">
        <f>I8</f>
        <v>952.63900000000001</v>
      </c>
      <c r="J11" s="379">
        <f>M11+P11+S11+V11+Y11+AB11+AE11+AH11+AK11+AN11+AQ11</f>
        <v>524857.78978185856</v>
      </c>
      <c r="K11" s="116">
        <v>500000000</v>
      </c>
      <c r="L11" s="116">
        <f>L8</f>
        <v>952.63900000000001</v>
      </c>
      <c r="M11" s="249">
        <f>K11/L11</f>
        <v>524857.78978185856</v>
      </c>
      <c r="N11" s="383"/>
      <c r="O11" s="379">
        <f>O8</f>
        <v>952.63900000000001</v>
      </c>
      <c r="P11" s="394">
        <f>N11/O11</f>
        <v>0</v>
      </c>
      <c r="Q11" s="111"/>
      <c r="R11" s="116">
        <f>R8</f>
        <v>1047.9029</v>
      </c>
      <c r="S11" s="117">
        <f t="shared" ref="S11:S17" si="0">Q11/R11</f>
        <v>0</v>
      </c>
      <c r="T11" s="383"/>
      <c r="U11" s="379">
        <f>U8</f>
        <v>1152.6931900000002</v>
      </c>
      <c r="V11" s="393">
        <f>T11/U11</f>
        <v>0</v>
      </c>
      <c r="W11" s="249"/>
      <c r="X11" s="116">
        <f>X8</f>
        <v>1267.9625090000004</v>
      </c>
      <c r="Y11" s="117">
        <f t="shared" ref="Y11:Y17" si="1">W11/X11</f>
        <v>0</v>
      </c>
      <c r="Z11" s="383"/>
      <c r="AA11" s="379">
        <f>AA8</f>
        <v>1394.7587599000005</v>
      </c>
      <c r="AB11" s="393">
        <f t="shared" ref="AB11:AB17" si="2">Z11/AA11</f>
        <v>0</v>
      </c>
      <c r="AC11" s="249"/>
      <c r="AD11" s="116">
        <f>AD8</f>
        <v>1534.2346358900006</v>
      </c>
      <c r="AE11" s="117">
        <f t="shared" ref="AE11:AE17" si="3">AC11/AD11</f>
        <v>0</v>
      </c>
      <c r="AF11" s="383"/>
      <c r="AG11" s="379">
        <f>AG8</f>
        <v>1687.6580994790008</v>
      </c>
      <c r="AH11" s="393">
        <f t="shared" ref="AH11:AH17" si="4">AF11/AG11</f>
        <v>0</v>
      </c>
      <c r="AI11" s="249"/>
      <c r="AJ11" s="116">
        <f>AJ8</f>
        <v>1856.423909426901</v>
      </c>
      <c r="AK11" s="117">
        <f t="shared" ref="AK11:AK17" si="5">AI11/AJ11</f>
        <v>0</v>
      </c>
      <c r="AL11" s="383"/>
      <c r="AM11" s="379">
        <f>AM8</f>
        <v>2042.0663003695913</v>
      </c>
      <c r="AN11" s="393">
        <f t="shared" ref="AN11:AN17" si="6">AL11/AM11</f>
        <v>0</v>
      </c>
      <c r="AO11" s="249"/>
      <c r="AP11" s="116">
        <f>AP8</f>
        <v>2246.2729304065506</v>
      </c>
      <c r="AQ11" s="117">
        <f t="shared" ref="AQ11:AQ20" si="7">AO11/AP11</f>
        <v>0</v>
      </c>
    </row>
    <row r="12" spans="3:43" x14ac:dyDescent="0.15">
      <c r="C12" s="332"/>
      <c r="D12" s="331"/>
      <c r="E12" s="333"/>
      <c r="F12" s="116"/>
      <c r="G12" s="116"/>
      <c r="H12" s="379"/>
      <c r="I12" s="379">
        <f>D12</f>
        <v>0</v>
      </c>
      <c r="J12" s="379"/>
      <c r="K12" s="116"/>
      <c r="L12" s="116"/>
      <c r="M12" s="249"/>
      <c r="N12" s="383"/>
      <c r="O12" s="379"/>
      <c r="P12" s="394"/>
      <c r="Q12" s="111"/>
      <c r="R12" s="116"/>
      <c r="S12" s="117"/>
      <c r="T12" s="383"/>
      <c r="U12" s="379"/>
      <c r="V12" s="393"/>
      <c r="W12" s="249"/>
      <c r="X12" s="116"/>
      <c r="Y12" s="117"/>
      <c r="Z12" s="383"/>
      <c r="AA12" s="379"/>
      <c r="AB12" s="393"/>
      <c r="AC12" s="249"/>
      <c r="AD12" s="116"/>
      <c r="AE12" s="117"/>
      <c r="AF12" s="383"/>
      <c r="AG12" s="379"/>
      <c r="AH12" s="393"/>
      <c r="AI12" s="249"/>
      <c r="AJ12" s="116"/>
      <c r="AK12" s="117"/>
      <c r="AL12" s="383"/>
      <c r="AM12" s="379"/>
      <c r="AN12" s="393"/>
      <c r="AO12" s="249"/>
      <c r="AP12" s="116"/>
      <c r="AQ12" s="117"/>
    </row>
    <row r="13" spans="3:43" x14ac:dyDescent="0.15">
      <c r="C13" s="332" t="s">
        <v>261</v>
      </c>
      <c r="D13" s="330"/>
      <c r="E13" s="333"/>
      <c r="F13" s="116">
        <f>F12</f>
        <v>0</v>
      </c>
      <c r="G13" s="334"/>
      <c r="H13" s="379">
        <f>K13+N13+Q13+T13+W13+Z13+AC13+AF13+AI13+AL13+AO13</f>
        <v>100000000000</v>
      </c>
      <c r="I13" s="379">
        <f>I12</f>
        <v>0</v>
      </c>
      <c r="J13" s="379" t="e">
        <f t="shared" ref="J13" si="8">M13+P13+S13+V13+Y13+AB13+AE13+AH13+AK13+AN13+AQ13</f>
        <v>#DIV/0!</v>
      </c>
      <c r="K13" s="116"/>
      <c r="L13" s="116">
        <f>L12</f>
        <v>0</v>
      </c>
      <c r="M13" s="249" t="e">
        <f t="shared" ref="M13" si="9">K13/L13</f>
        <v>#DIV/0!</v>
      </c>
      <c r="N13" s="383">
        <f>'Revenue Schedule'!AE60</f>
        <v>0</v>
      </c>
      <c r="O13" s="379">
        <f>O12</f>
        <v>0</v>
      </c>
      <c r="P13" s="394" t="e">
        <f t="shared" ref="P13" si="10">N13/O13</f>
        <v>#DIV/0!</v>
      </c>
      <c r="Q13" s="111">
        <f>'Revenue Schedule'!BD60</f>
        <v>0</v>
      </c>
      <c r="R13" s="116">
        <f>R12</f>
        <v>0</v>
      </c>
      <c r="S13" s="117" t="e">
        <f t="shared" ref="S13" si="11">Q13/R13</f>
        <v>#DIV/0!</v>
      </c>
      <c r="T13" s="383">
        <f>'Revenue Schedule'!CC60</f>
        <v>0</v>
      </c>
      <c r="U13" s="379">
        <f>U12</f>
        <v>0</v>
      </c>
      <c r="V13" s="393" t="e">
        <f t="shared" ref="V13" si="12">T13/U13</f>
        <v>#DIV/0!</v>
      </c>
      <c r="W13" s="249">
        <f>'Revenue Schedule'!DB60</f>
        <v>0</v>
      </c>
      <c r="X13" s="116">
        <f>X12</f>
        <v>0</v>
      </c>
      <c r="Y13" s="117" t="e">
        <f t="shared" ref="Y13" si="13">W13/X13</f>
        <v>#DIV/0!</v>
      </c>
      <c r="Z13" s="383">
        <f>'Revenue Schedule'!EA60</f>
        <v>0</v>
      </c>
      <c r="AA13" s="379">
        <f>AA11</f>
        <v>1394.7587599000005</v>
      </c>
      <c r="AB13" s="393">
        <f t="shared" ref="AB13" si="14">Z13/AA13</f>
        <v>0</v>
      </c>
      <c r="AC13" s="249">
        <v>100000000000</v>
      </c>
      <c r="AD13" s="116">
        <f>AD11</f>
        <v>1534.2346358900006</v>
      </c>
      <c r="AE13" s="117">
        <f t="shared" ref="AE13" si="15">AC13/AD13</f>
        <v>65179078.649851091</v>
      </c>
      <c r="AF13" s="383">
        <f>'Revenue Schedule'!FY60</f>
        <v>0</v>
      </c>
      <c r="AG13" s="379">
        <f>AG11</f>
        <v>1687.6580994790008</v>
      </c>
      <c r="AH13" s="393">
        <f>AF13/AG13</f>
        <v>0</v>
      </c>
      <c r="AI13" s="249">
        <f>'Revenue Schedule'!GX60</f>
        <v>0</v>
      </c>
      <c r="AJ13" s="116">
        <f>AJ11</f>
        <v>1856.423909426901</v>
      </c>
      <c r="AK13" s="117">
        <f t="shared" ref="AK13" si="16">AI13/AJ13</f>
        <v>0</v>
      </c>
      <c r="AL13" s="383">
        <f>'Revenue Schedule'!HW60</f>
        <v>0</v>
      </c>
      <c r="AM13" s="379">
        <f>AM11</f>
        <v>2042.0663003695913</v>
      </c>
      <c r="AN13" s="393">
        <f t="shared" ref="AN13" si="17">AL13/AM13</f>
        <v>0</v>
      </c>
      <c r="AO13" s="249">
        <f>'Revenue Schedule'!IV60</f>
        <v>0</v>
      </c>
      <c r="AP13" s="116">
        <f>AP11</f>
        <v>2246.2729304065506</v>
      </c>
      <c r="AQ13" s="117">
        <f t="shared" ref="AQ13" si="18">AO13/AP13</f>
        <v>0</v>
      </c>
    </row>
    <row r="14" spans="3:43" x14ac:dyDescent="0.15">
      <c r="C14" s="332"/>
      <c r="D14" s="330"/>
      <c r="E14" s="333"/>
      <c r="F14" s="116"/>
      <c r="G14" s="334"/>
      <c r="H14" s="379"/>
      <c r="I14" s="379"/>
      <c r="J14" s="379"/>
      <c r="K14" s="116"/>
      <c r="L14" s="116"/>
      <c r="M14" s="249"/>
      <c r="N14" s="383"/>
      <c r="O14" s="379"/>
      <c r="P14" s="394"/>
      <c r="Q14" s="111"/>
      <c r="R14" s="116"/>
      <c r="S14" s="117"/>
      <c r="T14" s="383"/>
      <c r="U14" s="379"/>
      <c r="V14" s="393"/>
      <c r="W14" s="249"/>
      <c r="X14" s="116"/>
      <c r="Y14" s="117"/>
      <c r="Z14" s="383"/>
      <c r="AA14" s="379"/>
      <c r="AB14" s="393"/>
      <c r="AC14" s="249">
        <v>0</v>
      </c>
      <c r="AD14" s="116"/>
      <c r="AE14" s="117"/>
      <c r="AF14" s="383"/>
      <c r="AG14" s="379"/>
      <c r="AH14" s="393"/>
      <c r="AI14" s="249"/>
      <c r="AJ14" s="116"/>
      <c r="AK14" s="117"/>
      <c r="AL14" s="383"/>
      <c r="AM14" s="379"/>
      <c r="AN14" s="393"/>
      <c r="AO14" s="249"/>
      <c r="AP14" s="116"/>
      <c r="AQ14" s="117"/>
    </row>
    <row r="15" spans="3:43" x14ac:dyDescent="0.15">
      <c r="C15" s="336" t="s">
        <v>68</v>
      </c>
      <c r="D15" s="328"/>
      <c r="E15" s="407"/>
      <c r="F15" s="116"/>
      <c r="G15" s="334"/>
      <c r="H15" s="379"/>
      <c r="I15" s="379"/>
      <c r="J15" s="379"/>
      <c r="K15" s="116"/>
      <c r="L15" s="116"/>
      <c r="M15" s="249"/>
      <c r="N15" s="383"/>
      <c r="O15" s="379"/>
      <c r="P15" s="394"/>
      <c r="Q15" s="111"/>
      <c r="R15" s="116"/>
      <c r="S15" s="117"/>
      <c r="T15" s="383"/>
      <c r="U15" s="379"/>
      <c r="V15" s="393"/>
      <c r="W15" s="249"/>
      <c r="X15" s="116"/>
      <c r="Y15" s="117"/>
      <c r="Z15" s="383"/>
      <c r="AA15" s="379"/>
      <c r="AB15" s="393"/>
      <c r="AC15" s="249"/>
      <c r="AD15" s="116"/>
      <c r="AE15" s="117"/>
      <c r="AF15" s="383"/>
      <c r="AG15" s="379"/>
      <c r="AH15" s="393"/>
      <c r="AI15" s="249"/>
      <c r="AJ15" s="116"/>
      <c r="AK15" s="117"/>
      <c r="AL15" s="383"/>
      <c r="AM15" s="379"/>
      <c r="AN15" s="393"/>
      <c r="AO15" s="249"/>
      <c r="AP15" s="116"/>
      <c r="AQ15" s="117"/>
    </row>
    <row r="16" spans="3:43" x14ac:dyDescent="0.15">
      <c r="C16" s="332" t="s">
        <v>11</v>
      </c>
      <c r="D16" s="330"/>
      <c r="E16" s="333"/>
      <c r="F16" s="116">
        <f>F11</f>
        <v>952.63900000000001</v>
      </c>
      <c r="G16" s="334"/>
      <c r="H16" s="379">
        <f t="shared" ref="H16" si="19">K16+N16+Q16+T16+W16+Z16+AC16+AF16+AI16+AL16+AO16</f>
        <v>785149747524.45581</v>
      </c>
      <c r="I16" s="379">
        <f>I11</f>
        <v>952.63900000000001</v>
      </c>
      <c r="J16" s="379">
        <f t="shared" ref="J16" si="20">M16+P16+S16+V16+Y16+AB16+AE16+AH16+AK16+AN16+AQ16</f>
        <v>493521729.33903402</v>
      </c>
      <c r="K16" s="116"/>
      <c r="L16" s="116">
        <f>L11</f>
        <v>952.63900000000001</v>
      </c>
      <c r="M16" s="249">
        <f t="shared" ref="M16:M17" si="21">K16/L16</f>
        <v>0</v>
      </c>
      <c r="N16" s="383">
        <f>'Revenue Schedule'!AE31</f>
        <v>14990400000</v>
      </c>
      <c r="O16" s="379">
        <f>O11</f>
        <v>952.63900000000001</v>
      </c>
      <c r="P16" s="394">
        <f t="shared" ref="P16:P17" si="22">N16/O16</f>
        <v>15735656.423891947</v>
      </c>
      <c r="Q16" s="111">
        <f>'Revenue Schedule'!BD31</f>
        <v>31479840000</v>
      </c>
      <c r="R16" s="116">
        <f>R11</f>
        <v>1047.9029</v>
      </c>
      <c r="S16" s="117">
        <f t="shared" si="0"/>
        <v>30040798.627430078</v>
      </c>
      <c r="T16" s="383">
        <f>'Revenue Schedule'!CC31</f>
        <v>49580748000</v>
      </c>
      <c r="U16" s="379">
        <f>U11</f>
        <v>1152.6931900000002</v>
      </c>
      <c r="V16" s="393">
        <f t="shared" ref="V16:V17" si="23">T16/U16</f>
        <v>43012961.671093062</v>
      </c>
      <c r="W16" s="249">
        <f>'Revenue Schedule'!DB31</f>
        <v>69413047200</v>
      </c>
      <c r="X16" s="116">
        <f>X11</f>
        <v>1267.9625090000004</v>
      </c>
      <c r="Y16" s="117">
        <f t="shared" si="1"/>
        <v>54743769.399572976</v>
      </c>
      <c r="Z16" s="383">
        <f>'Revenue Schedule'!EA31</f>
        <v>91104624450</v>
      </c>
      <c r="AA16" s="379">
        <f>AA11</f>
        <v>1394.7587599000005</v>
      </c>
      <c r="AB16" s="393">
        <f t="shared" si="2"/>
        <v>65319270.306308664</v>
      </c>
      <c r="AC16" s="249">
        <f>'Revenue Schedule'!EZ31</f>
        <v>95659855672.5</v>
      </c>
      <c r="AD16" s="116">
        <f>AD11</f>
        <v>1534.2346358900006</v>
      </c>
      <c r="AE16" s="117">
        <f t="shared" si="3"/>
        <v>62350212.565112814</v>
      </c>
      <c r="AF16" s="383">
        <f>'Revenue Schedule'!FY31</f>
        <v>100442848456.125</v>
      </c>
      <c r="AG16" s="379">
        <f>AG11</f>
        <v>1687.6580994790008</v>
      </c>
      <c r="AH16" s="393">
        <f t="shared" si="4"/>
        <v>59516111.993971318</v>
      </c>
      <c r="AI16" s="249">
        <f>'Revenue Schedule'!GX31</f>
        <v>105464990878.93127</v>
      </c>
      <c r="AJ16" s="116">
        <f>AJ11</f>
        <v>1856.423909426901</v>
      </c>
      <c r="AK16" s="117">
        <f t="shared" si="5"/>
        <v>56810834.176063538</v>
      </c>
      <c r="AL16" s="383">
        <f>'Revenue Schedule'!HW31</f>
        <v>110738240422.87784</v>
      </c>
      <c r="AM16" s="379">
        <f>AM11</f>
        <v>2042.0663003695913</v>
      </c>
      <c r="AN16" s="393">
        <f t="shared" si="6"/>
        <v>54228523.531697012</v>
      </c>
      <c r="AO16" s="249">
        <f>'Revenue Schedule'!IV31</f>
        <v>116275152444.02174</v>
      </c>
      <c r="AP16" s="116">
        <f>AP11</f>
        <v>2246.2729304065506</v>
      </c>
      <c r="AQ16" s="117">
        <f t="shared" si="7"/>
        <v>51763590.643892601</v>
      </c>
    </row>
    <row r="17" spans="3:43" x14ac:dyDescent="0.15">
      <c r="C17" s="332" t="s">
        <v>12</v>
      </c>
      <c r="D17" s="330"/>
      <c r="E17" s="333"/>
      <c r="F17" s="116">
        <f>F16</f>
        <v>952.63900000000001</v>
      </c>
      <c r="G17" s="334"/>
      <c r="H17" s="379">
        <f>K17+N17+Q17+T17+W17+Z17+AC17+AF17+AI17+AL17+AO17</f>
        <v>1154125716533.5056</v>
      </c>
      <c r="I17" s="379">
        <f>I16</f>
        <v>952.63900000000001</v>
      </c>
      <c r="J17" s="379">
        <f t="shared" ref="J17" si="24">M17+P17+S17+V17+Y17+AB17+AE17+AH17+AK17+AN17+AQ17</f>
        <v>717963723.83525479</v>
      </c>
      <c r="K17" s="116"/>
      <c r="L17" s="116">
        <f>L16</f>
        <v>952.63900000000001</v>
      </c>
      <c r="M17" s="249">
        <f t="shared" si="21"/>
        <v>0</v>
      </c>
      <c r="N17" s="383">
        <f>'Revenue Schedule'!AE64</f>
        <v>15662809512</v>
      </c>
      <c r="O17" s="379">
        <f>O16</f>
        <v>952.63900000000001</v>
      </c>
      <c r="P17" s="394">
        <f t="shared" si="22"/>
        <v>16441495.164485183</v>
      </c>
      <c r="Q17" s="111">
        <f>'Revenue Schedule'!BD64</f>
        <v>32891899975.200001</v>
      </c>
      <c r="R17" s="116">
        <f>R16</f>
        <v>1047.9029</v>
      </c>
      <c r="S17" s="117">
        <f t="shared" si="0"/>
        <v>31388308.950380802</v>
      </c>
      <c r="T17" s="383">
        <f>'Revenue Schedule'!CC64</f>
        <v>74206793254.860001</v>
      </c>
      <c r="U17" s="379">
        <f>U16</f>
        <v>1152.6931900000002</v>
      </c>
      <c r="V17" s="393">
        <f t="shared" si="23"/>
        <v>64376881.80916553</v>
      </c>
      <c r="W17" s="249">
        <f>'Revenue Schedule'!DB64</f>
        <v>103889510556.804</v>
      </c>
      <c r="X17" s="116">
        <f>X16</f>
        <v>1267.9625090000004</v>
      </c>
      <c r="Y17" s="117">
        <f t="shared" si="1"/>
        <v>81934213.211665213</v>
      </c>
      <c r="Z17" s="383">
        <f>'Revenue Schedule'!EA64</f>
        <v>136354982605.80527</v>
      </c>
      <c r="AA17" s="379">
        <f>AA16</f>
        <v>1394.7587599000005</v>
      </c>
      <c r="AB17" s="393">
        <f t="shared" si="2"/>
        <v>97762413.491191447</v>
      </c>
      <c r="AC17" s="249">
        <f>'Revenue Schedule'!EZ64</f>
        <v>143172731736.09552</v>
      </c>
      <c r="AD17" s="116">
        <f>AD16</f>
        <v>1534.2346358900006</v>
      </c>
      <c r="AE17" s="117">
        <f t="shared" si="3"/>
        <v>93318667.423410013</v>
      </c>
      <c r="AF17" s="383">
        <f>'Revenue Schedule'!FY64</f>
        <v>150331368322.90033</v>
      </c>
      <c r="AG17" s="379">
        <f>AG16</f>
        <v>1687.6580994790008</v>
      </c>
      <c r="AH17" s="393">
        <f t="shared" si="4"/>
        <v>89076909.813255027</v>
      </c>
      <c r="AI17" s="249">
        <f>'Revenue Schedule'!GX64</f>
        <v>157847936739.04532</v>
      </c>
      <c r="AJ17" s="116">
        <f>AJ16</f>
        <v>1856.423909426901</v>
      </c>
      <c r="AK17" s="117">
        <f t="shared" si="5"/>
        <v>85027959.367197961</v>
      </c>
      <c r="AL17" s="383">
        <f>'Revenue Schedule'!HW64</f>
        <v>165740333575.99768</v>
      </c>
      <c r="AM17" s="379">
        <f>AM16</f>
        <v>2042.0663003695913</v>
      </c>
      <c r="AN17" s="393">
        <f t="shared" si="6"/>
        <v>81163052.123234451</v>
      </c>
      <c r="AO17" s="249">
        <f>'Revenue Schedule'!IV64</f>
        <v>174027350254.79755</v>
      </c>
      <c r="AP17" s="116">
        <f>AP16</f>
        <v>2246.2729304065506</v>
      </c>
      <c r="AQ17" s="117">
        <f t="shared" si="7"/>
        <v>77473822.48126924</v>
      </c>
    </row>
    <row r="18" spans="3:43" x14ac:dyDescent="0.15">
      <c r="C18" s="332"/>
      <c r="D18" s="331"/>
      <c r="E18" s="333"/>
      <c r="F18" s="116"/>
      <c r="G18" s="334"/>
      <c r="H18" s="379"/>
      <c r="I18" s="379"/>
      <c r="J18" s="379"/>
      <c r="K18" s="116"/>
      <c r="L18" s="117"/>
      <c r="M18" s="117"/>
      <c r="N18" s="379"/>
      <c r="O18" s="379"/>
      <c r="P18" s="394"/>
      <c r="Q18" s="247"/>
      <c r="R18" s="117"/>
      <c r="S18" s="117"/>
      <c r="T18" s="379"/>
      <c r="U18" s="379"/>
      <c r="V18" s="393"/>
      <c r="W18" s="116"/>
      <c r="X18" s="117"/>
      <c r="Y18" s="117"/>
      <c r="Z18" s="379"/>
      <c r="AA18" s="379"/>
      <c r="AB18" s="393"/>
      <c r="AC18" s="116"/>
      <c r="AD18" s="117"/>
      <c r="AE18" s="117"/>
      <c r="AF18" s="379"/>
      <c r="AG18" s="379"/>
      <c r="AH18" s="393"/>
      <c r="AI18" s="116"/>
      <c r="AJ18" s="117"/>
      <c r="AK18" s="117"/>
      <c r="AL18" s="379"/>
      <c r="AM18" s="379"/>
      <c r="AN18" s="393"/>
      <c r="AO18" s="116"/>
      <c r="AP18" s="117"/>
      <c r="AQ18" s="117"/>
    </row>
    <row r="19" spans="3:43" x14ac:dyDescent="0.15">
      <c r="C19" s="332"/>
      <c r="D19" s="331"/>
      <c r="E19" s="333"/>
      <c r="F19" s="116"/>
      <c r="G19" s="334"/>
      <c r="H19" s="379"/>
      <c r="I19" s="379"/>
      <c r="J19" s="379"/>
      <c r="K19" s="116"/>
      <c r="L19" s="117"/>
      <c r="M19" s="117"/>
      <c r="N19" s="379"/>
      <c r="O19" s="379"/>
      <c r="P19" s="394"/>
      <c r="Q19" s="247"/>
      <c r="R19" s="117"/>
      <c r="S19" s="117"/>
      <c r="T19" s="379"/>
      <c r="U19" s="379"/>
      <c r="V19" s="393"/>
      <c r="W19" s="116"/>
      <c r="X19" s="117"/>
      <c r="Y19" s="117"/>
      <c r="Z19" s="379"/>
      <c r="AA19" s="379"/>
      <c r="AB19" s="393"/>
      <c r="AC19" s="116"/>
      <c r="AD19" s="117"/>
      <c r="AE19" s="117"/>
      <c r="AF19" s="379"/>
      <c r="AG19" s="379"/>
      <c r="AH19" s="393"/>
      <c r="AI19" s="116"/>
      <c r="AJ19" s="117"/>
      <c r="AK19" s="117"/>
      <c r="AL19" s="379"/>
      <c r="AM19" s="379"/>
      <c r="AN19" s="393"/>
      <c r="AO19" s="116"/>
      <c r="AP19" s="117"/>
      <c r="AQ19" s="117"/>
    </row>
    <row r="20" spans="3:43" s="518" customFormat="1" x14ac:dyDescent="0.15">
      <c r="C20" s="519" t="s">
        <v>259</v>
      </c>
      <c r="D20" s="520"/>
      <c r="E20" s="520"/>
      <c r="F20" s="521"/>
      <c r="G20" s="521"/>
      <c r="H20" s="522"/>
      <c r="I20" s="522"/>
      <c r="J20" s="522"/>
      <c r="K20" s="523"/>
      <c r="L20" s="524"/>
      <c r="M20" s="524"/>
      <c r="N20" s="525"/>
      <c r="O20" s="522"/>
      <c r="P20" s="526"/>
      <c r="Q20" s="527"/>
      <c r="R20" s="524"/>
      <c r="S20" s="524"/>
      <c r="T20" s="525"/>
      <c r="U20" s="522"/>
      <c r="V20" s="528"/>
      <c r="W20" s="516"/>
      <c r="X20" s="524"/>
      <c r="Y20" s="524"/>
      <c r="Z20" s="525"/>
      <c r="AA20" s="522"/>
      <c r="AB20" s="528"/>
      <c r="AC20" s="516"/>
      <c r="AD20" s="524"/>
      <c r="AE20" s="524"/>
      <c r="AF20" s="525"/>
      <c r="AG20" s="522"/>
      <c r="AH20" s="528"/>
      <c r="AI20" s="516"/>
      <c r="AJ20" s="524"/>
      <c r="AK20" s="524"/>
      <c r="AL20" s="525"/>
      <c r="AM20" s="522"/>
      <c r="AN20" s="528"/>
      <c r="AO20" s="517">
        <v>100000000000</v>
      </c>
      <c r="AP20" s="524">
        <f>AP17</f>
        <v>2246.2729304065506</v>
      </c>
      <c r="AQ20" s="524">
        <f t="shared" si="7"/>
        <v>44518187.726146489</v>
      </c>
    </row>
    <row r="21" spans="3:43" ht="7.5" thickBot="1" x14ac:dyDescent="0.2">
      <c r="C21" s="332"/>
      <c r="D21" s="333"/>
      <c r="E21" s="333"/>
      <c r="F21" s="246"/>
      <c r="G21" s="246"/>
      <c r="H21" s="379"/>
      <c r="I21" s="379"/>
      <c r="J21" s="379"/>
      <c r="K21" s="116"/>
      <c r="L21" s="246"/>
      <c r="M21" s="110"/>
      <c r="N21" s="395"/>
      <c r="O21" s="379"/>
      <c r="P21" s="396"/>
      <c r="Q21" s="111"/>
      <c r="R21" s="246"/>
      <c r="S21" s="111"/>
      <c r="T21" s="395"/>
      <c r="U21" s="379"/>
      <c r="V21" s="394"/>
      <c r="W21" s="110"/>
      <c r="X21" s="246"/>
      <c r="Y21" s="250"/>
      <c r="Z21" s="395"/>
      <c r="AA21" s="379"/>
      <c r="AB21" s="393"/>
      <c r="AC21" s="110"/>
      <c r="AD21" s="246"/>
      <c r="AE21" s="117"/>
      <c r="AF21" s="395"/>
      <c r="AG21" s="379"/>
      <c r="AH21" s="393"/>
      <c r="AI21" s="110"/>
      <c r="AJ21" s="246"/>
      <c r="AK21" s="117"/>
      <c r="AL21" s="395"/>
      <c r="AM21" s="379"/>
      <c r="AN21" s="393"/>
      <c r="AO21" s="110"/>
      <c r="AP21" s="246"/>
      <c r="AQ21" s="250"/>
    </row>
    <row r="22" spans="3:43" s="220" customFormat="1" ht="7.5" thickBot="1" x14ac:dyDescent="0.2">
      <c r="C22" s="335" t="s">
        <v>122</v>
      </c>
      <c r="D22" s="335"/>
      <c r="E22" s="335"/>
      <c r="F22" s="252"/>
      <c r="G22" s="252"/>
      <c r="H22" s="380">
        <f>SUM(H8:H21)</f>
        <v>2039775464057.9614</v>
      </c>
      <c r="I22" s="397"/>
      <c r="J22" s="380" t="e">
        <f>SUM(J8:J21)</f>
        <v>#DIV/0!</v>
      </c>
      <c r="K22" s="252">
        <f>SUM(K8:K21)</f>
        <v>500000000</v>
      </c>
      <c r="L22" s="252"/>
      <c r="M22" s="252" t="e">
        <f>SUM(M8:M21)</f>
        <v>#DIV/0!</v>
      </c>
      <c r="N22" s="380">
        <f>SUM(N8:N21)</f>
        <v>31098209512</v>
      </c>
      <c r="O22" s="380"/>
      <c r="P22" s="380" t="e">
        <f>SUM(P8:P21)</f>
        <v>#DIV/0!</v>
      </c>
      <c r="Q22" s="252">
        <f>SUM(Q8:Q21)</f>
        <v>78964965023.095398</v>
      </c>
      <c r="R22" s="252"/>
      <c r="S22" s="252" t="e">
        <f>SUM(S8:S21)</f>
        <v>#DIV/0!</v>
      </c>
      <c r="T22" s="380">
        <f>SUM(T8:T21)</f>
        <v>186890380411.94812</v>
      </c>
      <c r="U22" s="380"/>
      <c r="V22" s="380" t="e">
        <f>SUM(V8:V21)</f>
        <v>#DIV/0!</v>
      </c>
      <c r="W22" s="252">
        <f>SUM(W8:W21)</f>
        <v>329927626154.1701</v>
      </c>
      <c r="X22" s="252"/>
      <c r="Y22" s="252" t="e">
        <f>SUM(Y8:Y21)</f>
        <v>#DIV/0!</v>
      </c>
      <c r="Z22" s="380">
        <f>SUM(Z8:Z21)</f>
        <v>504795702766.59778</v>
      </c>
      <c r="AA22" s="380"/>
      <c r="AB22" s="380">
        <f>SUM(AB8:AB21)</f>
        <v>361923306.94004023</v>
      </c>
      <c r="AC22" s="252">
        <f>SUM(AC8:AC21)</f>
        <v>771433807948.4126</v>
      </c>
      <c r="AD22" s="252"/>
      <c r="AE22" s="252">
        <f>SUM(AE8:AE21)</f>
        <v>502813448.41423702</v>
      </c>
      <c r="AF22" s="380">
        <f>SUM(AF8:AF21)</f>
        <v>667015105097.46631</v>
      </c>
      <c r="AG22" s="380"/>
      <c r="AH22" s="380">
        <f>SUM(AH8:AH21)</f>
        <v>395231181.77987677</v>
      </c>
      <c r="AI22" s="252">
        <f>SUM(AI8:AI21)</f>
        <v>521639232567.16846</v>
      </c>
      <c r="AJ22" s="252"/>
      <c r="AK22" s="252">
        <f>SUM(AK8:AK21)</f>
        <v>280991442.69705313</v>
      </c>
      <c r="AL22" s="380">
        <f>SUM(AL8:AL21)</f>
        <v>397217549763.1665</v>
      </c>
      <c r="AM22" s="380"/>
      <c r="AN22" s="380">
        <f>SUM(AN8:AN21)</f>
        <v>194517459.93324238</v>
      </c>
      <c r="AO22" s="252">
        <f>SUM(AO8:AO21)</f>
        <v>354337941724.8822</v>
      </c>
      <c r="AP22" s="252"/>
      <c r="AQ22" s="252">
        <f>SUM(AQ8:AQ21)</f>
        <v>157744830.0820466</v>
      </c>
    </row>
    <row r="23" spans="3:43" x14ac:dyDescent="0.15">
      <c r="C23" s="326"/>
      <c r="D23" s="326"/>
      <c r="E23" s="326"/>
      <c r="F23" s="327"/>
      <c r="G23" s="327"/>
      <c r="H23" s="378"/>
      <c r="I23" s="379"/>
      <c r="J23" s="378"/>
      <c r="K23" s="327"/>
      <c r="L23" s="327"/>
      <c r="M23" s="327"/>
      <c r="N23" s="379"/>
      <c r="O23" s="378"/>
      <c r="P23" s="393"/>
      <c r="Q23" s="117"/>
      <c r="R23" s="327"/>
      <c r="S23" s="117"/>
      <c r="T23" s="379"/>
      <c r="U23" s="378"/>
      <c r="V23" s="393"/>
      <c r="W23" s="116"/>
      <c r="X23" s="327"/>
      <c r="Y23" s="117"/>
      <c r="Z23" s="379"/>
      <c r="AA23" s="378"/>
      <c r="AB23" s="393"/>
      <c r="AC23" s="116"/>
      <c r="AD23" s="327"/>
      <c r="AE23" s="117"/>
      <c r="AF23" s="379"/>
      <c r="AG23" s="378"/>
      <c r="AH23" s="393"/>
      <c r="AI23" s="116"/>
      <c r="AJ23" s="327"/>
      <c r="AK23" s="117"/>
      <c r="AL23" s="379"/>
      <c r="AM23" s="378"/>
      <c r="AN23" s="393"/>
      <c r="AO23" s="116"/>
      <c r="AP23" s="327"/>
      <c r="AQ23" s="117"/>
    </row>
    <row r="24" spans="3:43" ht="7.5" thickBot="1" x14ac:dyDescent="0.2">
      <c r="C24" s="336" t="s">
        <v>123</v>
      </c>
      <c r="D24" s="336"/>
      <c r="E24" s="336"/>
      <c r="F24" s="337"/>
      <c r="G24" s="337"/>
      <c r="H24" s="381"/>
      <c r="I24" s="395"/>
      <c r="J24" s="381"/>
      <c r="K24" s="337"/>
      <c r="L24" s="337"/>
      <c r="M24" s="337"/>
      <c r="N24" s="395"/>
      <c r="O24" s="381"/>
      <c r="P24" s="396"/>
      <c r="Q24" s="111"/>
      <c r="R24" s="337"/>
      <c r="S24" s="111"/>
      <c r="T24" s="395"/>
      <c r="U24" s="381"/>
      <c r="V24" s="396"/>
      <c r="W24" s="110"/>
      <c r="X24" s="337"/>
      <c r="Y24" s="111"/>
      <c r="Z24" s="395"/>
      <c r="AA24" s="381"/>
      <c r="AB24" s="396"/>
      <c r="AC24" s="110"/>
      <c r="AD24" s="337"/>
      <c r="AE24" s="111"/>
      <c r="AF24" s="395"/>
      <c r="AG24" s="381"/>
      <c r="AH24" s="396"/>
      <c r="AI24" s="110"/>
      <c r="AJ24" s="337"/>
      <c r="AK24" s="111"/>
      <c r="AL24" s="395"/>
      <c r="AM24" s="381"/>
      <c r="AN24" s="396"/>
      <c r="AO24" s="110"/>
      <c r="AP24" s="337"/>
      <c r="AQ24" s="111"/>
    </row>
    <row r="25" spans="3:43" ht="7.5" thickBot="1" x14ac:dyDescent="0.2">
      <c r="C25" s="335" t="s">
        <v>124</v>
      </c>
      <c r="D25" s="335"/>
      <c r="E25" s="335"/>
      <c r="F25" s="252"/>
      <c r="G25" s="252"/>
      <c r="H25" s="380"/>
      <c r="I25" s="397"/>
      <c r="J25" s="380"/>
      <c r="K25" s="252"/>
      <c r="L25" s="252"/>
      <c r="M25" s="252"/>
      <c r="N25" s="397"/>
      <c r="O25" s="380"/>
      <c r="P25" s="398"/>
      <c r="Q25" s="241"/>
      <c r="R25" s="252"/>
      <c r="S25" s="241"/>
      <c r="T25" s="397"/>
      <c r="U25" s="380"/>
      <c r="V25" s="398"/>
      <c r="W25" s="240"/>
      <c r="X25" s="252"/>
      <c r="Y25" s="241"/>
      <c r="Z25" s="397"/>
      <c r="AA25" s="380"/>
      <c r="AB25" s="398"/>
      <c r="AC25" s="240"/>
      <c r="AD25" s="252"/>
      <c r="AE25" s="241"/>
      <c r="AF25" s="397"/>
      <c r="AG25" s="380"/>
      <c r="AH25" s="398"/>
      <c r="AI25" s="240"/>
      <c r="AJ25" s="252"/>
      <c r="AK25" s="241"/>
      <c r="AL25" s="397"/>
      <c r="AM25" s="380"/>
      <c r="AN25" s="398"/>
      <c r="AO25" s="240"/>
      <c r="AP25" s="252"/>
      <c r="AQ25" s="241"/>
    </row>
    <row r="26" spans="3:43" x14ac:dyDescent="0.15">
      <c r="C26" s="338"/>
      <c r="D26" s="338"/>
      <c r="E26" s="338"/>
      <c r="F26" s="118"/>
      <c r="G26" s="118"/>
      <c r="H26" s="379"/>
      <c r="I26" s="379"/>
      <c r="J26" s="379"/>
      <c r="K26" s="118"/>
      <c r="L26" s="235"/>
      <c r="M26" s="235"/>
      <c r="N26" s="399"/>
      <c r="O26" s="379"/>
      <c r="P26" s="400"/>
      <c r="Q26" s="113"/>
      <c r="R26" s="235"/>
      <c r="S26" s="113"/>
      <c r="T26" s="399"/>
      <c r="U26" s="379"/>
      <c r="V26" s="393"/>
      <c r="W26" s="112"/>
      <c r="X26" s="235"/>
      <c r="Y26" s="117"/>
      <c r="Z26" s="399"/>
      <c r="AA26" s="379"/>
      <c r="AB26" s="393"/>
      <c r="AC26" s="112"/>
      <c r="AD26" s="235"/>
      <c r="AE26" s="117"/>
      <c r="AF26" s="399"/>
      <c r="AG26" s="379"/>
      <c r="AH26" s="393"/>
      <c r="AI26" s="112"/>
      <c r="AJ26" s="235"/>
      <c r="AK26" s="117"/>
      <c r="AL26" s="399"/>
      <c r="AM26" s="379"/>
      <c r="AN26" s="393"/>
      <c r="AO26" s="112"/>
      <c r="AP26" s="235"/>
      <c r="AQ26" s="117"/>
    </row>
    <row r="27" spans="3:43" x14ac:dyDescent="0.15">
      <c r="C27" s="331"/>
      <c r="D27" s="331"/>
      <c r="E27" s="331"/>
      <c r="F27" s="116"/>
      <c r="G27" s="116"/>
      <c r="H27" s="379"/>
      <c r="I27" s="379"/>
      <c r="J27" s="379"/>
      <c r="K27" s="116"/>
      <c r="L27" s="117"/>
      <c r="M27" s="117"/>
      <c r="N27" s="401"/>
      <c r="O27" s="379"/>
      <c r="P27" s="402"/>
      <c r="Q27" s="115"/>
      <c r="R27" s="117"/>
      <c r="S27" s="115"/>
      <c r="T27" s="401"/>
      <c r="U27" s="379"/>
      <c r="V27" s="402"/>
      <c r="W27" s="114"/>
      <c r="X27" s="117"/>
      <c r="Y27" s="117"/>
      <c r="Z27" s="401"/>
      <c r="AA27" s="379"/>
      <c r="AB27" s="393"/>
      <c r="AC27" s="114"/>
      <c r="AD27" s="117"/>
      <c r="AE27" s="117"/>
      <c r="AF27" s="401"/>
      <c r="AG27" s="379"/>
      <c r="AH27" s="393"/>
      <c r="AI27" s="114"/>
      <c r="AJ27" s="117"/>
      <c r="AK27" s="117"/>
      <c r="AL27" s="401"/>
      <c r="AM27" s="379"/>
      <c r="AN27" s="393"/>
      <c r="AO27" s="114"/>
      <c r="AP27" s="117"/>
      <c r="AQ27" s="117"/>
    </row>
    <row r="28" spans="3:43" x14ac:dyDescent="0.15">
      <c r="C28" s="328" t="s">
        <v>135</v>
      </c>
      <c r="D28" s="326"/>
      <c r="E28" s="326"/>
      <c r="F28" s="116"/>
      <c r="G28" s="116"/>
      <c r="H28" s="379"/>
      <c r="I28" s="379"/>
      <c r="J28" s="379"/>
      <c r="K28" s="249"/>
      <c r="L28" s="117"/>
      <c r="M28" s="117"/>
      <c r="N28" s="401"/>
      <c r="O28" s="379"/>
      <c r="P28" s="394"/>
      <c r="Q28" s="115"/>
      <c r="R28" s="117"/>
      <c r="S28" s="117"/>
      <c r="T28" s="401"/>
      <c r="U28" s="379"/>
      <c r="V28" s="393"/>
      <c r="W28" s="114"/>
      <c r="X28" s="117"/>
      <c r="Y28" s="117"/>
      <c r="Z28" s="401"/>
      <c r="AA28" s="379"/>
      <c r="AB28" s="393"/>
      <c r="AC28" s="114"/>
      <c r="AD28" s="117"/>
      <c r="AE28" s="117"/>
      <c r="AF28" s="401"/>
      <c r="AG28" s="379"/>
      <c r="AH28" s="393"/>
      <c r="AI28" s="114"/>
      <c r="AJ28" s="117"/>
      <c r="AK28" s="117"/>
      <c r="AL28" s="401"/>
      <c r="AM28" s="379"/>
      <c r="AN28" s="393"/>
      <c r="AO28" s="517"/>
      <c r="AP28" s="117"/>
      <c r="AQ28" s="262"/>
    </row>
    <row r="29" spans="3:43" x14ac:dyDescent="0.15">
      <c r="C29" s="330"/>
      <c r="D29" s="331"/>
      <c r="E29" s="331"/>
      <c r="F29" s="116"/>
      <c r="G29" s="116"/>
      <c r="H29" s="379"/>
      <c r="I29" s="379"/>
      <c r="J29" s="379"/>
      <c r="K29" s="249"/>
      <c r="L29" s="117"/>
      <c r="M29" s="249"/>
      <c r="N29" s="401"/>
      <c r="O29" s="379"/>
      <c r="P29" s="394"/>
      <c r="Q29" s="249"/>
      <c r="R29" s="117"/>
      <c r="S29" s="117"/>
      <c r="T29" s="383"/>
      <c r="U29" s="379"/>
      <c r="V29" s="393"/>
      <c r="W29" s="249"/>
      <c r="X29" s="117"/>
      <c r="Y29" s="117"/>
      <c r="Z29" s="383"/>
      <c r="AA29" s="379"/>
      <c r="AB29" s="393"/>
      <c r="AC29" s="249"/>
      <c r="AD29" s="117"/>
      <c r="AE29" s="117"/>
      <c r="AF29" s="383"/>
      <c r="AG29" s="379"/>
      <c r="AH29" s="393"/>
      <c r="AI29" s="249"/>
      <c r="AJ29" s="117"/>
      <c r="AK29" s="117"/>
      <c r="AL29" s="383"/>
      <c r="AM29" s="379"/>
      <c r="AN29" s="393"/>
      <c r="AO29" s="249"/>
      <c r="AP29" s="117"/>
      <c r="AQ29" s="117"/>
    </row>
    <row r="30" spans="3:43" x14ac:dyDescent="0.15">
      <c r="C30" s="330" t="s">
        <v>201</v>
      </c>
      <c r="D30" s="331" t="s">
        <v>186</v>
      </c>
      <c r="E30" s="331"/>
      <c r="F30" s="116">
        <f>F17</f>
        <v>952.63900000000001</v>
      </c>
      <c r="G30" s="343">
        <v>1.1000000000000001</v>
      </c>
      <c r="H30" s="379">
        <f>K30+N30+Q30+T30+W30+Z30+AC30+AF30+AI30+AL30+AO30</f>
        <v>55000000</v>
      </c>
      <c r="I30" s="379">
        <f>I17</f>
        <v>952.63900000000001</v>
      </c>
      <c r="J30" s="379">
        <f t="shared" ref="J30" si="25">M30+P30+S30+V30+Y30+AB30+AE30+AH30+AK30+AN30+AQ30</f>
        <v>57734.356876004444</v>
      </c>
      <c r="K30" s="249">
        <f>CAPEX!C28</f>
        <v>55000000</v>
      </c>
      <c r="L30" s="117">
        <f>L17</f>
        <v>952.63900000000001</v>
      </c>
      <c r="M30" s="249">
        <f t="shared" ref="M30" si="26">K30/L30</f>
        <v>57734.356876004444</v>
      </c>
      <c r="N30" s="401"/>
      <c r="O30" s="379">
        <f>O17</f>
        <v>952.63900000000001</v>
      </c>
      <c r="P30" s="394">
        <f t="shared" ref="P30" si="27">N30/O30</f>
        <v>0</v>
      </c>
      <c r="Q30" s="249">
        <f>N30*$G30</f>
        <v>0</v>
      </c>
      <c r="R30" s="117">
        <f>R17</f>
        <v>1047.9029</v>
      </c>
      <c r="S30" s="117">
        <f t="shared" ref="S30" si="28">Q30/R30</f>
        <v>0</v>
      </c>
      <c r="T30" s="383">
        <f t="shared" ref="T30" si="29">Q30*$G30</f>
        <v>0</v>
      </c>
      <c r="U30" s="379">
        <f>U17</f>
        <v>1152.6931900000002</v>
      </c>
      <c r="V30" s="393">
        <f t="shared" ref="V30" si="30">T30/U30</f>
        <v>0</v>
      </c>
      <c r="W30" s="249">
        <f>T30*$G30</f>
        <v>0</v>
      </c>
      <c r="X30" s="117">
        <f>X17</f>
        <v>1267.9625090000004</v>
      </c>
      <c r="Y30" s="117">
        <f t="shared" ref="Y30" si="31">W30/X30</f>
        <v>0</v>
      </c>
      <c r="Z30" s="383">
        <f>W30*$G30</f>
        <v>0</v>
      </c>
      <c r="AA30" s="379">
        <f>AA17</f>
        <v>1394.7587599000005</v>
      </c>
      <c r="AB30" s="393">
        <f t="shared" ref="AB30" si="32">Z30/AA30</f>
        <v>0</v>
      </c>
      <c r="AC30" s="249">
        <f>Z30*$G30</f>
        <v>0</v>
      </c>
      <c r="AD30" s="117">
        <f>AD17</f>
        <v>1534.2346358900006</v>
      </c>
      <c r="AE30" s="117">
        <f t="shared" ref="AE30" si="33">AC30/AD30</f>
        <v>0</v>
      </c>
      <c r="AF30" s="383">
        <f>AC30*$G30</f>
        <v>0</v>
      </c>
      <c r="AG30" s="379">
        <f>AG17</f>
        <v>1687.6580994790008</v>
      </c>
      <c r="AH30" s="393">
        <f t="shared" ref="AH30" si="34">AF30/AG30</f>
        <v>0</v>
      </c>
      <c r="AI30" s="249">
        <f>AF30*$G30</f>
        <v>0</v>
      </c>
      <c r="AJ30" s="117">
        <f>AJ17</f>
        <v>1856.423909426901</v>
      </c>
      <c r="AK30" s="117">
        <f t="shared" ref="AK30" si="35">AI30/AJ30</f>
        <v>0</v>
      </c>
      <c r="AL30" s="383">
        <f>AI30*$G30</f>
        <v>0</v>
      </c>
      <c r="AM30" s="379">
        <f>AM17</f>
        <v>2042.0663003695913</v>
      </c>
      <c r="AN30" s="393">
        <f t="shared" ref="AN30" si="36">AL30/AM30</f>
        <v>0</v>
      </c>
      <c r="AO30" s="249">
        <f>AL30*$G30</f>
        <v>0</v>
      </c>
      <c r="AP30" s="117">
        <f>AP17</f>
        <v>2246.2729304065506</v>
      </c>
      <c r="AQ30" s="117">
        <f t="shared" ref="AQ30" si="37">AO30/AP30</f>
        <v>0</v>
      </c>
    </row>
    <row r="31" spans="3:43" x14ac:dyDescent="0.15">
      <c r="C31" s="454"/>
      <c r="D31" s="454"/>
      <c r="E31" s="454"/>
      <c r="F31" s="249"/>
      <c r="G31" s="249"/>
      <c r="H31" s="379"/>
      <c r="I31" s="379"/>
      <c r="J31" s="379"/>
      <c r="K31" s="249"/>
      <c r="L31" s="117"/>
      <c r="M31" s="249"/>
      <c r="N31" s="401"/>
      <c r="O31" s="379"/>
      <c r="P31" s="394"/>
      <c r="Q31" s="249"/>
      <c r="R31" s="117"/>
      <c r="S31" s="117"/>
      <c r="T31" s="383"/>
      <c r="U31" s="379"/>
      <c r="V31" s="393"/>
      <c r="W31" s="249"/>
      <c r="X31" s="117"/>
      <c r="Y31" s="117"/>
      <c r="Z31" s="383"/>
      <c r="AA31" s="379"/>
      <c r="AB31" s="393"/>
      <c r="AC31" s="249"/>
      <c r="AD31" s="117"/>
      <c r="AE31" s="117"/>
      <c r="AF31" s="383"/>
      <c r="AG31" s="379"/>
      <c r="AH31" s="393"/>
      <c r="AI31" s="249"/>
      <c r="AJ31" s="117"/>
      <c r="AK31" s="117"/>
      <c r="AL31" s="383"/>
      <c r="AM31" s="379"/>
      <c r="AN31" s="393"/>
      <c r="AO31" s="249"/>
      <c r="AP31" s="117"/>
      <c r="AQ31" s="117"/>
    </row>
    <row r="32" spans="3:43" ht="7.5" thickBot="1" x14ac:dyDescent="0.2">
      <c r="C32" s="339"/>
      <c r="D32" s="339"/>
      <c r="E32" s="339"/>
      <c r="F32" s="246"/>
      <c r="G32" s="246"/>
      <c r="H32" s="379"/>
      <c r="I32" s="379"/>
      <c r="J32" s="379"/>
      <c r="K32" s="110"/>
      <c r="L32" s="247"/>
      <c r="M32" s="117"/>
      <c r="N32" s="401"/>
      <c r="O32" s="379"/>
      <c r="P32" s="402"/>
      <c r="Q32" s="111"/>
      <c r="R32" s="247"/>
      <c r="S32" s="115"/>
      <c r="T32" s="379"/>
      <c r="U32" s="379"/>
      <c r="V32" s="393"/>
      <c r="W32" s="116"/>
      <c r="X32" s="247"/>
      <c r="Y32" s="117"/>
      <c r="Z32" s="379"/>
      <c r="AA32" s="379"/>
      <c r="AB32" s="393"/>
      <c r="AC32" s="116"/>
      <c r="AD32" s="247"/>
      <c r="AE32" s="117"/>
      <c r="AF32" s="379"/>
      <c r="AG32" s="379"/>
      <c r="AH32" s="393"/>
      <c r="AI32" s="116"/>
      <c r="AJ32" s="247"/>
      <c r="AK32" s="117"/>
      <c r="AL32" s="379"/>
      <c r="AM32" s="379"/>
      <c r="AN32" s="393"/>
      <c r="AO32" s="116"/>
      <c r="AP32" s="247"/>
      <c r="AQ32" s="117"/>
    </row>
    <row r="33" spans="3:43" ht="7.5" thickBot="1" x14ac:dyDescent="0.2">
      <c r="C33" s="335" t="s">
        <v>125</v>
      </c>
      <c r="D33" s="335"/>
      <c r="E33" s="335"/>
      <c r="F33" s="252"/>
      <c r="G33" s="252"/>
      <c r="H33" s="380"/>
      <c r="I33" s="397"/>
      <c r="J33" s="380"/>
      <c r="K33" s="252"/>
      <c r="L33" s="340"/>
      <c r="M33" s="340"/>
      <c r="N33" s="397"/>
      <c r="O33" s="380"/>
      <c r="P33" s="398"/>
      <c r="Q33" s="241"/>
      <c r="R33" s="340"/>
      <c r="S33" s="241"/>
      <c r="T33" s="397"/>
      <c r="U33" s="380"/>
      <c r="V33" s="398"/>
      <c r="W33" s="240"/>
      <c r="X33" s="340"/>
      <c r="Y33" s="241"/>
      <c r="Z33" s="397"/>
      <c r="AA33" s="380"/>
      <c r="AB33" s="398"/>
      <c r="AC33" s="240"/>
      <c r="AD33" s="340"/>
      <c r="AE33" s="241"/>
      <c r="AF33" s="397"/>
      <c r="AG33" s="380"/>
      <c r="AH33" s="398"/>
      <c r="AI33" s="240"/>
      <c r="AJ33" s="340"/>
      <c r="AK33" s="241"/>
      <c r="AL33" s="397"/>
      <c r="AM33" s="380"/>
      <c r="AN33" s="398"/>
      <c r="AO33" s="240"/>
      <c r="AP33" s="340"/>
      <c r="AQ33" s="241"/>
    </row>
    <row r="34" spans="3:43" x14ac:dyDescent="0.15">
      <c r="C34" s="341"/>
      <c r="D34" s="341"/>
      <c r="E34" s="341"/>
      <c r="F34" s="342"/>
      <c r="G34" s="342"/>
      <c r="H34" s="382"/>
      <c r="I34" s="453"/>
      <c r="J34" s="382"/>
      <c r="K34" s="116"/>
      <c r="L34" s="116"/>
      <c r="M34" s="116"/>
      <c r="N34" s="379"/>
      <c r="O34" s="382"/>
      <c r="P34" s="393"/>
      <c r="Q34" s="117"/>
      <c r="R34" s="116"/>
      <c r="S34" s="117"/>
      <c r="T34" s="379"/>
      <c r="U34" s="382"/>
      <c r="V34" s="393"/>
      <c r="W34" s="116"/>
      <c r="X34" s="116"/>
      <c r="Y34" s="117"/>
      <c r="Z34" s="379"/>
      <c r="AA34" s="382"/>
      <c r="AB34" s="393"/>
      <c r="AC34" s="116"/>
      <c r="AD34" s="116"/>
      <c r="AE34" s="117"/>
      <c r="AF34" s="379"/>
      <c r="AG34" s="382"/>
      <c r="AH34" s="393"/>
      <c r="AI34" s="116"/>
      <c r="AJ34" s="116"/>
      <c r="AK34" s="117"/>
      <c r="AL34" s="379"/>
      <c r="AM34" s="382"/>
      <c r="AN34" s="393"/>
      <c r="AO34" s="116"/>
      <c r="AP34" s="116"/>
      <c r="AQ34" s="117"/>
    </row>
    <row r="35" spans="3:43" x14ac:dyDescent="0.15">
      <c r="C35" s="242" t="s">
        <v>22</v>
      </c>
      <c r="D35" s="242"/>
      <c r="E35" s="242"/>
      <c r="F35" s="116"/>
      <c r="G35" s="116"/>
      <c r="H35" s="379"/>
      <c r="I35" s="379"/>
      <c r="J35" s="379"/>
      <c r="K35" s="116"/>
      <c r="L35" s="116"/>
      <c r="M35" s="116"/>
      <c r="N35" s="379"/>
      <c r="O35" s="379"/>
      <c r="P35" s="393"/>
      <c r="Q35" s="117"/>
      <c r="R35" s="116"/>
      <c r="S35" s="117"/>
      <c r="T35" s="379"/>
      <c r="U35" s="379"/>
      <c r="V35" s="393"/>
      <c r="W35" s="116"/>
      <c r="X35" s="116"/>
      <c r="Y35" s="117"/>
      <c r="Z35" s="379"/>
      <c r="AA35" s="379"/>
      <c r="AB35" s="393"/>
      <c r="AC35" s="116"/>
      <c r="AD35" s="116"/>
      <c r="AE35" s="117"/>
      <c r="AF35" s="379"/>
      <c r="AG35" s="379"/>
      <c r="AH35" s="393"/>
      <c r="AI35" s="116"/>
      <c r="AJ35" s="116"/>
      <c r="AK35" s="117"/>
      <c r="AL35" s="379"/>
      <c r="AM35" s="379"/>
      <c r="AN35" s="393"/>
      <c r="AO35" s="116"/>
      <c r="AP35" s="116"/>
      <c r="AQ35" s="117"/>
    </row>
    <row r="36" spans="3:43" x14ac:dyDescent="0.15">
      <c r="C36" s="242"/>
      <c r="D36" s="242"/>
      <c r="E36" s="242"/>
      <c r="F36" s="116"/>
      <c r="G36" s="334"/>
      <c r="H36" s="379"/>
      <c r="I36" s="379"/>
      <c r="J36" s="379"/>
      <c r="K36" s="116"/>
      <c r="L36" s="116"/>
      <c r="M36" s="116"/>
      <c r="N36" s="379"/>
      <c r="O36" s="379"/>
      <c r="P36" s="394"/>
      <c r="Q36" s="117"/>
      <c r="R36" s="116"/>
      <c r="S36" s="117"/>
      <c r="T36" s="383"/>
      <c r="U36" s="379"/>
      <c r="V36" s="393"/>
      <c r="W36" s="249"/>
      <c r="X36" s="116"/>
      <c r="Y36" s="117"/>
      <c r="Z36" s="383"/>
      <c r="AA36" s="379"/>
      <c r="AB36" s="393"/>
      <c r="AC36" s="249"/>
      <c r="AD36" s="116"/>
      <c r="AE36" s="117"/>
      <c r="AF36" s="383"/>
      <c r="AG36" s="379"/>
      <c r="AH36" s="393"/>
      <c r="AI36" s="249"/>
      <c r="AJ36" s="116"/>
      <c r="AK36" s="117"/>
      <c r="AL36" s="383"/>
      <c r="AM36" s="379"/>
      <c r="AN36" s="393"/>
      <c r="AO36" s="249"/>
      <c r="AP36" s="116"/>
      <c r="AQ36" s="117"/>
    </row>
    <row r="37" spans="3:43" x14ac:dyDescent="0.15">
      <c r="C37" s="242" t="s">
        <v>75</v>
      </c>
      <c r="D37" s="242"/>
      <c r="E37" s="242"/>
      <c r="F37" s="116"/>
      <c r="G37" s="334"/>
      <c r="H37" s="379"/>
      <c r="I37" s="379"/>
      <c r="J37" s="379"/>
      <c r="K37" s="116"/>
      <c r="L37" s="116"/>
      <c r="M37" s="116"/>
      <c r="N37" s="379"/>
      <c r="O37" s="379"/>
      <c r="P37" s="394"/>
      <c r="Q37" s="117"/>
      <c r="R37" s="116"/>
      <c r="S37" s="117"/>
      <c r="T37" s="383"/>
      <c r="U37" s="379"/>
      <c r="V37" s="393"/>
      <c r="W37" s="249"/>
      <c r="X37" s="116"/>
      <c r="Y37" s="117"/>
      <c r="Z37" s="383"/>
      <c r="AA37" s="379"/>
      <c r="AB37" s="393"/>
      <c r="AC37" s="249"/>
      <c r="AD37" s="116"/>
      <c r="AE37" s="117"/>
      <c r="AF37" s="383"/>
      <c r="AG37" s="379"/>
      <c r="AH37" s="393"/>
      <c r="AI37" s="249"/>
      <c r="AJ37" s="116"/>
      <c r="AK37" s="117"/>
      <c r="AL37" s="383"/>
      <c r="AM37" s="379"/>
      <c r="AN37" s="393"/>
      <c r="AO37" s="249"/>
      <c r="AP37" s="116"/>
      <c r="AQ37" s="117"/>
    </row>
    <row r="38" spans="3:43" x14ac:dyDescent="0.15">
      <c r="C38" s="243" t="s">
        <v>24</v>
      </c>
      <c r="D38" s="243"/>
      <c r="E38" s="243"/>
      <c r="F38" s="116">
        <f>F30</f>
        <v>952.63900000000001</v>
      </c>
      <c r="G38" s="334">
        <f>G30</f>
        <v>1.1000000000000001</v>
      </c>
      <c r="H38" s="379">
        <f>K38+N38+Q38+T38+W38+Z38+AC38+AF38+AI38+AL38+AO38</f>
        <v>53071623921.330025</v>
      </c>
      <c r="I38" s="379">
        <f>I30</f>
        <v>952.63900000000001</v>
      </c>
      <c r="J38" s="379">
        <f t="shared" ref="J38:J39" si="38">M38+P38+S38+V38+Y38+AB38+AE38+AH38+AK38+AN38+AQ38</f>
        <v>34955528.799471781</v>
      </c>
      <c r="K38" s="116"/>
      <c r="L38" s="116">
        <f>L30</f>
        <v>952.63900000000001</v>
      </c>
      <c r="M38" s="249">
        <f t="shared" ref="M38:M78" si="39">K38/L38</f>
        <v>0</v>
      </c>
      <c r="N38" s="379">
        <f>OPEX!I9</f>
        <v>3330000000</v>
      </c>
      <c r="O38" s="379">
        <f>O30</f>
        <v>952.63900000000001</v>
      </c>
      <c r="P38" s="394">
        <f t="shared" ref="P38:P78" si="40">N38/O38</f>
        <v>3495552.8799471781</v>
      </c>
      <c r="Q38" s="117">
        <f>N38*G38</f>
        <v>3663000000.0000005</v>
      </c>
      <c r="R38" s="116">
        <f>R30</f>
        <v>1047.9029</v>
      </c>
      <c r="S38" s="117">
        <f t="shared" ref="S38:S78" si="41">Q38/R38</f>
        <v>3495552.8799471785</v>
      </c>
      <c r="T38" s="383">
        <f>Q38*$G38</f>
        <v>4029300000.000001</v>
      </c>
      <c r="U38" s="379">
        <f>U30</f>
        <v>1152.6931900000002</v>
      </c>
      <c r="V38" s="393">
        <f t="shared" ref="V38:V78" si="42">T38/U38</f>
        <v>3495552.8799471785</v>
      </c>
      <c r="W38" s="249">
        <f>T38*$G38</f>
        <v>4432230000.000001</v>
      </c>
      <c r="X38" s="116">
        <f>X30</f>
        <v>1267.9625090000004</v>
      </c>
      <c r="Y38" s="117">
        <f t="shared" ref="Y38:Y78" si="43">W38/X38</f>
        <v>3495552.8799471781</v>
      </c>
      <c r="Z38" s="383">
        <f>W38*$G38</f>
        <v>4875453000.0000019</v>
      </c>
      <c r="AA38" s="379">
        <f>AA30</f>
        <v>1394.7587599000005</v>
      </c>
      <c r="AB38" s="393">
        <f t="shared" ref="AB38:AB78" si="44">Z38/AA38</f>
        <v>3495552.8799471785</v>
      </c>
      <c r="AC38" s="249">
        <f>Z38*$G38</f>
        <v>5362998300.0000029</v>
      </c>
      <c r="AD38" s="116">
        <f>AD30</f>
        <v>1534.2346358900006</v>
      </c>
      <c r="AE38" s="117">
        <f t="shared" ref="AE38:AE78" si="45">AC38/AD38</f>
        <v>3495552.879947179</v>
      </c>
      <c r="AF38" s="383">
        <f>AC38*$G38</f>
        <v>5899298130.0000038</v>
      </c>
      <c r="AG38" s="379">
        <f>AG30</f>
        <v>1687.6580994790008</v>
      </c>
      <c r="AH38" s="393">
        <f t="shared" ref="AH38:AH78" si="46">AF38/AG38</f>
        <v>3495552.879947179</v>
      </c>
      <c r="AI38" s="249">
        <f>AF38*$G38</f>
        <v>6489227943.0000048</v>
      </c>
      <c r="AJ38" s="116">
        <f>AJ30</f>
        <v>1856.423909426901</v>
      </c>
      <c r="AK38" s="117">
        <f t="shared" ref="AK38:AK78" si="47">AI38/AJ38</f>
        <v>3495552.879947179</v>
      </c>
      <c r="AL38" s="383">
        <f>AI38*$G38</f>
        <v>7138150737.3000059</v>
      </c>
      <c r="AM38" s="379">
        <f>AM30</f>
        <v>2042.0663003695913</v>
      </c>
      <c r="AN38" s="393">
        <f t="shared" ref="AN38:AN78" si="48">AL38/AM38</f>
        <v>3495552.879947179</v>
      </c>
      <c r="AO38" s="249">
        <f>AL38*$G38</f>
        <v>7851965811.0300074</v>
      </c>
      <c r="AP38" s="116">
        <f>AP30</f>
        <v>2246.2729304065506</v>
      </c>
      <c r="AQ38" s="117">
        <f t="shared" ref="AQ38:AQ78" si="49">AO38/AP38</f>
        <v>3495552.879947179</v>
      </c>
    </row>
    <row r="39" spans="3:43" x14ac:dyDescent="0.15">
      <c r="C39" s="243" t="s">
        <v>169</v>
      </c>
      <c r="D39" s="243"/>
      <c r="E39" s="243"/>
      <c r="F39" s="116">
        <f>F38</f>
        <v>952.63900000000001</v>
      </c>
      <c r="G39" s="334">
        <f>G38</f>
        <v>1.1000000000000001</v>
      </c>
      <c r="H39" s="379">
        <f>K39+N39+Q39+T39+W39+Z39+AC39+AF39+AI39+AL39+AO39</f>
        <v>10040577498.630005</v>
      </c>
      <c r="I39" s="379">
        <f>I38</f>
        <v>952.63900000000001</v>
      </c>
      <c r="J39" s="379">
        <f t="shared" si="38"/>
        <v>6613208.1512514194</v>
      </c>
      <c r="K39" s="116"/>
      <c r="L39" s="116">
        <f>L38</f>
        <v>952.63900000000001</v>
      </c>
      <c r="M39" s="249">
        <f t="shared" si="39"/>
        <v>0</v>
      </c>
      <c r="N39" s="379">
        <f>OPEX!I15</f>
        <v>630000000</v>
      </c>
      <c r="O39" s="379">
        <f>O38</f>
        <v>952.63900000000001</v>
      </c>
      <c r="P39" s="394">
        <f t="shared" si="40"/>
        <v>661320.81512514187</v>
      </c>
      <c r="Q39" s="117">
        <f>N39*G39</f>
        <v>693000000</v>
      </c>
      <c r="R39" s="116">
        <f>R38</f>
        <v>1047.9029</v>
      </c>
      <c r="S39" s="117">
        <f t="shared" si="41"/>
        <v>661320.81512514176</v>
      </c>
      <c r="T39" s="383">
        <f>Q39*$G39</f>
        <v>762300000.00000012</v>
      </c>
      <c r="U39" s="379">
        <f>U38</f>
        <v>1152.6931900000002</v>
      </c>
      <c r="V39" s="393">
        <f t="shared" si="42"/>
        <v>661320.81512514187</v>
      </c>
      <c r="W39" s="249">
        <f>T39*$G39</f>
        <v>838530000.00000024</v>
      </c>
      <c r="X39" s="116">
        <f>X38</f>
        <v>1267.9625090000004</v>
      </c>
      <c r="Y39" s="117">
        <f t="shared" si="43"/>
        <v>661320.81512514187</v>
      </c>
      <c r="Z39" s="383">
        <f>W39*$G39</f>
        <v>922383000.00000036</v>
      </c>
      <c r="AA39" s="379">
        <f>AA38</f>
        <v>1394.7587599000005</v>
      </c>
      <c r="AB39" s="393">
        <f t="shared" si="44"/>
        <v>661320.81512514187</v>
      </c>
      <c r="AC39" s="249">
        <f>Z39*$G39</f>
        <v>1014621300.0000005</v>
      </c>
      <c r="AD39" s="116">
        <f>AD38</f>
        <v>1534.2346358900006</v>
      </c>
      <c r="AE39" s="117">
        <f t="shared" si="45"/>
        <v>661320.81512514187</v>
      </c>
      <c r="AF39" s="383">
        <f>AC39*$G39</f>
        <v>1116083430.0000007</v>
      </c>
      <c r="AG39" s="379">
        <f>AG38</f>
        <v>1687.6580994790008</v>
      </c>
      <c r="AH39" s="393">
        <f t="shared" si="46"/>
        <v>661320.81512514199</v>
      </c>
      <c r="AI39" s="249">
        <f>AF39*$G39</f>
        <v>1227691773.000001</v>
      </c>
      <c r="AJ39" s="116">
        <f>AJ38</f>
        <v>1856.423909426901</v>
      </c>
      <c r="AK39" s="117">
        <f t="shared" si="47"/>
        <v>661320.81512514199</v>
      </c>
      <c r="AL39" s="383">
        <f>AI39*$G39</f>
        <v>1350460950.3000011</v>
      </c>
      <c r="AM39" s="379">
        <f>AM38</f>
        <v>2042.0663003695913</v>
      </c>
      <c r="AN39" s="393">
        <f t="shared" si="48"/>
        <v>661320.81512514199</v>
      </c>
      <c r="AO39" s="249">
        <f>AL39*$G39</f>
        <v>1485507045.3300014</v>
      </c>
      <c r="AP39" s="116">
        <f>AP38</f>
        <v>2246.2729304065506</v>
      </c>
      <c r="AQ39" s="117">
        <f t="shared" si="49"/>
        <v>661320.81512514199</v>
      </c>
    </row>
    <row r="40" spans="3:43" x14ac:dyDescent="0.15">
      <c r="C40" s="243"/>
      <c r="D40" s="243"/>
      <c r="E40" s="243"/>
      <c r="F40" s="116"/>
      <c r="G40" s="334"/>
      <c r="H40" s="379"/>
      <c r="I40" s="379"/>
      <c r="J40" s="379"/>
      <c r="K40" s="116"/>
      <c r="L40" s="116"/>
      <c r="M40" s="249"/>
      <c r="N40" s="379"/>
      <c r="O40" s="379"/>
      <c r="P40" s="394"/>
      <c r="Q40" s="117"/>
      <c r="R40" s="116"/>
      <c r="S40" s="117"/>
      <c r="T40" s="383"/>
      <c r="U40" s="379"/>
      <c r="V40" s="393"/>
      <c r="W40" s="249"/>
      <c r="X40" s="116"/>
      <c r="Y40" s="117"/>
      <c r="Z40" s="383"/>
      <c r="AA40" s="379"/>
      <c r="AB40" s="393"/>
      <c r="AC40" s="249"/>
      <c r="AD40" s="116"/>
      <c r="AE40" s="117"/>
      <c r="AF40" s="383"/>
      <c r="AG40" s="379"/>
      <c r="AH40" s="393"/>
      <c r="AI40" s="249"/>
      <c r="AJ40" s="116"/>
      <c r="AK40" s="117"/>
      <c r="AL40" s="383"/>
      <c r="AM40" s="379"/>
      <c r="AN40" s="393"/>
      <c r="AO40" s="249"/>
      <c r="AP40" s="116"/>
      <c r="AQ40" s="117"/>
    </row>
    <row r="41" spans="3:43" x14ac:dyDescent="0.15">
      <c r="C41" s="243"/>
      <c r="D41" s="243"/>
      <c r="E41" s="243"/>
      <c r="F41" s="116"/>
      <c r="G41" s="334"/>
      <c r="H41" s="379"/>
      <c r="I41" s="379"/>
      <c r="J41" s="379"/>
      <c r="K41" s="116"/>
      <c r="L41" s="116"/>
      <c r="M41" s="249"/>
      <c r="N41" s="379"/>
      <c r="O41" s="379"/>
      <c r="P41" s="394"/>
      <c r="Q41" s="117"/>
      <c r="R41" s="116"/>
      <c r="S41" s="117"/>
      <c r="T41" s="383"/>
      <c r="U41" s="379"/>
      <c r="V41" s="393"/>
      <c r="W41" s="249"/>
      <c r="X41" s="116"/>
      <c r="Y41" s="117"/>
      <c r="Z41" s="383"/>
      <c r="AA41" s="379"/>
      <c r="AB41" s="393"/>
      <c r="AC41" s="249"/>
      <c r="AD41" s="116"/>
      <c r="AE41" s="117"/>
      <c r="AF41" s="383"/>
      <c r="AG41" s="379"/>
      <c r="AH41" s="393"/>
      <c r="AI41" s="249"/>
      <c r="AJ41" s="116"/>
      <c r="AK41" s="117"/>
      <c r="AL41" s="383"/>
      <c r="AM41" s="379"/>
      <c r="AN41" s="393"/>
      <c r="AO41" s="249"/>
      <c r="AP41" s="116"/>
      <c r="AQ41" s="117"/>
    </row>
    <row r="42" spans="3:43" x14ac:dyDescent="0.15">
      <c r="C42" s="237" t="s">
        <v>170</v>
      </c>
      <c r="D42" s="243"/>
      <c r="E42" s="243"/>
      <c r="F42" s="116">
        <f>F39</f>
        <v>952.63900000000001</v>
      </c>
      <c r="G42" s="334">
        <f>G40</f>
        <v>0</v>
      </c>
      <c r="H42" s="379">
        <f>K42+N42+Q42+T42+W42+Z42+AC42+AF42+AI42+AL42+AO42</f>
        <v>360000000</v>
      </c>
      <c r="I42" s="379">
        <f>I39</f>
        <v>952.63900000000001</v>
      </c>
      <c r="J42" s="379">
        <f>M42+P42+S42+V42+Y42+AB42+AE42+AH42+AK42+AN42+AQ42</f>
        <v>377897.6086429382</v>
      </c>
      <c r="K42" s="116"/>
      <c r="L42" s="116">
        <f>L39</f>
        <v>952.63900000000001</v>
      </c>
      <c r="M42" s="249">
        <f t="shared" si="39"/>
        <v>0</v>
      </c>
      <c r="N42" s="379">
        <f>OPEX!I42</f>
        <v>360000000</v>
      </c>
      <c r="O42" s="379">
        <f>O39</f>
        <v>952.63900000000001</v>
      </c>
      <c r="P42" s="394">
        <f t="shared" si="40"/>
        <v>377897.6086429382</v>
      </c>
      <c r="Q42" s="117">
        <f>N42*G42</f>
        <v>0</v>
      </c>
      <c r="R42" s="116">
        <f>R39</f>
        <v>1047.9029</v>
      </c>
      <c r="S42" s="117">
        <f t="shared" si="41"/>
        <v>0</v>
      </c>
      <c r="T42" s="383">
        <f>Q42*$G42</f>
        <v>0</v>
      </c>
      <c r="U42" s="379">
        <f>U39</f>
        <v>1152.6931900000002</v>
      </c>
      <c r="V42" s="393">
        <f t="shared" si="42"/>
        <v>0</v>
      </c>
      <c r="W42" s="249">
        <f>T42*$G42</f>
        <v>0</v>
      </c>
      <c r="X42" s="116">
        <f>X39</f>
        <v>1267.9625090000004</v>
      </c>
      <c r="Y42" s="117">
        <f t="shared" si="43"/>
        <v>0</v>
      </c>
      <c r="Z42" s="383">
        <f>W42*$G42</f>
        <v>0</v>
      </c>
      <c r="AA42" s="379">
        <f>AA39</f>
        <v>1394.7587599000005</v>
      </c>
      <c r="AB42" s="393">
        <f t="shared" si="44"/>
        <v>0</v>
      </c>
      <c r="AC42" s="249">
        <f>Z42*$G42</f>
        <v>0</v>
      </c>
      <c r="AD42" s="116">
        <f>AD39</f>
        <v>1534.2346358900006</v>
      </c>
      <c r="AE42" s="117">
        <f t="shared" si="45"/>
        <v>0</v>
      </c>
      <c r="AF42" s="383">
        <f>AC42*$G42</f>
        <v>0</v>
      </c>
      <c r="AG42" s="379">
        <f>AG39</f>
        <v>1687.6580994790008</v>
      </c>
      <c r="AH42" s="393">
        <f t="shared" si="46"/>
        <v>0</v>
      </c>
      <c r="AI42" s="249">
        <f>AF42*$G42</f>
        <v>0</v>
      </c>
      <c r="AJ42" s="116">
        <f>AJ39</f>
        <v>1856.423909426901</v>
      </c>
      <c r="AK42" s="117">
        <f t="shared" si="47"/>
        <v>0</v>
      </c>
      <c r="AL42" s="383">
        <f>AI42*$G42</f>
        <v>0</v>
      </c>
      <c r="AM42" s="379">
        <f>AM39</f>
        <v>2042.0663003695913</v>
      </c>
      <c r="AN42" s="393">
        <f t="shared" si="48"/>
        <v>0</v>
      </c>
      <c r="AO42" s="249">
        <f>AL42*$G42</f>
        <v>0</v>
      </c>
      <c r="AP42" s="116">
        <f>AP39</f>
        <v>2246.2729304065506</v>
      </c>
      <c r="AQ42" s="117">
        <f t="shared" si="49"/>
        <v>0</v>
      </c>
    </row>
    <row r="43" spans="3:43" x14ac:dyDescent="0.15">
      <c r="C43" s="237" t="s">
        <v>61</v>
      </c>
      <c r="D43" s="243"/>
      <c r="E43" s="243"/>
      <c r="F43" s="116">
        <f>F42</f>
        <v>952.63900000000001</v>
      </c>
      <c r="G43" s="334">
        <f>G42</f>
        <v>0</v>
      </c>
      <c r="H43" s="379">
        <f>K43+N43+Q43+T43+W43+Z43+AC43+AF43+AI43+AL43+AO43</f>
        <v>5299200000</v>
      </c>
      <c r="I43" s="379">
        <f>I42</f>
        <v>952.63900000000001</v>
      </c>
      <c r="J43" s="379">
        <f>M43+P43+S43+V43+Y43+AB43+AE43+AH43+AK43+AN43+AQ43</f>
        <v>5562652.7992240498</v>
      </c>
      <c r="K43" s="116"/>
      <c r="L43" s="116">
        <f>L42</f>
        <v>952.63900000000001</v>
      </c>
      <c r="M43" s="249">
        <f t="shared" si="39"/>
        <v>0</v>
      </c>
      <c r="N43" s="379">
        <f>OPEX!I48</f>
        <v>5299200000</v>
      </c>
      <c r="O43" s="379">
        <f>O42</f>
        <v>952.63900000000001</v>
      </c>
      <c r="P43" s="394">
        <f t="shared" si="40"/>
        <v>5562652.7992240498</v>
      </c>
      <c r="Q43" s="117">
        <f>N43*G43</f>
        <v>0</v>
      </c>
      <c r="R43" s="116">
        <f>R42</f>
        <v>1047.9029</v>
      </c>
      <c r="S43" s="117">
        <f t="shared" si="41"/>
        <v>0</v>
      </c>
      <c r="T43" s="383">
        <f>Q43*$G43</f>
        <v>0</v>
      </c>
      <c r="U43" s="379">
        <f>U42</f>
        <v>1152.6931900000002</v>
      </c>
      <c r="V43" s="393">
        <f t="shared" si="42"/>
        <v>0</v>
      </c>
      <c r="W43" s="249">
        <f>T43*$G43</f>
        <v>0</v>
      </c>
      <c r="X43" s="116">
        <f>X42</f>
        <v>1267.9625090000004</v>
      </c>
      <c r="Y43" s="117">
        <f t="shared" si="43"/>
        <v>0</v>
      </c>
      <c r="Z43" s="383">
        <f>W43*$G43</f>
        <v>0</v>
      </c>
      <c r="AA43" s="379">
        <f>AA42</f>
        <v>1394.7587599000005</v>
      </c>
      <c r="AB43" s="393">
        <f t="shared" si="44"/>
        <v>0</v>
      </c>
      <c r="AC43" s="249">
        <f>Z43*$G43</f>
        <v>0</v>
      </c>
      <c r="AD43" s="116">
        <f>AD42</f>
        <v>1534.2346358900006</v>
      </c>
      <c r="AE43" s="117">
        <f t="shared" si="45"/>
        <v>0</v>
      </c>
      <c r="AF43" s="383">
        <f>AC43*$G43</f>
        <v>0</v>
      </c>
      <c r="AG43" s="379">
        <f>AG42</f>
        <v>1687.6580994790008</v>
      </c>
      <c r="AH43" s="393">
        <f t="shared" si="46"/>
        <v>0</v>
      </c>
      <c r="AI43" s="249">
        <f>AF43*$G43</f>
        <v>0</v>
      </c>
      <c r="AJ43" s="116">
        <f>AJ42</f>
        <v>1856.423909426901</v>
      </c>
      <c r="AK43" s="117">
        <f t="shared" si="47"/>
        <v>0</v>
      </c>
      <c r="AL43" s="383">
        <f>AI43*$G43</f>
        <v>0</v>
      </c>
      <c r="AM43" s="379">
        <f>AM42</f>
        <v>2042.0663003695913</v>
      </c>
      <c r="AN43" s="393">
        <f t="shared" si="48"/>
        <v>0</v>
      </c>
      <c r="AO43" s="249">
        <f>AL43*$G43</f>
        <v>0</v>
      </c>
      <c r="AP43" s="116">
        <f>AP42</f>
        <v>2246.2729304065506</v>
      </c>
      <c r="AQ43" s="117">
        <f t="shared" si="49"/>
        <v>0</v>
      </c>
    </row>
    <row r="44" spans="3:43" x14ac:dyDescent="0.15">
      <c r="C44" s="243"/>
      <c r="D44" s="243"/>
      <c r="E44" s="243"/>
      <c r="F44" s="116"/>
      <c r="G44" s="334"/>
      <c r="H44" s="379"/>
      <c r="I44" s="379"/>
      <c r="J44" s="379"/>
      <c r="K44" s="116"/>
      <c r="L44" s="116"/>
      <c r="M44" s="249"/>
      <c r="N44" s="379"/>
      <c r="O44" s="379"/>
      <c r="P44" s="394"/>
      <c r="Q44" s="117"/>
      <c r="R44" s="116"/>
      <c r="S44" s="117"/>
      <c r="T44" s="383"/>
      <c r="U44" s="379"/>
      <c r="V44" s="393"/>
      <c r="W44" s="249"/>
      <c r="X44" s="116"/>
      <c r="Y44" s="117"/>
      <c r="Z44" s="383"/>
      <c r="AA44" s="379"/>
      <c r="AB44" s="393"/>
      <c r="AC44" s="249"/>
      <c r="AD44" s="116"/>
      <c r="AE44" s="117"/>
      <c r="AF44" s="383"/>
      <c r="AG44" s="379"/>
      <c r="AH44" s="393"/>
      <c r="AI44" s="249"/>
      <c r="AJ44" s="116"/>
      <c r="AK44" s="117"/>
      <c r="AL44" s="383"/>
      <c r="AM44" s="379"/>
      <c r="AN44" s="393"/>
      <c r="AO44" s="249"/>
      <c r="AP44" s="116"/>
      <c r="AQ44" s="117"/>
    </row>
    <row r="45" spans="3:43" x14ac:dyDescent="0.15">
      <c r="C45" s="243"/>
      <c r="D45" s="243"/>
      <c r="E45" s="243"/>
      <c r="F45" s="116"/>
      <c r="G45" s="334"/>
      <c r="H45" s="379"/>
      <c r="I45" s="379"/>
      <c r="J45" s="379"/>
      <c r="K45" s="116"/>
      <c r="L45" s="116"/>
      <c r="M45" s="249"/>
      <c r="N45" s="379"/>
      <c r="O45" s="379"/>
      <c r="P45" s="394"/>
      <c r="Q45" s="117"/>
      <c r="R45" s="116"/>
      <c r="S45" s="117"/>
      <c r="T45" s="383"/>
      <c r="U45" s="379"/>
      <c r="V45" s="393"/>
      <c r="W45" s="249"/>
      <c r="X45" s="116"/>
      <c r="Y45" s="117"/>
      <c r="Z45" s="383"/>
      <c r="AA45" s="379"/>
      <c r="AB45" s="393"/>
      <c r="AC45" s="249"/>
      <c r="AD45" s="116"/>
      <c r="AE45" s="117"/>
      <c r="AF45" s="383"/>
      <c r="AG45" s="379"/>
      <c r="AH45" s="393"/>
      <c r="AI45" s="249"/>
      <c r="AJ45" s="116"/>
      <c r="AK45" s="117"/>
      <c r="AL45" s="383"/>
      <c r="AM45" s="379"/>
      <c r="AN45" s="393"/>
      <c r="AO45" s="249"/>
      <c r="AP45" s="116"/>
      <c r="AQ45" s="117"/>
    </row>
    <row r="46" spans="3:43" x14ac:dyDescent="0.15">
      <c r="C46" s="243" t="s">
        <v>197</v>
      </c>
      <c r="D46" s="243" t="s">
        <v>202</v>
      </c>
      <c r="E46" s="344">
        <v>0.01</v>
      </c>
      <c r="F46" s="116">
        <f>F43</f>
        <v>952.63900000000001</v>
      </c>
      <c r="G46" s="334"/>
      <c r="H46" s="379">
        <f>K46+N46+Q46+T46+W46+Z46+AC46+AF46+AI46+AL46+AO46</f>
        <v>76985676853.903168</v>
      </c>
      <c r="I46" s="379">
        <f>I43</f>
        <v>952.63900000000001</v>
      </c>
      <c r="J46" s="379">
        <f>M46+P46+S46+V46+Y46+AB46+AE46+AH46+AK46+AN46+AQ46</f>
        <v>49334341.150478989</v>
      </c>
      <c r="K46" s="116"/>
      <c r="L46" s="116">
        <f>L43</f>
        <v>952.63900000000001</v>
      </c>
      <c r="M46" s="249">
        <f t="shared" si="39"/>
        <v>0</v>
      </c>
      <c r="N46" s="379">
        <f>$E46*CAPEX!C8</f>
        <v>1614578303.8720002</v>
      </c>
      <c r="O46" s="379">
        <f>O43</f>
        <v>952.63900000000001</v>
      </c>
      <c r="P46" s="394">
        <f t="shared" si="40"/>
        <v>1694848.0000000002</v>
      </c>
      <c r="Q46" s="116">
        <f>$E46*CAPEX!D8</f>
        <v>3390614438.1311998</v>
      </c>
      <c r="R46" s="116">
        <f>R43</f>
        <v>1047.9029</v>
      </c>
      <c r="S46" s="117">
        <f t="shared" si="41"/>
        <v>3235618.9090909087</v>
      </c>
      <c r="T46" s="379">
        <f>$E46*CAPEX!E8</f>
        <v>5344254185.8163204</v>
      </c>
      <c r="U46" s="379">
        <f>U43</f>
        <v>1152.6931900000002</v>
      </c>
      <c r="V46" s="393">
        <f t="shared" si="42"/>
        <v>4636319.73553719</v>
      </c>
      <c r="W46" s="116">
        <f>$E46*CAPEX!F8</f>
        <v>7493257908.2699537</v>
      </c>
      <c r="X46" s="116">
        <f>X43</f>
        <v>1267.9625090000004</v>
      </c>
      <c r="Y46" s="117">
        <f t="shared" si="43"/>
        <v>5909684.1232156269</v>
      </c>
      <c r="Z46" s="379">
        <f>$E46*CAPEX!G8</f>
        <v>9857162002.9689503</v>
      </c>
      <c r="AA46" s="379">
        <f>AA43</f>
        <v>1394.7587599000005</v>
      </c>
      <c r="AB46" s="393">
        <f t="shared" si="44"/>
        <v>7067288.1120142061</v>
      </c>
      <c r="AC46" s="116">
        <f>$E46*CAPEX!H8</f>
        <v>9857162002.9689503</v>
      </c>
      <c r="AD46" s="116">
        <f>AD43</f>
        <v>1534.2346358900006</v>
      </c>
      <c r="AE46" s="117">
        <f t="shared" si="45"/>
        <v>6424807.3745583687</v>
      </c>
      <c r="AF46" s="379">
        <f>$E46*CAPEX!I8</f>
        <v>9857162002.9689503</v>
      </c>
      <c r="AG46" s="379">
        <f>AG43</f>
        <v>1687.6580994790008</v>
      </c>
      <c r="AH46" s="393">
        <f t="shared" si="46"/>
        <v>5840733.9768712437</v>
      </c>
      <c r="AI46" s="116">
        <f>$E46*CAPEX!J8</f>
        <v>9857162002.9689503</v>
      </c>
      <c r="AJ46" s="116">
        <f>AJ43</f>
        <v>1856.423909426901</v>
      </c>
      <c r="AK46" s="117">
        <f t="shared" si="47"/>
        <v>5309758.1607920397</v>
      </c>
      <c r="AL46" s="379">
        <f>$E46*CAPEX!J8</f>
        <v>9857162002.9689503</v>
      </c>
      <c r="AM46" s="379">
        <f>AM43</f>
        <v>2042.0663003695913</v>
      </c>
      <c r="AN46" s="393">
        <f t="shared" si="48"/>
        <v>4827052.8734473083</v>
      </c>
      <c r="AO46" s="116">
        <f>$E46*CAPEX!K8</f>
        <v>9857162002.9689503</v>
      </c>
      <c r="AP46" s="116">
        <f>AP43</f>
        <v>2246.2729304065506</v>
      </c>
      <c r="AQ46" s="117">
        <f t="shared" si="49"/>
        <v>4388229.8849520981</v>
      </c>
    </row>
    <row r="47" spans="3:43" x14ac:dyDescent="0.15">
      <c r="C47" s="331"/>
      <c r="D47" s="331"/>
      <c r="E47" s="331"/>
      <c r="F47" s="116"/>
      <c r="G47" s="334"/>
      <c r="H47" s="379"/>
      <c r="I47" s="379"/>
      <c r="J47" s="379"/>
      <c r="K47" s="116"/>
      <c r="L47" s="116"/>
      <c r="M47" s="249"/>
      <c r="N47" s="379"/>
      <c r="O47" s="379"/>
      <c r="P47" s="394"/>
      <c r="Q47" s="117"/>
      <c r="R47" s="116"/>
      <c r="S47" s="117"/>
      <c r="T47" s="383"/>
      <c r="U47" s="379"/>
      <c r="V47" s="393"/>
      <c r="W47" s="249"/>
      <c r="X47" s="116"/>
      <c r="Y47" s="117"/>
      <c r="Z47" s="383"/>
      <c r="AA47" s="379"/>
      <c r="AB47" s="393"/>
      <c r="AC47" s="249"/>
      <c r="AD47" s="116"/>
      <c r="AE47" s="117"/>
      <c r="AF47" s="383"/>
      <c r="AG47" s="379"/>
      <c r="AH47" s="393"/>
      <c r="AI47" s="249"/>
      <c r="AJ47" s="116"/>
      <c r="AK47" s="117"/>
      <c r="AL47" s="383"/>
      <c r="AM47" s="379"/>
      <c r="AN47" s="393"/>
      <c r="AO47" s="249"/>
      <c r="AP47" s="116"/>
      <c r="AQ47" s="117"/>
    </row>
    <row r="48" spans="3:43" x14ac:dyDescent="0.15">
      <c r="C48" s="331"/>
      <c r="D48" s="331"/>
      <c r="E48" s="331"/>
      <c r="F48" s="116"/>
      <c r="G48" s="334"/>
      <c r="H48" s="379"/>
      <c r="I48" s="379"/>
      <c r="J48" s="379"/>
      <c r="K48" s="116"/>
      <c r="L48" s="116"/>
      <c r="M48" s="249"/>
      <c r="N48" s="379"/>
      <c r="O48" s="379"/>
      <c r="P48" s="394"/>
      <c r="Q48" s="117"/>
      <c r="R48" s="116"/>
      <c r="S48" s="117"/>
      <c r="T48" s="383"/>
      <c r="U48" s="379"/>
      <c r="V48" s="393"/>
      <c r="W48" s="249"/>
      <c r="X48" s="116"/>
      <c r="Y48" s="117"/>
      <c r="Z48" s="383"/>
      <c r="AA48" s="379"/>
      <c r="AB48" s="393"/>
      <c r="AC48" s="249"/>
      <c r="AD48" s="116"/>
      <c r="AE48" s="117"/>
      <c r="AF48" s="383"/>
      <c r="AG48" s="379"/>
      <c r="AH48" s="393"/>
      <c r="AI48" s="249"/>
      <c r="AJ48" s="116"/>
      <c r="AK48" s="117"/>
      <c r="AL48" s="383"/>
      <c r="AM48" s="379"/>
      <c r="AN48" s="393"/>
      <c r="AO48" s="249"/>
      <c r="AP48" s="116"/>
      <c r="AQ48" s="117"/>
    </row>
    <row r="49" spans="3:43" x14ac:dyDescent="0.15">
      <c r="C49" s="331"/>
      <c r="D49" s="331"/>
      <c r="E49" s="331"/>
      <c r="F49" s="116"/>
      <c r="G49" s="334"/>
      <c r="H49" s="379"/>
      <c r="I49" s="379"/>
      <c r="J49" s="379"/>
      <c r="K49" s="116"/>
      <c r="L49" s="116"/>
      <c r="M49" s="249"/>
      <c r="N49" s="379"/>
      <c r="O49" s="379"/>
      <c r="P49" s="394"/>
      <c r="Q49" s="117"/>
      <c r="R49" s="116"/>
      <c r="S49" s="117"/>
      <c r="T49" s="383"/>
      <c r="U49" s="379"/>
      <c r="V49" s="393"/>
      <c r="W49" s="249"/>
      <c r="X49" s="116"/>
      <c r="Y49" s="117"/>
      <c r="Z49" s="383"/>
      <c r="AA49" s="379"/>
      <c r="AB49" s="393"/>
      <c r="AC49" s="249"/>
      <c r="AD49" s="116"/>
      <c r="AE49" s="117"/>
      <c r="AF49" s="383"/>
      <c r="AG49" s="379"/>
      <c r="AH49" s="393"/>
      <c r="AI49" s="249"/>
      <c r="AJ49" s="116"/>
      <c r="AK49" s="117"/>
      <c r="AL49" s="383"/>
      <c r="AM49" s="379"/>
      <c r="AN49" s="393"/>
      <c r="AO49" s="249"/>
      <c r="AP49" s="116"/>
      <c r="AQ49" s="117"/>
    </row>
    <row r="50" spans="3:43" x14ac:dyDescent="0.15">
      <c r="C50" s="326" t="s">
        <v>126</v>
      </c>
      <c r="D50" s="326"/>
      <c r="E50" s="326"/>
      <c r="F50" s="116"/>
      <c r="G50" s="343"/>
      <c r="H50" s="379"/>
      <c r="I50" s="379"/>
      <c r="J50" s="379"/>
      <c r="K50" s="116"/>
      <c r="L50" s="116"/>
      <c r="M50" s="249"/>
      <c r="N50" s="379"/>
      <c r="O50" s="379"/>
      <c r="P50" s="394"/>
      <c r="Q50" s="117"/>
      <c r="R50" s="116"/>
      <c r="S50" s="117"/>
      <c r="T50" s="383"/>
      <c r="U50" s="379"/>
      <c r="V50" s="393"/>
      <c r="W50" s="249"/>
      <c r="X50" s="116"/>
      <c r="Y50" s="117"/>
      <c r="Z50" s="383"/>
      <c r="AA50" s="379"/>
      <c r="AB50" s="393"/>
      <c r="AC50" s="249"/>
      <c r="AD50" s="116"/>
      <c r="AE50" s="117"/>
      <c r="AF50" s="383"/>
      <c r="AG50" s="379"/>
      <c r="AH50" s="393"/>
      <c r="AI50" s="249"/>
      <c r="AJ50" s="116"/>
      <c r="AK50" s="117"/>
      <c r="AL50" s="383"/>
      <c r="AM50" s="379"/>
      <c r="AN50" s="393"/>
      <c r="AO50" s="249"/>
      <c r="AP50" s="116"/>
      <c r="AQ50" s="117"/>
    </row>
    <row r="51" spans="3:43" x14ac:dyDescent="0.15">
      <c r="C51" s="331" t="s">
        <v>136</v>
      </c>
      <c r="D51" s="331"/>
      <c r="E51" s="331"/>
      <c r="F51" s="116">
        <f>F46</f>
        <v>952.63900000000001</v>
      </c>
      <c r="G51" s="334">
        <f>G38</f>
        <v>1.1000000000000001</v>
      </c>
      <c r="H51" s="379">
        <f t="shared" ref="H51:H73" si="50">K51+N51+Q51+T51+W51+Z51+AC51+AF51+AI51+AL51+AO51</f>
        <v>9371205665.3880024</v>
      </c>
      <c r="I51" s="379">
        <f>I46</f>
        <v>952.63900000000001</v>
      </c>
      <c r="J51" s="379">
        <f t="shared" ref="J51:J73" si="51">M51+P51+S51+V51+Y51+AB51+AE51+AH51+AK51+AN51+AQ51</f>
        <v>6172327.6078346558</v>
      </c>
      <c r="K51" s="116"/>
      <c r="L51" s="116">
        <f>L46</f>
        <v>952.63900000000001</v>
      </c>
      <c r="M51" s="249">
        <f t="shared" si="39"/>
        <v>0</v>
      </c>
      <c r="N51" s="379">
        <f>OPEX!I36</f>
        <v>588000000</v>
      </c>
      <c r="O51" s="379">
        <f>O46</f>
        <v>952.63900000000001</v>
      </c>
      <c r="P51" s="394">
        <f t="shared" si="40"/>
        <v>617232.7607834657</v>
      </c>
      <c r="Q51" s="117">
        <f t="shared" ref="Q51" si="52">N51*G51</f>
        <v>646800000</v>
      </c>
      <c r="R51" s="116">
        <f>R46</f>
        <v>1047.9029</v>
      </c>
      <c r="S51" s="117">
        <f t="shared" si="41"/>
        <v>617232.7607834657</v>
      </c>
      <c r="T51" s="383">
        <f>Q51*$G51</f>
        <v>711480000</v>
      </c>
      <c r="U51" s="379">
        <f>U46</f>
        <v>1152.6931900000002</v>
      </c>
      <c r="V51" s="393">
        <f t="shared" si="42"/>
        <v>617232.76078346558</v>
      </c>
      <c r="W51" s="249">
        <f>T51*$G51</f>
        <v>782628000.00000012</v>
      </c>
      <c r="X51" s="116">
        <f>X46</f>
        <v>1267.9625090000004</v>
      </c>
      <c r="Y51" s="117">
        <f t="shared" si="43"/>
        <v>617232.76078346558</v>
      </c>
      <c r="Z51" s="383">
        <f>W51*$G51</f>
        <v>860890800.00000024</v>
      </c>
      <c r="AA51" s="379">
        <f>AA46</f>
        <v>1394.7587599000005</v>
      </c>
      <c r="AB51" s="393">
        <f t="shared" si="44"/>
        <v>617232.7607834657</v>
      </c>
      <c r="AC51" s="249">
        <f>Z51*$G51</f>
        <v>946979880.00000036</v>
      </c>
      <c r="AD51" s="116">
        <f>AD46</f>
        <v>1534.2346358900006</v>
      </c>
      <c r="AE51" s="117">
        <f t="shared" si="45"/>
        <v>617232.7607834657</v>
      </c>
      <c r="AF51" s="383">
        <f>AC51*$G51</f>
        <v>1041677868.0000005</v>
      </c>
      <c r="AG51" s="379">
        <f>AG46</f>
        <v>1687.6580994790008</v>
      </c>
      <c r="AH51" s="393">
        <f t="shared" si="46"/>
        <v>617232.7607834657</v>
      </c>
      <c r="AI51" s="249">
        <f>AF51*$G51</f>
        <v>1145845654.8000007</v>
      </c>
      <c r="AJ51" s="116">
        <f>AJ46</f>
        <v>1856.423909426901</v>
      </c>
      <c r="AK51" s="117">
        <f t="shared" si="47"/>
        <v>617232.7607834657</v>
      </c>
      <c r="AL51" s="383">
        <f>AI51*$G51</f>
        <v>1260430220.2800009</v>
      </c>
      <c r="AM51" s="379">
        <f>AM46</f>
        <v>2042.0663003695913</v>
      </c>
      <c r="AN51" s="393">
        <f t="shared" si="48"/>
        <v>617232.76078346581</v>
      </c>
      <c r="AO51" s="249">
        <f>AL51*$G51</f>
        <v>1386473242.308001</v>
      </c>
      <c r="AP51" s="116">
        <f>AP46</f>
        <v>2246.2729304065506</v>
      </c>
      <c r="AQ51" s="117">
        <f t="shared" si="49"/>
        <v>617232.7607834657</v>
      </c>
    </row>
    <row r="52" spans="3:43" x14ac:dyDescent="0.15">
      <c r="C52" s="331"/>
      <c r="D52" s="331"/>
      <c r="E52" s="331"/>
      <c r="F52" s="116"/>
      <c r="G52" s="343"/>
      <c r="H52" s="379"/>
      <c r="I52" s="379"/>
      <c r="J52" s="379"/>
      <c r="K52" s="116"/>
      <c r="L52" s="116"/>
      <c r="M52" s="249"/>
      <c r="N52" s="379"/>
      <c r="O52" s="379"/>
      <c r="P52" s="394"/>
      <c r="Q52" s="117"/>
      <c r="R52" s="116"/>
      <c r="S52" s="117"/>
      <c r="T52" s="383"/>
      <c r="U52" s="379"/>
      <c r="V52" s="393"/>
      <c r="W52" s="249"/>
      <c r="X52" s="116"/>
      <c r="Y52" s="117"/>
      <c r="Z52" s="383"/>
      <c r="AA52" s="379"/>
      <c r="AB52" s="393"/>
      <c r="AC52" s="249"/>
      <c r="AD52" s="116"/>
      <c r="AE52" s="117"/>
      <c r="AF52" s="383"/>
      <c r="AG52" s="379"/>
      <c r="AH52" s="393"/>
      <c r="AI52" s="249"/>
      <c r="AJ52" s="116"/>
      <c r="AK52" s="117"/>
      <c r="AL52" s="383"/>
      <c r="AM52" s="379"/>
      <c r="AN52" s="393"/>
      <c r="AO52" s="249"/>
      <c r="AP52" s="116"/>
      <c r="AQ52" s="117"/>
    </row>
    <row r="53" spans="3:43" x14ac:dyDescent="0.15">
      <c r="C53" s="326" t="s">
        <v>137</v>
      </c>
      <c r="D53" s="326"/>
      <c r="E53" s="326"/>
      <c r="F53" s="116"/>
      <c r="G53" s="343"/>
      <c r="H53" s="379"/>
      <c r="I53" s="379"/>
      <c r="J53" s="379"/>
      <c r="K53" s="116"/>
      <c r="L53" s="116"/>
      <c r="M53" s="249"/>
      <c r="N53" s="379"/>
      <c r="O53" s="379"/>
      <c r="P53" s="394"/>
      <c r="Q53" s="117"/>
      <c r="R53" s="116"/>
      <c r="S53" s="117"/>
      <c r="T53" s="383"/>
      <c r="U53" s="379"/>
      <c r="V53" s="393"/>
      <c r="W53" s="249"/>
      <c r="X53" s="116"/>
      <c r="Y53" s="117"/>
      <c r="Z53" s="383"/>
      <c r="AA53" s="379"/>
      <c r="AB53" s="393"/>
      <c r="AC53" s="249"/>
      <c r="AD53" s="116"/>
      <c r="AE53" s="117"/>
      <c r="AF53" s="383"/>
      <c r="AG53" s="379"/>
      <c r="AH53" s="393"/>
      <c r="AI53" s="249"/>
      <c r="AJ53" s="116"/>
      <c r="AK53" s="117"/>
      <c r="AL53" s="383"/>
      <c r="AM53" s="379"/>
      <c r="AN53" s="393"/>
      <c r="AO53" s="249"/>
      <c r="AP53" s="116"/>
      <c r="AQ53" s="117"/>
    </row>
    <row r="54" spans="3:43" x14ac:dyDescent="0.15">
      <c r="C54" s="331" t="s">
        <v>198</v>
      </c>
      <c r="D54" s="331" t="s">
        <v>189</v>
      </c>
      <c r="E54" s="345">
        <v>0.01</v>
      </c>
      <c r="F54" s="116">
        <f>F51</f>
        <v>952.63900000000001</v>
      </c>
      <c r="G54" s="334">
        <f>G51</f>
        <v>1.1000000000000001</v>
      </c>
      <c r="H54" s="379">
        <f t="shared" si="50"/>
        <v>5500000</v>
      </c>
      <c r="I54" s="379">
        <f>I51</f>
        <v>952.63900000000001</v>
      </c>
      <c r="J54" s="379">
        <f t="shared" si="51"/>
        <v>3902.2789314224301</v>
      </c>
      <c r="K54" s="116"/>
      <c r="L54" s="116">
        <f>L51</f>
        <v>952.63900000000001</v>
      </c>
      <c r="M54" s="249">
        <f t="shared" si="39"/>
        <v>0</v>
      </c>
      <c r="N54" s="379">
        <f>$E54*CAPEX!C30</f>
        <v>550000</v>
      </c>
      <c r="O54" s="379">
        <f>O51</f>
        <v>952.63900000000001</v>
      </c>
      <c r="P54" s="394">
        <f t="shared" si="40"/>
        <v>577.34356876004449</v>
      </c>
      <c r="Q54" s="116">
        <f>$E54*CAPEX!D30</f>
        <v>550000</v>
      </c>
      <c r="R54" s="116">
        <f>R51</f>
        <v>1047.9029</v>
      </c>
      <c r="S54" s="117">
        <f t="shared" si="41"/>
        <v>524.85778978185863</v>
      </c>
      <c r="T54" s="379">
        <f>$E54*CAPEX!E30</f>
        <v>550000</v>
      </c>
      <c r="U54" s="379">
        <f>U51</f>
        <v>1152.6931900000002</v>
      </c>
      <c r="V54" s="393">
        <f t="shared" si="42"/>
        <v>477.143445256235</v>
      </c>
      <c r="W54" s="116">
        <f>$E54*CAPEX!F30</f>
        <v>550000</v>
      </c>
      <c r="X54" s="116">
        <f>X51</f>
        <v>1267.9625090000004</v>
      </c>
      <c r="Y54" s="117">
        <f t="shared" si="43"/>
        <v>433.76676841475904</v>
      </c>
      <c r="Z54" s="379">
        <f>$E54*CAPEX!G30</f>
        <v>550000</v>
      </c>
      <c r="AA54" s="379">
        <f>AA51</f>
        <v>1394.7587599000005</v>
      </c>
      <c r="AB54" s="393">
        <f t="shared" si="44"/>
        <v>394.33342583159907</v>
      </c>
      <c r="AC54" s="116">
        <f>$E54*CAPEX!H30</f>
        <v>550000</v>
      </c>
      <c r="AD54" s="116">
        <f>AD51</f>
        <v>1534.2346358900006</v>
      </c>
      <c r="AE54" s="117">
        <f t="shared" si="45"/>
        <v>358.48493257418102</v>
      </c>
      <c r="AF54" s="379">
        <f>$E54*CAPEX!I30</f>
        <v>550000</v>
      </c>
      <c r="AG54" s="379">
        <f>AG51</f>
        <v>1687.6580994790008</v>
      </c>
      <c r="AH54" s="393">
        <f t="shared" si="46"/>
        <v>325.89539324925539</v>
      </c>
      <c r="AI54" s="116">
        <f>$E54*CAPEX!J30</f>
        <v>550000</v>
      </c>
      <c r="AJ54" s="116">
        <f>AJ51</f>
        <v>1856.423909426901</v>
      </c>
      <c r="AK54" s="117">
        <f t="shared" si="47"/>
        <v>296.26853931750492</v>
      </c>
      <c r="AL54" s="379">
        <f>$E54*CAPEX!K30</f>
        <v>550000</v>
      </c>
      <c r="AM54" s="379">
        <f>AM51</f>
        <v>2042.0663003695913</v>
      </c>
      <c r="AN54" s="393">
        <f t="shared" si="48"/>
        <v>269.33503574318627</v>
      </c>
      <c r="AO54" s="116">
        <f>$E54*CAPEX!L30</f>
        <v>550000</v>
      </c>
      <c r="AP54" s="116">
        <f>AP51</f>
        <v>2246.2729304065506</v>
      </c>
      <c r="AQ54" s="117">
        <f t="shared" si="49"/>
        <v>244.85003249380568</v>
      </c>
    </row>
    <row r="55" spans="3:43" x14ac:dyDescent="0.15">
      <c r="C55" s="331" t="s">
        <v>206</v>
      </c>
      <c r="D55" s="331" t="s">
        <v>13</v>
      </c>
      <c r="E55" s="345">
        <v>0.02</v>
      </c>
      <c r="F55" s="116">
        <f>F54</f>
        <v>952.63900000000001</v>
      </c>
      <c r="G55" s="334">
        <f>G54</f>
        <v>1.1000000000000001</v>
      </c>
      <c r="H55" s="379">
        <f t="shared" si="50"/>
        <v>76866410419.378159</v>
      </c>
      <c r="I55" s="379">
        <f>I54</f>
        <v>952.63900000000001</v>
      </c>
      <c r="J55" s="379">
        <f t="shared" si="51"/>
        <v>48471156.614260167</v>
      </c>
      <c r="K55" s="116"/>
      <c r="L55" s="116">
        <f>L54</f>
        <v>952.63900000000001</v>
      </c>
      <c r="M55" s="249">
        <f t="shared" si="39"/>
        <v>0</v>
      </c>
      <c r="N55" s="379">
        <f>$E55*N22</f>
        <v>621964190.24000001</v>
      </c>
      <c r="O55" s="379">
        <f>O54</f>
        <v>952.63900000000001</v>
      </c>
      <c r="P55" s="394">
        <f t="shared" si="40"/>
        <v>652885.5004256597</v>
      </c>
      <c r="Q55" s="116">
        <f>$E55*Q22</f>
        <v>1579299300.4619081</v>
      </c>
      <c r="R55" s="116">
        <f>R54</f>
        <v>1047.9029</v>
      </c>
      <c r="S55" s="117">
        <f t="shared" si="41"/>
        <v>1507104.6186263135</v>
      </c>
      <c r="T55" s="379">
        <f>$E55*T22</f>
        <v>3737807608.2389627</v>
      </c>
      <c r="U55" s="379">
        <f>U54</f>
        <v>1152.6931900000002</v>
      </c>
      <c r="V55" s="393">
        <f t="shared" si="42"/>
        <v>3242673.4543638295</v>
      </c>
      <c r="W55" s="116">
        <f>$E55*W22</f>
        <v>6598552523.0834026</v>
      </c>
      <c r="X55" s="116">
        <f>X54</f>
        <v>1267.9625090000004</v>
      </c>
      <c r="Y55" s="117">
        <f t="shared" si="43"/>
        <v>5204059.6439144406</v>
      </c>
      <c r="Z55" s="379">
        <f>$E55*Z22</f>
        <v>10095914055.331955</v>
      </c>
      <c r="AA55" s="379">
        <f>AA54</f>
        <v>1394.7587599000005</v>
      </c>
      <c r="AB55" s="393">
        <f t="shared" si="44"/>
        <v>7238466.1388008045</v>
      </c>
      <c r="AC55" s="116">
        <f>$E55*AC22</f>
        <v>15428676158.968252</v>
      </c>
      <c r="AD55" s="116">
        <f>AD54</f>
        <v>1534.2346358900006</v>
      </c>
      <c r="AE55" s="117">
        <f t="shared" si="45"/>
        <v>10056268.968284741</v>
      </c>
      <c r="AF55" s="379">
        <f>$E55*AF22</f>
        <v>13340302101.949326</v>
      </c>
      <c r="AG55" s="379">
        <f>AG54</f>
        <v>1687.6580994790008</v>
      </c>
      <c r="AH55" s="393">
        <f t="shared" si="46"/>
        <v>7904623.6355975345</v>
      </c>
      <c r="AI55" s="116">
        <f>$E55*AI22</f>
        <v>10432784651.343369</v>
      </c>
      <c r="AJ55" s="116">
        <f>AJ54</f>
        <v>1856.423909426901</v>
      </c>
      <c r="AK55" s="117">
        <f t="shared" si="47"/>
        <v>5619828.8539410625</v>
      </c>
      <c r="AL55" s="379">
        <f>$E55*AL22</f>
        <v>7944350995.2633305</v>
      </c>
      <c r="AM55" s="379">
        <f>AM54</f>
        <v>2042.0663003695913</v>
      </c>
      <c r="AN55" s="393">
        <f t="shared" si="48"/>
        <v>3890349.1986648482</v>
      </c>
      <c r="AO55" s="116">
        <f>$E55*AO22</f>
        <v>7086758834.4976444</v>
      </c>
      <c r="AP55" s="116">
        <f>AP54</f>
        <v>2246.2729304065506</v>
      </c>
      <c r="AQ55" s="117">
        <f t="shared" si="49"/>
        <v>3154896.6016409323</v>
      </c>
    </row>
    <row r="56" spans="3:43" x14ac:dyDescent="0.15">
      <c r="C56" s="331" t="s">
        <v>173</v>
      </c>
      <c r="D56" s="331" t="s">
        <v>192</v>
      </c>
      <c r="E56" s="345">
        <v>0.08</v>
      </c>
      <c r="F56" s="116">
        <f t="shared" ref="F56:F73" si="53">F55</f>
        <v>952.63900000000001</v>
      </c>
      <c r="G56" s="334">
        <f t="shared" ref="G56:G73" si="54">G55</f>
        <v>1.1000000000000001</v>
      </c>
      <c r="H56" s="379">
        <f t="shared" si="50"/>
        <v>5798672566.8278427</v>
      </c>
      <c r="I56" s="379">
        <f t="shared" ref="I56:I73" si="55">I55</f>
        <v>952.63900000000001</v>
      </c>
      <c r="J56" s="379">
        <f t="shared" si="51"/>
        <v>3819285.1646846291</v>
      </c>
      <c r="K56" s="116"/>
      <c r="L56" s="116">
        <f t="shared" ref="L56:L73" si="56">L55</f>
        <v>952.63900000000001</v>
      </c>
      <c r="M56" s="249">
        <f t="shared" si="39"/>
        <v>0</v>
      </c>
      <c r="N56" s="379">
        <f>$E56*(N38+N39+N51)</f>
        <v>363840000</v>
      </c>
      <c r="O56" s="379">
        <f t="shared" ref="O56:O73" si="57">O55</f>
        <v>952.63900000000001</v>
      </c>
      <c r="P56" s="394">
        <f t="shared" si="40"/>
        <v>381928.51646846288</v>
      </c>
      <c r="Q56" s="116">
        <f>$E56*(Q38+Q39+Q51)</f>
        <v>400224000</v>
      </c>
      <c r="R56" s="116">
        <f t="shared" ref="R56:R73" si="58">R55</f>
        <v>1047.9029</v>
      </c>
      <c r="S56" s="117">
        <f t="shared" si="41"/>
        <v>381928.51646846283</v>
      </c>
      <c r="T56" s="379">
        <f>$E56*(T38+T39+T51)</f>
        <v>440246400.00000006</v>
      </c>
      <c r="U56" s="379">
        <f t="shared" ref="U56:U73" si="59">U55</f>
        <v>1152.6931900000002</v>
      </c>
      <c r="V56" s="393">
        <f t="shared" si="42"/>
        <v>381928.51646846288</v>
      </c>
      <c r="W56" s="116">
        <f>$E56*(W38+W39+W51)</f>
        <v>484271040.00000006</v>
      </c>
      <c r="X56" s="116">
        <f t="shared" ref="X56:X73" si="60">X55</f>
        <v>1267.9625090000004</v>
      </c>
      <c r="Y56" s="117">
        <f t="shared" si="43"/>
        <v>381928.51646846277</v>
      </c>
      <c r="Z56" s="379">
        <f>$E56*(Z38+Z39+Z51)</f>
        <v>532698144.00000018</v>
      </c>
      <c r="AA56" s="379">
        <f t="shared" ref="AA56:AA73" si="61">AA55</f>
        <v>1394.7587599000005</v>
      </c>
      <c r="AB56" s="393">
        <f t="shared" si="44"/>
        <v>381928.51646846283</v>
      </c>
      <c r="AC56" s="116">
        <f>$E56*(AC38+AC39+AC51)</f>
        <v>585967958.40000033</v>
      </c>
      <c r="AD56" s="116">
        <f t="shared" ref="AD56:AD73" si="62">AD55</f>
        <v>1534.2346358900006</v>
      </c>
      <c r="AE56" s="117">
        <f t="shared" si="45"/>
        <v>381928.51646846294</v>
      </c>
      <c r="AF56" s="379">
        <f>$E56*(AF38+AF39+AF51)</f>
        <v>644564754.24000049</v>
      </c>
      <c r="AG56" s="379">
        <f t="shared" ref="AG56:AG73" si="63">AG55</f>
        <v>1687.6580994790008</v>
      </c>
      <c r="AH56" s="393">
        <f t="shared" si="46"/>
        <v>381928.51646846294</v>
      </c>
      <c r="AI56" s="116">
        <f>$E56*(AI38+AI39+AI51)</f>
        <v>709021229.66400051</v>
      </c>
      <c r="AJ56" s="116">
        <f t="shared" ref="AJ56:AJ73" si="64">AJ55</f>
        <v>1856.423909426901</v>
      </c>
      <c r="AK56" s="117">
        <f t="shared" si="47"/>
        <v>381928.51646846294</v>
      </c>
      <c r="AL56" s="379">
        <f>$E56*(AL38+AL39+AL51)</f>
        <v>779923352.63040066</v>
      </c>
      <c r="AM56" s="379">
        <f t="shared" ref="AM56:AM73" si="65">AM55</f>
        <v>2042.0663003695913</v>
      </c>
      <c r="AN56" s="393">
        <f t="shared" si="48"/>
        <v>381928.51646846294</v>
      </c>
      <c r="AO56" s="116">
        <f>$E56*(AO38+AO39+AO51)</f>
        <v>857915687.89344072</v>
      </c>
      <c r="AP56" s="116">
        <f t="shared" ref="AP56:AP73" si="66">AP55</f>
        <v>2246.2729304065506</v>
      </c>
      <c r="AQ56" s="117">
        <f t="shared" si="49"/>
        <v>381928.51646846294</v>
      </c>
    </row>
    <row r="57" spans="3:43" x14ac:dyDescent="0.15">
      <c r="C57" s="331" t="s">
        <v>200</v>
      </c>
      <c r="D57" s="331" t="s">
        <v>192</v>
      </c>
      <c r="E57" s="345">
        <v>0.01</v>
      </c>
      <c r="F57" s="116">
        <f t="shared" si="53"/>
        <v>952.63900000000001</v>
      </c>
      <c r="G57" s="334">
        <f t="shared" si="54"/>
        <v>1.1000000000000001</v>
      </c>
      <c r="H57" s="379">
        <f t="shared" si="50"/>
        <v>724834070.85348034</v>
      </c>
      <c r="I57" s="379">
        <f t="shared" si="55"/>
        <v>952.63900000000001</v>
      </c>
      <c r="J57" s="379">
        <f t="shared" si="51"/>
        <v>477410.64558557863</v>
      </c>
      <c r="K57" s="116"/>
      <c r="L57" s="116">
        <f t="shared" si="56"/>
        <v>952.63900000000001</v>
      </c>
      <c r="M57" s="249">
        <f t="shared" si="39"/>
        <v>0</v>
      </c>
      <c r="N57" s="379">
        <f>$E57*(N38+N39+N51)</f>
        <v>45480000</v>
      </c>
      <c r="O57" s="379">
        <f t="shared" si="57"/>
        <v>952.63900000000001</v>
      </c>
      <c r="P57" s="394">
        <f t="shared" si="40"/>
        <v>47741.06455855786</v>
      </c>
      <c r="Q57" s="116">
        <f>$E57*(Q38+Q39+Q51)</f>
        <v>50028000</v>
      </c>
      <c r="R57" s="116">
        <f t="shared" si="58"/>
        <v>1047.9029</v>
      </c>
      <c r="S57" s="117">
        <f t="shared" si="41"/>
        <v>47741.064558557853</v>
      </c>
      <c r="T57" s="379">
        <f>$E57*(T38+T39+T51)</f>
        <v>55030800.000000007</v>
      </c>
      <c r="U57" s="379">
        <f t="shared" si="59"/>
        <v>1152.6931900000002</v>
      </c>
      <c r="V57" s="393">
        <f t="shared" si="42"/>
        <v>47741.06455855786</v>
      </c>
      <c r="W57" s="116">
        <f>$E57*(W38+W39+W51)</f>
        <v>60533880.000000007</v>
      </c>
      <c r="X57" s="116">
        <f t="shared" si="60"/>
        <v>1267.9625090000004</v>
      </c>
      <c r="Y57" s="117">
        <f t="shared" si="43"/>
        <v>47741.064558557846</v>
      </c>
      <c r="Z57" s="379">
        <f>$E57*(Z38+Z39+Z51)</f>
        <v>66587268.000000022</v>
      </c>
      <c r="AA57" s="379">
        <f t="shared" si="61"/>
        <v>1394.7587599000005</v>
      </c>
      <c r="AB57" s="393">
        <f t="shared" si="44"/>
        <v>47741.064558557853</v>
      </c>
      <c r="AC57" s="116">
        <f>$E57*(AC38+AC39+AC51)</f>
        <v>73245994.800000042</v>
      </c>
      <c r="AD57" s="116">
        <f t="shared" si="62"/>
        <v>1534.2346358900006</v>
      </c>
      <c r="AE57" s="117">
        <f t="shared" si="45"/>
        <v>47741.064558557868</v>
      </c>
      <c r="AF57" s="379">
        <f>$E57*(AF38+AF39+AF51)</f>
        <v>80570594.280000061</v>
      </c>
      <c r="AG57" s="379">
        <f t="shared" si="63"/>
        <v>1687.6580994790008</v>
      </c>
      <c r="AH57" s="393">
        <f t="shared" si="46"/>
        <v>47741.064558557868</v>
      </c>
      <c r="AI57" s="116">
        <f>$E57*(AI38+AI39+AI51)</f>
        <v>88627653.708000064</v>
      </c>
      <c r="AJ57" s="116">
        <f t="shared" si="64"/>
        <v>1856.423909426901</v>
      </c>
      <c r="AK57" s="117">
        <f t="shared" si="47"/>
        <v>47741.064558557868</v>
      </c>
      <c r="AL57" s="379">
        <f>$E57*(AL38+AL39+AL51)</f>
        <v>97490419.078800082</v>
      </c>
      <c r="AM57" s="379">
        <f t="shared" si="65"/>
        <v>2042.0663003695913</v>
      </c>
      <c r="AN57" s="393">
        <f t="shared" si="48"/>
        <v>47741.064558557868</v>
      </c>
      <c r="AO57" s="116">
        <f>$E57*(AO38+AO39+AO51)</f>
        <v>107239460.98668009</v>
      </c>
      <c r="AP57" s="116">
        <f t="shared" si="66"/>
        <v>2246.2729304065506</v>
      </c>
      <c r="AQ57" s="117">
        <f t="shared" si="49"/>
        <v>47741.064558557868</v>
      </c>
    </row>
    <row r="58" spans="3:43" x14ac:dyDescent="0.15">
      <c r="C58" s="331" t="s">
        <v>172</v>
      </c>
      <c r="D58" s="331" t="s">
        <v>192</v>
      </c>
      <c r="E58" s="345">
        <v>0.01</v>
      </c>
      <c r="F58" s="116">
        <f t="shared" si="53"/>
        <v>952.63900000000001</v>
      </c>
      <c r="G58" s="334">
        <f t="shared" si="54"/>
        <v>1.1000000000000001</v>
      </c>
      <c r="H58" s="379">
        <f t="shared" si="50"/>
        <v>724834070.85348034</v>
      </c>
      <c r="I58" s="379">
        <f t="shared" si="55"/>
        <v>952.63900000000001</v>
      </c>
      <c r="J58" s="379">
        <f t="shared" si="51"/>
        <v>477410.64558557863</v>
      </c>
      <c r="K58" s="116"/>
      <c r="L58" s="116">
        <f t="shared" si="56"/>
        <v>952.63900000000001</v>
      </c>
      <c r="M58" s="249">
        <f t="shared" si="39"/>
        <v>0</v>
      </c>
      <c r="N58" s="379">
        <f>$E58*(N38+N39+N51)</f>
        <v>45480000</v>
      </c>
      <c r="O58" s="379">
        <f t="shared" si="57"/>
        <v>952.63900000000001</v>
      </c>
      <c r="P58" s="394">
        <f t="shared" si="40"/>
        <v>47741.06455855786</v>
      </c>
      <c r="Q58" s="116">
        <f>$E58*(Q38+Q39+Q51)</f>
        <v>50028000</v>
      </c>
      <c r="R58" s="116">
        <f t="shared" si="58"/>
        <v>1047.9029</v>
      </c>
      <c r="S58" s="117">
        <f t="shared" si="41"/>
        <v>47741.064558557853</v>
      </c>
      <c r="T58" s="379">
        <f>$E58*(T38+T39+T51)</f>
        <v>55030800.000000007</v>
      </c>
      <c r="U58" s="379">
        <f t="shared" si="59"/>
        <v>1152.6931900000002</v>
      </c>
      <c r="V58" s="393">
        <f t="shared" si="42"/>
        <v>47741.06455855786</v>
      </c>
      <c r="W58" s="116">
        <f>$E58*(W38+W39+W51)</f>
        <v>60533880.000000007</v>
      </c>
      <c r="X58" s="116">
        <f t="shared" si="60"/>
        <v>1267.9625090000004</v>
      </c>
      <c r="Y58" s="117">
        <f t="shared" si="43"/>
        <v>47741.064558557846</v>
      </c>
      <c r="Z58" s="379">
        <f>$E58*(Z38+Z39+Z51)</f>
        <v>66587268.000000022</v>
      </c>
      <c r="AA58" s="379">
        <f t="shared" si="61"/>
        <v>1394.7587599000005</v>
      </c>
      <c r="AB58" s="393">
        <f t="shared" si="44"/>
        <v>47741.064558557853</v>
      </c>
      <c r="AC58" s="116">
        <f>$E58*(AC38+AC39+AC51)</f>
        <v>73245994.800000042</v>
      </c>
      <c r="AD58" s="116">
        <f t="shared" si="62"/>
        <v>1534.2346358900006</v>
      </c>
      <c r="AE58" s="117">
        <f t="shared" si="45"/>
        <v>47741.064558557868</v>
      </c>
      <c r="AF58" s="379">
        <f>$E58*(AF38+AF39+AF51)</f>
        <v>80570594.280000061</v>
      </c>
      <c r="AG58" s="379">
        <f t="shared" si="63"/>
        <v>1687.6580994790008</v>
      </c>
      <c r="AH58" s="393">
        <f t="shared" si="46"/>
        <v>47741.064558557868</v>
      </c>
      <c r="AI58" s="116">
        <f>$E58*(AI38+AI39+AI51)</f>
        <v>88627653.708000064</v>
      </c>
      <c r="AJ58" s="116">
        <f t="shared" si="64"/>
        <v>1856.423909426901</v>
      </c>
      <c r="AK58" s="117">
        <f t="shared" si="47"/>
        <v>47741.064558557868</v>
      </c>
      <c r="AL58" s="379">
        <f>$E58*(AL38+AL39+AL51)</f>
        <v>97490419.078800082</v>
      </c>
      <c r="AM58" s="379">
        <f t="shared" si="65"/>
        <v>2042.0663003695913</v>
      </c>
      <c r="AN58" s="393">
        <f t="shared" si="48"/>
        <v>47741.064558557868</v>
      </c>
      <c r="AO58" s="116">
        <f>$E58*(AO38+AO39+AO51)</f>
        <v>107239460.98668009</v>
      </c>
      <c r="AP58" s="116">
        <f t="shared" si="66"/>
        <v>2246.2729304065506</v>
      </c>
      <c r="AQ58" s="117">
        <f t="shared" si="49"/>
        <v>47741.064558557868</v>
      </c>
    </row>
    <row r="59" spans="3:43" x14ac:dyDescent="0.15">
      <c r="C59" s="331" t="s">
        <v>191</v>
      </c>
      <c r="D59" s="331" t="s">
        <v>192</v>
      </c>
      <c r="E59" s="345">
        <v>2.5000000000000001E-2</v>
      </c>
      <c r="F59" s="116">
        <f t="shared" si="53"/>
        <v>952.63900000000001</v>
      </c>
      <c r="G59" s="334">
        <f t="shared" si="54"/>
        <v>1.1000000000000001</v>
      </c>
      <c r="H59" s="379">
        <f t="shared" si="50"/>
        <v>1812085177.1337011</v>
      </c>
      <c r="I59" s="379">
        <f t="shared" si="55"/>
        <v>952.63900000000001</v>
      </c>
      <c r="J59" s="379">
        <f t="shared" si="51"/>
        <v>1193526.6139639467</v>
      </c>
      <c r="K59" s="116"/>
      <c r="L59" s="116">
        <f t="shared" si="56"/>
        <v>952.63900000000001</v>
      </c>
      <c r="M59" s="249">
        <f t="shared" si="39"/>
        <v>0</v>
      </c>
      <c r="N59" s="379">
        <f>$E59*(N38+N39+N51)</f>
        <v>113700000</v>
      </c>
      <c r="O59" s="379">
        <f t="shared" si="57"/>
        <v>952.63900000000001</v>
      </c>
      <c r="P59" s="394">
        <f t="shared" si="40"/>
        <v>119352.66139639464</v>
      </c>
      <c r="Q59" s="116">
        <f>$E59*(Q38+Q39+Q51)</f>
        <v>125070000</v>
      </c>
      <c r="R59" s="116">
        <f t="shared" si="58"/>
        <v>1047.9029</v>
      </c>
      <c r="S59" s="117">
        <f t="shared" si="41"/>
        <v>119352.66139639464</v>
      </c>
      <c r="T59" s="379">
        <f>$E59*(T38+T39+T51)</f>
        <v>137577000.00000003</v>
      </c>
      <c r="U59" s="379">
        <f t="shared" si="59"/>
        <v>1152.6931900000002</v>
      </c>
      <c r="V59" s="393">
        <f t="shared" si="42"/>
        <v>119352.66139639466</v>
      </c>
      <c r="W59" s="116">
        <f>$E59*(W38+W39+W51)</f>
        <v>151334700.00000003</v>
      </c>
      <c r="X59" s="116">
        <f t="shared" si="60"/>
        <v>1267.9625090000004</v>
      </c>
      <c r="Y59" s="117">
        <f t="shared" si="43"/>
        <v>119352.66139639463</v>
      </c>
      <c r="Z59" s="379">
        <f>$E59*(Z38+Z39+Z51)</f>
        <v>166468170.00000006</v>
      </c>
      <c r="AA59" s="379">
        <f t="shared" si="61"/>
        <v>1394.7587599000005</v>
      </c>
      <c r="AB59" s="393">
        <f t="shared" si="44"/>
        <v>119352.66139639464</v>
      </c>
      <c r="AC59" s="116">
        <f>$E59*(AC38+AC39+AC51)</f>
        <v>183114987.00000012</v>
      </c>
      <c r="AD59" s="116">
        <f t="shared" si="62"/>
        <v>1534.2346358900006</v>
      </c>
      <c r="AE59" s="117">
        <f t="shared" si="45"/>
        <v>119352.66139639467</v>
      </c>
      <c r="AF59" s="379">
        <f>$E59*(AF38+AF39+AF51)</f>
        <v>201426485.70000017</v>
      </c>
      <c r="AG59" s="379">
        <f t="shared" si="63"/>
        <v>1687.6580994790008</v>
      </c>
      <c r="AH59" s="393">
        <f t="shared" si="46"/>
        <v>119352.66139639469</v>
      </c>
      <c r="AI59" s="116">
        <f>$E59*(AI38+AI39+AI51)</f>
        <v>221569134.27000019</v>
      </c>
      <c r="AJ59" s="116">
        <f t="shared" si="64"/>
        <v>1856.423909426901</v>
      </c>
      <c r="AK59" s="117">
        <f t="shared" si="47"/>
        <v>119352.66139639469</v>
      </c>
      <c r="AL59" s="379">
        <f>$E59*(AL38+AL39+AL51)</f>
        <v>243726047.69700024</v>
      </c>
      <c r="AM59" s="379">
        <f t="shared" si="65"/>
        <v>2042.0663003695913</v>
      </c>
      <c r="AN59" s="393">
        <f t="shared" si="48"/>
        <v>119352.66139639469</v>
      </c>
      <c r="AO59" s="116">
        <f>$E59*(AO38+AO39+AO51)</f>
        <v>268098652.46670023</v>
      </c>
      <c r="AP59" s="116">
        <f t="shared" si="66"/>
        <v>2246.2729304065506</v>
      </c>
      <c r="AQ59" s="117">
        <f t="shared" si="49"/>
        <v>119352.66139639466</v>
      </c>
    </row>
    <row r="60" spans="3:43" x14ac:dyDescent="0.15">
      <c r="C60" s="331" t="s">
        <v>174</v>
      </c>
      <c r="D60" s="331" t="s">
        <v>221</v>
      </c>
      <c r="E60" s="345"/>
      <c r="F60" s="116">
        <f t="shared" si="53"/>
        <v>952.63900000000001</v>
      </c>
      <c r="G60" s="334">
        <f t="shared" si="54"/>
        <v>1.1000000000000001</v>
      </c>
      <c r="H60" s="379">
        <f t="shared" si="50"/>
        <v>15937424601.000002</v>
      </c>
      <c r="I60" s="379">
        <f t="shared" si="55"/>
        <v>952.63900000000001</v>
      </c>
      <c r="J60" s="379">
        <f t="shared" si="51"/>
        <v>10497155.795637166</v>
      </c>
      <c r="K60" s="116"/>
      <c r="L60" s="116">
        <f t="shared" si="56"/>
        <v>952.63900000000001</v>
      </c>
      <c r="M60" s="249">
        <f t="shared" si="39"/>
        <v>0</v>
      </c>
      <c r="N60" s="379">
        <f>50000000*20</f>
        <v>1000000000</v>
      </c>
      <c r="O60" s="379">
        <f t="shared" si="57"/>
        <v>952.63900000000001</v>
      </c>
      <c r="P60" s="394">
        <f t="shared" si="40"/>
        <v>1049715.5795637171</v>
      </c>
      <c r="Q60" s="117">
        <f>N60*G60</f>
        <v>1100000000</v>
      </c>
      <c r="R60" s="116">
        <f t="shared" si="58"/>
        <v>1047.9029</v>
      </c>
      <c r="S60" s="117">
        <f t="shared" si="41"/>
        <v>1049715.5795637171</v>
      </c>
      <c r="T60" s="383">
        <f>Q60*$G60</f>
        <v>1210000000</v>
      </c>
      <c r="U60" s="379">
        <f t="shared" si="59"/>
        <v>1152.6931900000002</v>
      </c>
      <c r="V60" s="393">
        <f t="shared" si="42"/>
        <v>1049715.5795637171</v>
      </c>
      <c r="W60" s="249">
        <f>T60*$G60</f>
        <v>1331000000</v>
      </c>
      <c r="X60" s="116">
        <f t="shared" si="60"/>
        <v>1267.9625090000004</v>
      </c>
      <c r="Y60" s="117">
        <f t="shared" si="43"/>
        <v>1049715.5795637169</v>
      </c>
      <c r="Z60" s="383">
        <f>W60*$G60</f>
        <v>1464100000</v>
      </c>
      <c r="AA60" s="379">
        <f t="shared" si="61"/>
        <v>1394.7587599000005</v>
      </c>
      <c r="AB60" s="393">
        <f t="shared" si="44"/>
        <v>1049715.5795637169</v>
      </c>
      <c r="AC60" s="249">
        <f>Z60*$G60</f>
        <v>1610510000.0000002</v>
      </c>
      <c r="AD60" s="116">
        <f t="shared" si="62"/>
        <v>1534.2346358900006</v>
      </c>
      <c r="AE60" s="117">
        <f t="shared" si="45"/>
        <v>1049715.5795637169</v>
      </c>
      <c r="AF60" s="383">
        <f>AC60*$G60</f>
        <v>1771561000.0000005</v>
      </c>
      <c r="AG60" s="379">
        <f t="shared" si="63"/>
        <v>1687.6580994790008</v>
      </c>
      <c r="AH60" s="393">
        <f t="shared" si="46"/>
        <v>1049715.5795637169</v>
      </c>
      <c r="AI60" s="249">
        <f>AF60*$G60</f>
        <v>1948717100.0000007</v>
      </c>
      <c r="AJ60" s="116">
        <f t="shared" si="64"/>
        <v>1856.423909426901</v>
      </c>
      <c r="AK60" s="117">
        <f t="shared" si="47"/>
        <v>1049715.5795637171</v>
      </c>
      <c r="AL60" s="383">
        <f>AI60*$G60</f>
        <v>2143588810.000001</v>
      </c>
      <c r="AM60" s="379">
        <f t="shared" si="65"/>
        <v>2042.0663003695913</v>
      </c>
      <c r="AN60" s="393">
        <f t="shared" si="48"/>
        <v>1049715.5795637169</v>
      </c>
      <c r="AO60" s="249">
        <f>AL60*$G60</f>
        <v>2357947691.0000014</v>
      </c>
      <c r="AP60" s="116">
        <f t="shared" si="66"/>
        <v>2246.2729304065506</v>
      </c>
      <c r="AQ60" s="117">
        <f t="shared" si="49"/>
        <v>1049715.5795637171</v>
      </c>
    </row>
    <row r="61" spans="3:43" x14ac:dyDescent="0.15">
      <c r="C61" s="331" t="s">
        <v>175</v>
      </c>
      <c r="D61" s="331" t="s">
        <v>193</v>
      </c>
      <c r="E61" s="345"/>
      <c r="F61" s="116">
        <f t="shared" si="53"/>
        <v>952.63900000000001</v>
      </c>
      <c r="G61" s="334">
        <f t="shared" si="54"/>
        <v>1.1000000000000001</v>
      </c>
      <c r="H61" s="379">
        <f t="shared" si="50"/>
        <v>159374246.01000008</v>
      </c>
      <c r="I61" s="379">
        <f t="shared" si="55"/>
        <v>952.63900000000001</v>
      </c>
      <c r="J61" s="379">
        <f t="shared" si="51"/>
        <v>104971.5579563717</v>
      </c>
      <c r="K61" s="116"/>
      <c r="L61" s="116">
        <f t="shared" si="56"/>
        <v>952.63900000000001</v>
      </c>
      <c r="M61" s="249">
        <f t="shared" si="39"/>
        <v>0</v>
      </c>
      <c r="N61" s="379">
        <f>10000000</f>
        <v>10000000</v>
      </c>
      <c r="O61" s="379">
        <f t="shared" si="57"/>
        <v>952.63900000000001</v>
      </c>
      <c r="P61" s="394">
        <f t="shared" si="40"/>
        <v>10497.155795637173</v>
      </c>
      <c r="Q61" s="117">
        <f>N61*G61</f>
        <v>11000000</v>
      </c>
      <c r="R61" s="116">
        <f t="shared" si="58"/>
        <v>1047.9029</v>
      </c>
      <c r="S61" s="117">
        <f t="shared" si="41"/>
        <v>10497.155795637173</v>
      </c>
      <c r="T61" s="383">
        <f>Q61*$G61</f>
        <v>12100000.000000002</v>
      </c>
      <c r="U61" s="379">
        <f t="shared" si="59"/>
        <v>1152.6931900000002</v>
      </c>
      <c r="V61" s="393">
        <f t="shared" si="42"/>
        <v>10497.155795637173</v>
      </c>
      <c r="W61" s="249">
        <f>T61*$G61</f>
        <v>13310000.000000004</v>
      </c>
      <c r="X61" s="116">
        <f t="shared" si="60"/>
        <v>1267.9625090000004</v>
      </c>
      <c r="Y61" s="117">
        <f t="shared" si="43"/>
        <v>10497.155795637173</v>
      </c>
      <c r="Z61" s="383">
        <f>W61*$G61</f>
        <v>14641000.000000006</v>
      </c>
      <c r="AA61" s="379">
        <f t="shared" si="61"/>
        <v>1394.7587599000005</v>
      </c>
      <c r="AB61" s="393">
        <f t="shared" si="44"/>
        <v>10497.155795637173</v>
      </c>
      <c r="AC61" s="249">
        <f>Z61*$G61</f>
        <v>16105100.000000007</v>
      </c>
      <c r="AD61" s="116">
        <f t="shared" si="62"/>
        <v>1534.2346358900006</v>
      </c>
      <c r="AE61" s="117">
        <f t="shared" si="45"/>
        <v>10497.155795637173</v>
      </c>
      <c r="AF61" s="383">
        <f>AC61*$G61</f>
        <v>17715610.000000011</v>
      </c>
      <c r="AG61" s="379">
        <f t="shared" si="63"/>
        <v>1687.6580994790008</v>
      </c>
      <c r="AH61" s="393">
        <f t="shared" si="46"/>
        <v>10497.155795637174</v>
      </c>
      <c r="AI61" s="249">
        <f>AF61*$G61</f>
        <v>19487171.000000015</v>
      </c>
      <c r="AJ61" s="116">
        <f t="shared" si="64"/>
        <v>1856.423909426901</v>
      </c>
      <c r="AK61" s="117">
        <f t="shared" si="47"/>
        <v>10497.155795637174</v>
      </c>
      <c r="AL61" s="383">
        <f>AI61*$G61</f>
        <v>21435888.100000016</v>
      </c>
      <c r="AM61" s="379">
        <f t="shared" si="65"/>
        <v>2042.0663003695913</v>
      </c>
      <c r="AN61" s="393">
        <f t="shared" si="48"/>
        <v>10497.155795637173</v>
      </c>
      <c r="AO61" s="249">
        <f>AL61*$G61</f>
        <v>23579476.910000019</v>
      </c>
      <c r="AP61" s="116">
        <f t="shared" si="66"/>
        <v>2246.2729304065506</v>
      </c>
      <c r="AQ61" s="117">
        <f t="shared" si="49"/>
        <v>10497.155795637173</v>
      </c>
    </row>
    <row r="62" spans="3:43" x14ac:dyDescent="0.15">
      <c r="C62" s="331" t="s">
        <v>176</v>
      </c>
      <c r="D62" s="331" t="s">
        <v>187</v>
      </c>
      <c r="E62" s="345">
        <v>0.05</v>
      </c>
      <c r="F62" s="116">
        <f t="shared" si="53"/>
        <v>952.63900000000001</v>
      </c>
      <c r="G62" s="334">
        <f t="shared" si="54"/>
        <v>1.1000000000000001</v>
      </c>
      <c r="H62" s="379">
        <f t="shared" si="50"/>
        <v>264960000</v>
      </c>
      <c r="I62" s="379">
        <f t="shared" si="55"/>
        <v>952.63900000000001</v>
      </c>
      <c r="J62" s="379">
        <f t="shared" si="51"/>
        <v>278132.63996120251</v>
      </c>
      <c r="K62" s="116"/>
      <c r="L62" s="116">
        <f t="shared" si="56"/>
        <v>952.63900000000001</v>
      </c>
      <c r="M62" s="249">
        <f t="shared" si="39"/>
        <v>0</v>
      </c>
      <c r="N62" s="379">
        <f>$E62*N43</f>
        <v>264960000</v>
      </c>
      <c r="O62" s="379">
        <f t="shared" si="57"/>
        <v>952.63900000000001</v>
      </c>
      <c r="P62" s="394">
        <f t="shared" si="40"/>
        <v>278132.63996120251</v>
      </c>
      <c r="Q62" s="116">
        <f>$E62*Q43</f>
        <v>0</v>
      </c>
      <c r="R62" s="116">
        <f t="shared" si="58"/>
        <v>1047.9029</v>
      </c>
      <c r="S62" s="117">
        <f t="shared" si="41"/>
        <v>0</v>
      </c>
      <c r="T62" s="379">
        <f>$E62*T43</f>
        <v>0</v>
      </c>
      <c r="U62" s="379">
        <f t="shared" si="59"/>
        <v>1152.6931900000002</v>
      </c>
      <c r="V62" s="393">
        <f t="shared" si="42"/>
        <v>0</v>
      </c>
      <c r="W62" s="116">
        <f>$E62*W43</f>
        <v>0</v>
      </c>
      <c r="X62" s="116">
        <f t="shared" si="60"/>
        <v>1267.9625090000004</v>
      </c>
      <c r="Y62" s="117">
        <f t="shared" si="43"/>
        <v>0</v>
      </c>
      <c r="Z62" s="379">
        <f>$E62*Z43</f>
        <v>0</v>
      </c>
      <c r="AA62" s="379">
        <f t="shared" si="61"/>
        <v>1394.7587599000005</v>
      </c>
      <c r="AB62" s="393">
        <f t="shared" si="44"/>
        <v>0</v>
      </c>
      <c r="AC62" s="116">
        <f>$E62*AC43</f>
        <v>0</v>
      </c>
      <c r="AD62" s="116">
        <f t="shared" si="62"/>
        <v>1534.2346358900006</v>
      </c>
      <c r="AE62" s="117">
        <f t="shared" si="45"/>
        <v>0</v>
      </c>
      <c r="AF62" s="379">
        <f>$E62*AF43</f>
        <v>0</v>
      </c>
      <c r="AG62" s="379">
        <f t="shared" si="63"/>
        <v>1687.6580994790008</v>
      </c>
      <c r="AH62" s="393">
        <f t="shared" si="46"/>
        <v>0</v>
      </c>
      <c r="AI62" s="116">
        <f>$E62*AI43</f>
        <v>0</v>
      </c>
      <c r="AJ62" s="116">
        <f t="shared" si="64"/>
        <v>1856.423909426901</v>
      </c>
      <c r="AK62" s="117">
        <f t="shared" si="47"/>
        <v>0</v>
      </c>
      <c r="AL62" s="379">
        <f>$E62*AL43</f>
        <v>0</v>
      </c>
      <c r="AM62" s="379">
        <f t="shared" si="65"/>
        <v>2042.0663003695913</v>
      </c>
      <c r="AN62" s="393">
        <f t="shared" si="48"/>
        <v>0</v>
      </c>
      <c r="AO62" s="116">
        <f>$E62*AO43</f>
        <v>0</v>
      </c>
      <c r="AP62" s="116">
        <f t="shared" si="66"/>
        <v>2246.2729304065506</v>
      </c>
      <c r="AQ62" s="117">
        <f t="shared" si="49"/>
        <v>0</v>
      </c>
    </row>
    <row r="63" spans="3:43" x14ac:dyDescent="0.15">
      <c r="C63" s="331" t="s">
        <v>190</v>
      </c>
      <c r="D63" s="331" t="s">
        <v>203</v>
      </c>
      <c r="E63" s="345"/>
      <c r="F63" s="116">
        <f t="shared" si="53"/>
        <v>952.63900000000001</v>
      </c>
      <c r="G63" s="334">
        <f t="shared" si="54"/>
        <v>1.1000000000000001</v>
      </c>
      <c r="H63" s="379">
        <f t="shared" si="50"/>
        <v>796871230.05000043</v>
      </c>
      <c r="I63" s="379">
        <f t="shared" si="55"/>
        <v>952.63900000000001</v>
      </c>
      <c r="J63" s="379">
        <f t="shared" si="51"/>
        <v>524857.78978185856</v>
      </c>
      <c r="K63" s="116"/>
      <c r="L63" s="116">
        <f t="shared" si="56"/>
        <v>952.63900000000001</v>
      </c>
      <c r="M63" s="249">
        <f t="shared" si="39"/>
        <v>0</v>
      </c>
      <c r="N63" s="379">
        <f>50000000</f>
        <v>50000000</v>
      </c>
      <c r="O63" s="379">
        <f t="shared" si="57"/>
        <v>952.63900000000001</v>
      </c>
      <c r="P63" s="394">
        <f t="shared" si="40"/>
        <v>52485.778978185859</v>
      </c>
      <c r="Q63" s="117">
        <f>N63*G63</f>
        <v>55000000.000000007</v>
      </c>
      <c r="R63" s="116">
        <f t="shared" si="58"/>
        <v>1047.9029</v>
      </c>
      <c r="S63" s="117">
        <f t="shared" si="41"/>
        <v>52485.778978185866</v>
      </c>
      <c r="T63" s="383">
        <f t="shared" ref="T63" si="67">Q63*$G63</f>
        <v>60500000.000000015</v>
      </c>
      <c r="U63" s="379">
        <f t="shared" si="59"/>
        <v>1152.6931900000002</v>
      </c>
      <c r="V63" s="393">
        <f t="shared" si="42"/>
        <v>52485.778978185866</v>
      </c>
      <c r="W63" s="249">
        <f t="shared" ref="W63" si="68">T63*$G63</f>
        <v>66550000.000000022</v>
      </c>
      <c r="X63" s="116">
        <f t="shared" si="60"/>
        <v>1267.9625090000004</v>
      </c>
      <c r="Y63" s="117">
        <f t="shared" si="43"/>
        <v>52485.778978185859</v>
      </c>
      <c r="Z63" s="383">
        <f t="shared" ref="Z63" si="69">W63*$G63</f>
        <v>73205000.00000003</v>
      </c>
      <c r="AA63" s="379">
        <f t="shared" si="61"/>
        <v>1394.7587599000005</v>
      </c>
      <c r="AB63" s="393">
        <f t="shared" si="44"/>
        <v>52485.778978185859</v>
      </c>
      <c r="AC63" s="249">
        <f t="shared" ref="AC63" si="70">Z63*$G63</f>
        <v>80525500.000000045</v>
      </c>
      <c r="AD63" s="116">
        <f t="shared" si="62"/>
        <v>1534.2346358900006</v>
      </c>
      <c r="AE63" s="117">
        <f t="shared" si="45"/>
        <v>52485.778978185866</v>
      </c>
      <c r="AF63" s="383">
        <f t="shared" ref="AF63" si="71">AC63*$G63</f>
        <v>88578050.00000006</v>
      </c>
      <c r="AG63" s="379">
        <f t="shared" si="63"/>
        <v>1687.6580994790008</v>
      </c>
      <c r="AH63" s="393">
        <f t="shared" si="46"/>
        <v>52485.778978185866</v>
      </c>
      <c r="AI63" s="249">
        <f t="shared" ref="AI63" si="72">AF63*$G63</f>
        <v>97435855.000000075</v>
      </c>
      <c r="AJ63" s="116">
        <f t="shared" si="64"/>
        <v>1856.423909426901</v>
      </c>
      <c r="AK63" s="117">
        <f t="shared" si="47"/>
        <v>52485.778978185874</v>
      </c>
      <c r="AL63" s="383">
        <f t="shared" ref="AL63" si="73">AI63*$G63</f>
        <v>107179440.50000009</v>
      </c>
      <c r="AM63" s="379">
        <f t="shared" si="65"/>
        <v>2042.0663003695913</v>
      </c>
      <c r="AN63" s="393">
        <f t="shared" si="48"/>
        <v>52485.778978185874</v>
      </c>
      <c r="AO63" s="249">
        <f t="shared" ref="AO63" si="74">AL63*$G63</f>
        <v>117897384.5500001</v>
      </c>
      <c r="AP63" s="116">
        <f t="shared" si="66"/>
        <v>2246.2729304065506</v>
      </c>
      <c r="AQ63" s="117">
        <f t="shared" si="49"/>
        <v>52485.778978185866</v>
      </c>
    </row>
    <row r="64" spans="3:43" x14ac:dyDescent="0.15">
      <c r="C64" s="331" t="s">
        <v>177</v>
      </c>
      <c r="D64" s="331" t="s">
        <v>190</v>
      </c>
      <c r="E64" s="345">
        <v>0.2</v>
      </c>
      <c r="F64" s="116">
        <f t="shared" si="53"/>
        <v>952.63900000000001</v>
      </c>
      <c r="G64" s="334">
        <f t="shared" si="54"/>
        <v>1.1000000000000001</v>
      </c>
      <c r="H64" s="379">
        <f t="shared" si="50"/>
        <v>159374246.01000011</v>
      </c>
      <c r="I64" s="379">
        <f t="shared" si="55"/>
        <v>952.63900000000001</v>
      </c>
      <c r="J64" s="379">
        <f t="shared" si="51"/>
        <v>104971.55795637172</v>
      </c>
      <c r="K64" s="116"/>
      <c r="L64" s="116">
        <f t="shared" si="56"/>
        <v>952.63900000000001</v>
      </c>
      <c r="M64" s="249">
        <f t="shared" si="39"/>
        <v>0</v>
      </c>
      <c r="N64" s="379">
        <f>$E64*N63</f>
        <v>10000000</v>
      </c>
      <c r="O64" s="379">
        <f t="shared" si="57"/>
        <v>952.63900000000001</v>
      </c>
      <c r="P64" s="394">
        <f t="shared" si="40"/>
        <v>10497.155795637173</v>
      </c>
      <c r="Q64" s="116">
        <f>$E64*Q63</f>
        <v>11000000.000000002</v>
      </c>
      <c r="R64" s="116">
        <f t="shared" si="58"/>
        <v>1047.9029</v>
      </c>
      <c r="S64" s="117">
        <f t="shared" si="41"/>
        <v>10497.155795637173</v>
      </c>
      <c r="T64" s="379">
        <f>$E64*T63</f>
        <v>12100000.000000004</v>
      </c>
      <c r="U64" s="379">
        <f t="shared" si="59"/>
        <v>1152.6931900000002</v>
      </c>
      <c r="V64" s="393">
        <f t="shared" si="42"/>
        <v>10497.155795637174</v>
      </c>
      <c r="W64" s="116">
        <f>$E64*W63</f>
        <v>13310000.000000006</v>
      </c>
      <c r="X64" s="116">
        <f t="shared" si="60"/>
        <v>1267.9625090000004</v>
      </c>
      <c r="Y64" s="117">
        <f t="shared" si="43"/>
        <v>10497.155795637173</v>
      </c>
      <c r="Z64" s="379">
        <f>$E64*Z63</f>
        <v>14641000.000000007</v>
      </c>
      <c r="AA64" s="379">
        <f t="shared" si="61"/>
        <v>1394.7587599000005</v>
      </c>
      <c r="AB64" s="393">
        <f t="shared" si="44"/>
        <v>10497.155795637173</v>
      </c>
      <c r="AC64" s="116">
        <f>$E64*AC63</f>
        <v>16105100.000000009</v>
      </c>
      <c r="AD64" s="116">
        <f t="shared" si="62"/>
        <v>1534.2346358900006</v>
      </c>
      <c r="AE64" s="117">
        <f t="shared" si="45"/>
        <v>10497.155795637174</v>
      </c>
      <c r="AF64" s="379">
        <f>$E64*AF63</f>
        <v>17715610.000000011</v>
      </c>
      <c r="AG64" s="379">
        <f t="shared" si="63"/>
        <v>1687.6580994790008</v>
      </c>
      <c r="AH64" s="393">
        <f t="shared" si="46"/>
        <v>10497.155795637174</v>
      </c>
      <c r="AI64" s="116">
        <f>$E64*AI63</f>
        <v>19487171.000000015</v>
      </c>
      <c r="AJ64" s="116">
        <f t="shared" si="64"/>
        <v>1856.423909426901</v>
      </c>
      <c r="AK64" s="117">
        <f t="shared" si="47"/>
        <v>10497.155795637174</v>
      </c>
      <c r="AL64" s="379">
        <f>$E64*AL63</f>
        <v>21435888.10000002</v>
      </c>
      <c r="AM64" s="379">
        <f t="shared" si="65"/>
        <v>2042.0663003695913</v>
      </c>
      <c r="AN64" s="393">
        <f t="shared" si="48"/>
        <v>10497.155795637174</v>
      </c>
      <c r="AO64" s="116">
        <f>$E64*AO63</f>
        <v>23579476.910000023</v>
      </c>
      <c r="AP64" s="116">
        <f t="shared" si="66"/>
        <v>2246.2729304065506</v>
      </c>
      <c r="AQ64" s="117">
        <f t="shared" si="49"/>
        <v>10497.155795637174</v>
      </c>
    </row>
    <row r="65" spans="3:46" x14ac:dyDescent="0.15">
      <c r="C65" s="331" t="s">
        <v>178</v>
      </c>
      <c r="D65" s="331" t="s">
        <v>204</v>
      </c>
      <c r="E65" s="345">
        <v>0.01</v>
      </c>
      <c r="F65" s="116">
        <f t="shared" si="53"/>
        <v>952.63900000000001</v>
      </c>
      <c r="G65" s="334">
        <f t="shared" si="54"/>
        <v>1.1000000000000001</v>
      </c>
      <c r="H65" s="379">
        <f t="shared" si="50"/>
        <v>8765583.5305500031</v>
      </c>
      <c r="I65" s="379">
        <f t="shared" si="55"/>
        <v>952.63900000000001</v>
      </c>
      <c r="J65" s="379">
        <f t="shared" si="51"/>
        <v>5773.4356876004458</v>
      </c>
      <c r="K65" s="116"/>
      <c r="L65" s="116">
        <f t="shared" si="56"/>
        <v>952.63900000000001</v>
      </c>
      <c r="M65" s="249">
        <f t="shared" si="39"/>
        <v>0</v>
      </c>
      <c r="N65" s="379">
        <f>E65*CAPEX!C30</f>
        <v>550000</v>
      </c>
      <c r="O65" s="379">
        <f t="shared" si="57"/>
        <v>952.63900000000001</v>
      </c>
      <c r="P65" s="394">
        <f t="shared" si="40"/>
        <v>577.34356876004449</v>
      </c>
      <c r="Q65" s="117">
        <f>N65*G65</f>
        <v>605000</v>
      </c>
      <c r="R65" s="116">
        <f t="shared" si="58"/>
        <v>1047.9029</v>
      </c>
      <c r="S65" s="117">
        <f t="shared" si="41"/>
        <v>577.34356876004449</v>
      </c>
      <c r="T65" s="383">
        <f>Q65*$G65</f>
        <v>665500</v>
      </c>
      <c r="U65" s="379">
        <f t="shared" si="59"/>
        <v>1152.6931900000002</v>
      </c>
      <c r="V65" s="393">
        <f t="shared" si="42"/>
        <v>577.34356876004438</v>
      </c>
      <c r="W65" s="249">
        <f>T65*$G65</f>
        <v>732050.00000000012</v>
      </c>
      <c r="X65" s="116">
        <f t="shared" si="60"/>
        <v>1267.9625090000004</v>
      </c>
      <c r="Y65" s="117">
        <f t="shared" si="43"/>
        <v>577.34356876004438</v>
      </c>
      <c r="Z65" s="383">
        <f>W65*$G65</f>
        <v>805255.00000000023</v>
      </c>
      <c r="AA65" s="379">
        <f t="shared" si="61"/>
        <v>1394.7587599000005</v>
      </c>
      <c r="AB65" s="393">
        <f t="shared" si="44"/>
        <v>577.34356876004438</v>
      </c>
      <c r="AC65" s="249">
        <f>Z65*$G65</f>
        <v>885780.50000000035</v>
      </c>
      <c r="AD65" s="116">
        <f t="shared" si="62"/>
        <v>1534.2346358900006</v>
      </c>
      <c r="AE65" s="117">
        <f t="shared" si="45"/>
        <v>577.34356876004449</v>
      </c>
      <c r="AF65" s="383">
        <f>AC65*$G65</f>
        <v>974358.55000000051</v>
      </c>
      <c r="AG65" s="379">
        <f t="shared" si="63"/>
        <v>1687.6580994790008</v>
      </c>
      <c r="AH65" s="393">
        <f t="shared" si="46"/>
        <v>577.34356876004449</v>
      </c>
      <c r="AI65" s="249">
        <f>AF65*$G65</f>
        <v>1071794.4050000007</v>
      </c>
      <c r="AJ65" s="116">
        <f t="shared" si="64"/>
        <v>1856.423909426901</v>
      </c>
      <c r="AK65" s="117">
        <f t="shared" si="47"/>
        <v>577.3435687600446</v>
      </c>
      <c r="AL65" s="383">
        <f>AI65*$G65</f>
        <v>1178973.845500001</v>
      </c>
      <c r="AM65" s="379">
        <f t="shared" si="65"/>
        <v>2042.0663003695913</v>
      </c>
      <c r="AN65" s="393">
        <f t="shared" si="48"/>
        <v>577.3435687600446</v>
      </c>
      <c r="AO65" s="249">
        <f>AL65*$G65</f>
        <v>1296871.2300500013</v>
      </c>
      <c r="AP65" s="116">
        <f t="shared" si="66"/>
        <v>2246.2729304065506</v>
      </c>
      <c r="AQ65" s="117">
        <f t="shared" si="49"/>
        <v>577.3435687600446</v>
      </c>
    </row>
    <row r="66" spans="3:46" x14ac:dyDescent="0.15">
      <c r="C66" s="331" t="s">
        <v>179</v>
      </c>
      <c r="D66" s="331" t="s">
        <v>188</v>
      </c>
      <c r="E66" s="345">
        <v>0.02</v>
      </c>
      <c r="F66" s="116">
        <f t="shared" si="53"/>
        <v>952.63900000000001</v>
      </c>
      <c r="G66" s="334">
        <f t="shared" si="54"/>
        <v>1.1000000000000001</v>
      </c>
      <c r="H66" s="379">
        <f t="shared" si="50"/>
        <v>1449668141.7069609</v>
      </c>
      <c r="I66" s="379">
        <f t="shared" si="55"/>
        <v>952.63900000000001</v>
      </c>
      <c r="J66" s="379">
        <f t="shared" si="51"/>
        <v>954821.29117115738</v>
      </c>
      <c r="K66" s="116"/>
      <c r="L66" s="116">
        <f t="shared" si="56"/>
        <v>952.63900000000001</v>
      </c>
      <c r="M66" s="249">
        <f t="shared" si="39"/>
        <v>0</v>
      </c>
      <c r="N66" s="379">
        <f>E66*(N38+N39+N51)</f>
        <v>90960000</v>
      </c>
      <c r="O66" s="379">
        <f t="shared" si="57"/>
        <v>952.63900000000001</v>
      </c>
      <c r="P66" s="394">
        <f t="shared" si="40"/>
        <v>95482.129117115721</v>
      </c>
      <c r="Q66" s="117">
        <f>N66*G66</f>
        <v>100056000.00000001</v>
      </c>
      <c r="R66" s="116">
        <f t="shared" si="58"/>
        <v>1047.9029</v>
      </c>
      <c r="S66" s="117">
        <f t="shared" si="41"/>
        <v>95482.129117115721</v>
      </c>
      <c r="T66" s="383">
        <f>Q66*$G66</f>
        <v>110061600.00000003</v>
      </c>
      <c r="U66" s="379">
        <f t="shared" si="59"/>
        <v>1152.6931900000002</v>
      </c>
      <c r="V66" s="393">
        <f t="shared" si="42"/>
        <v>95482.129117115721</v>
      </c>
      <c r="W66" s="249">
        <f>T66*$G66</f>
        <v>121067760.00000004</v>
      </c>
      <c r="X66" s="116">
        <f t="shared" si="60"/>
        <v>1267.9625090000004</v>
      </c>
      <c r="Y66" s="117">
        <f t="shared" si="43"/>
        <v>95482.129117115721</v>
      </c>
      <c r="Z66" s="383">
        <f>W66*$G66</f>
        <v>133174536.00000006</v>
      </c>
      <c r="AA66" s="379">
        <f t="shared" si="61"/>
        <v>1394.7587599000005</v>
      </c>
      <c r="AB66" s="393">
        <f t="shared" si="44"/>
        <v>95482.129117115721</v>
      </c>
      <c r="AC66" s="249">
        <f>Z66*$G66</f>
        <v>146491989.60000008</v>
      </c>
      <c r="AD66" s="116">
        <f t="shared" si="62"/>
        <v>1534.2346358900006</v>
      </c>
      <c r="AE66" s="117">
        <f t="shared" si="45"/>
        <v>95482.129117115735</v>
      </c>
      <c r="AF66" s="383">
        <f>AC66*$G66</f>
        <v>161141188.56000009</v>
      </c>
      <c r="AG66" s="379">
        <f t="shared" si="63"/>
        <v>1687.6580994790008</v>
      </c>
      <c r="AH66" s="393">
        <f t="shared" si="46"/>
        <v>95482.129117115721</v>
      </c>
      <c r="AI66" s="249">
        <f>AF66*$G66</f>
        <v>177255307.41600013</v>
      </c>
      <c r="AJ66" s="116">
        <f t="shared" si="64"/>
        <v>1856.423909426901</v>
      </c>
      <c r="AK66" s="117">
        <f t="shared" si="47"/>
        <v>95482.129117115735</v>
      </c>
      <c r="AL66" s="383">
        <f>AI66*$G66</f>
        <v>194980838.15760016</v>
      </c>
      <c r="AM66" s="379">
        <f t="shared" si="65"/>
        <v>2042.0663003695913</v>
      </c>
      <c r="AN66" s="393">
        <f t="shared" si="48"/>
        <v>95482.129117115735</v>
      </c>
      <c r="AO66" s="249">
        <f>AL66*$G66</f>
        <v>214478921.97336021</v>
      </c>
      <c r="AP66" s="116">
        <f t="shared" si="66"/>
        <v>2246.2729304065506</v>
      </c>
      <c r="AQ66" s="117">
        <f t="shared" si="49"/>
        <v>95482.12911711575</v>
      </c>
    </row>
    <row r="67" spans="3:46" x14ac:dyDescent="0.15">
      <c r="C67" s="331" t="s">
        <v>220</v>
      </c>
      <c r="D67" s="331" t="s">
        <v>188</v>
      </c>
      <c r="E67" s="345">
        <v>0.02</v>
      </c>
      <c r="F67" s="116">
        <f t="shared" si="53"/>
        <v>952.63900000000001</v>
      </c>
      <c r="G67" s="334">
        <f t="shared" si="54"/>
        <v>1.1000000000000001</v>
      </c>
      <c r="H67" s="379">
        <f t="shared" si="50"/>
        <v>1449668141.7069609</v>
      </c>
      <c r="I67" s="379">
        <f t="shared" si="55"/>
        <v>952.63900000000001</v>
      </c>
      <c r="J67" s="379">
        <f t="shared" si="51"/>
        <v>954821.29117115738</v>
      </c>
      <c r="K67" s="116"/>
      <c r="L67" s="116">
        <f t="shared" si="56"/>
        <v>952.63900000000001</v>
      </c>
      <c r="M67" s="249">
        <f t="shared" si="39"/>
        <v>0</v>
      </c>
      <c r="N67" s="379">
        <f>E67*(N38+N39+N51)</f>
        <v>90960000</v>
      </c>
      <c r="O67" s="379">
        <f t="shared" si="57"/>
        <v>952.63900000000001</v>
      </c>
      <c r="P67" s="394">
        <f t="shared" si="40"/>
        <v>95482.129117115721</v>
      </c>
      <c r="Q67" s="117">
        <f>N67*G67</f>
        <v>100056000.00000001</v>
      </c>
      <c r="R67" s="116">
        <f t="shared" si="58"/>
        <v>1047.9029</v>
      </c>
      <c r="S67" s="117">
        <f t="shared" si="41"/>
        <v>95482.129117115721</v>
      </c>
      <c r="T67" s="383">
        <f>Q67*$G67</f>
        <v>110061600.00000003</v>
      </c>
      <c r="U67" s="379">
        <f t="shared" si="59"/>
        <v>1152.6931900000002</v>
      </c>
      <c r="V67" s="393">
        <f t="shared" si="42"/>
        <v>95482.129117115721</v>
      </c>
      <c r="W67" s="249">
        <f>T67*$G67</f>
        <v>121067760.00000004</v>
      </c>
      <c r="X67" s="116">
        <f t="shared" si="60"/>
        <v>1267.9625090000004</v>
      </c>
      <c r="Y67" s="117">
        <f t="shared" si="43"/>
        <v>95482.129117115721</v>
      </c>
      <c r="Z67" s="383">
        <f>W67*$G67</f>
        <v>133174536.00000006</v>
      </c>
      <c r="AA67" s="379">
        <f t="shared" si="61"/>
        <v>1394.7587599000005</v>
      </c>
      <c r="AB67" s="393">
        <f t="shared" si="44"/>
        <v>95482.129117115721</v>
      </c>
      <c r="AC67" s="249">
        <f>Z67*$G67</f>
        <v>146491989.60000008</v>
      </c>
      <c r="AD67" s="116">
        <f t="shared" si="62"/>
        <v>1534.2346358900006</v>
      </c>
      <c r="AE67" s="117">
        <f t="shared" si="45"/>
        <v>95482.129117115735</v>
      </c>
      <c r="AF67" s="383">
        <f>AC67*$G67</f>
        <v>161141188.56000009</v>
      </c>
      <c r="AG67" s="379">
        <f t="shared" si="63"/>
        <v>1687.6580994790008</v>
      </c>
      <c r="AH67" s="393">
        <f t="shared" si="46"/>
        <v>95482.129117115721</v>
      </c>
      <c r="AI67" s="249">
        <f>AF67*$G67</f>
        <v>177255307.41600013</v>
      </c>
      <c r="AJ67" s="116">
        <f t="shared" si="64"/>
        <v>1856.423909426901</v>
      </c>
      <c r="AK67" s="117">
        <f t="shared" si="47"/>
        <v>95482.129117115735</v>
      </c>
      <c r="AL67" s="383">
        <f>AI67*$G67</f>
        <v>194980838.15760016</v>
      </c>
      <c r="AM67" s="379">
        <f t="shared" si="65"/>
        <v>2042.0663003695913</v>
      </c>
      <c r="AN67" s="393">
        <f t="shared" si="48"/>
        <v>95482.129117115735</v>
      </c>
      <c r="AO67" s="249">
        <f>AL67*$G67</f>
        <v>214478921.97336021</v>
      </c>
      <c r="AP67" s="116">
        <f t="shared" si="66"/>
        <v>2246.2729304065506</v>
      </c>
      <c r="AQ67" s="117">
        <f t="shared" si="49"/>
        <v>95482.12911711575</v>
      </c>
    </row>
    <row r="68" spans="3:46" x14ac:dyDescent="0.15">
      <c r="C68" s="331" t="s">
        <v>205</v>
      </c>
      <c r="D68" s="331" t="s">
        <v>13</v>
      </c>
      <c r="E68" s="345">
        <v>0.02</v>
      </c>
      <c r="F68" s="116">
        <f t="shared" si="53"/>
        <v>952.63900000000001</v>
      </c>
      <c r="G68" s="334">
        <f t="shared" si="54"/>
        <v>1.1000000000000001</v>
      </c>
      <c r="H68" s="379">
        <f t="shared" si="50"/>
        <v>76866410419.378159</v>
      </c>
      <c r="I68" s="379">
        <f t="shared" si="55"/>
        <v>952.63900000000001</v>
      </c>
      <c r="J68" s="379">
        <f t="shared" si="51"/>
        <v>48471156.614260167</v>
      </c>
      <c r="K68" s="116"/>
      <c r="L68" s="116">
        <f t="shared" si="56"/>
        <v>952.63900000000001</v>
      </c>
      <c r="M68" s="249">
        <f t="shared" si="39"/>
        <v>0</v>
      </c>
      <c r="N68" s="379">
        <f>$E68*N22</f>
        <v>621964190.24000001</v>
      </c>
      <c r="O68" s="379">
        <f t="shared" si="57"/>
        <v>952.63900000000001</v>
      </c>
      <c r="P68" s="394">
        <f t="shared" si="40"/>
        <v>652885.5004256597</v>
      </c>
      <c r="Q68" s="116">
        <f>$E68*Q22</f>
        <v>1579299300.4619081</v>
      </c>
      <c r="R68" s="116">
        <f t="shared" si="58"/>
        <v>1047.9029</v>
      </c>
      <c r="S68" s="117">
        <f t="shared" si="41"/>
        <v>1507104.6186263135</v>
      </c>
      <c r="T68" s="379">
        <f>$E68*T22</f>
        <v>3737807608.2389627</v>
      </c>
      <c r="U68" s="379">
        <f t="shared" si="59"/>
        <v>1152.6931900000002</v>
      </c>
      <c r="V68" s="393">
        <f t="shared" si="42"/>
        <v>3242673.4543638295</v>
      </c>
      <c r="W68" s="116">
        <f>$E68*W22</f>
        <v>6598552523.0834026</v>
      </c>
      <c r="X68" s="116">
        <f t="shared" si="60"/>
        <v>1267.9625090000004</v>
      </c>
      <c r="Y68" s="117">
        <f t="shared" si="43"/>
        <v>5204059.6439144406</v>
      </c>
      <c r="Z68" s="379">
        <f>$E68*Z22</f>
        <v>10095914055.331955</v>
      </c>
      <c r="AA68" s="379">
        <f t="shared" si="61"/>
        <v>1394.7587599000005</v>
      </c>
      <c r="AB68" s="393">
        <f t="shared" si="44"/>
        <v>7238466.1388008045</v>
      </c>
      <c r="AC68" s="116">
        <f>$E68*AC22</f>
        <v>15428676158.968252</v>
      </c>
      <c r="AD68" s="116">
        <f t="shared" si="62"/>
        <v>1534.2346358900006</v>
      </c>
      <c r="AE68" s="117">
        <f t="shared" si="45"/>
        <v>10056268.968284741</v>
      </c>
      <c r="AF68" s="379">
        <f>$E68*AF22</f>
        <v>13340302101.949326</v>
      </c>
      <c r="AG68" s="379">
        <f t="shared" si="63"/>
        <v>1687.6580994790008</v>
      </c>
      <c r="AH68" s="393">
        <f t="shared" si="46"/>
        <v>7904623.6355975345</v>
      </c>
      <c r="AI68" s="116">
        <f>$E68*AI22</f>
        <v>10432784651.343369</v>
      </c>
      <c r="AJ68" s="116">
        <f t="shared" si="64"/>
        <v>1856.423909426901</v>
      </c>
      <c r="AK68" s="117">
        <f t="shared" si="47"/>
        <v>5619828.8539410625</v>
      </c>
      <c r="AL68" s="379">
        <f>$E68*AL22</f>
        <v>7944350995.2633305</v>
      </c>
      <c r="AM68" s="379">
        <f t="shared" si="65"/>
        <v>2042.0663003695913</v>
      </c>
      <c r="AN68" s="393">
        <f t="shared" si="48"/>
        <v>3890349.1986648482</v>
      </c>
      <c r="AO68" s="116">
        <f>$E68*AO22</f>
        <v>7086758834.4976444</v>
      </c>
      <c r="AP68" s="116">
        <f t="shared" si="66"/>
        <v>2246.2729304065506</v>
      </c>
      <c r="AQ68" s="117">
        <f t="shared" si="49"/>
        <v>3154896.6016409323</v>
      </c>
    </row>
    <row r="69" spans="3:46" x14ac:dyDescent="0.15">
      <c r="C69" s="331" t="s">
        <v>181</v>
      </c>
      <c r="D69" s="331" t="s">
        <v>13</v>
      </c>
      <c r="E69" s="345">
        <v>5.0000000000000001E-3</v>
      </c>
      <c r="F69" s="116">
        <f>F68</f>
        <v>952.63900000000001</v>
      </c>
      <c r="G69" s="334">
        <f>G68</f>
        <v>1.1000000000000001</v>
      </c>
      <c r="H69" s="379">
        <f t="shared" si="50"/>
        <v>19216602604.84454</v>
      </c>
      <c r="I69" s="379">
        <f t="shared" si="55"/>
        <v>952.63900000000001</v>
      </c>
      <c r="J69" s="379">
        <f t="shared" si="51"/>
        <v>12117789.153565042</v>
      </c>
      <c r="K69" s="116"/>
      <c r="L69" s="116">
        <f t="shared" si="56"/>
        <v>952.63900000000001</v>
      </c>
      <c r="M69" s="249">
        <f t="shared" si="39"/>
        <v>0</v>
      </c>
      <c r="N69" s="379">
        <f>$E69*N22</f>
        <v>155491047.56</v>
      </c>
      <c r="O69" s="379">
        <f t="shared" si="57"/>
        <v>952.63900000000001</v>
      </c>
      <c r="P69" s="394">
        <f t="shared" si="40"/>
        <v>163221.37510641493</v>
      </c>
      <c r="Q69" s="116">
        <f>$E69*Q22</f>
        <v>394824825.11547703</v>
      </c>
      <c r="R69" s="116">
        <f t="shared" si="58"/>
        <v>1047.9029</v>
      </c>
      <c r="S69" s="117">
        <f t="shared" si="41"/>
        <v>376776.15465657838</v>
      </c>
      <c r="T69" s="379">
        <f>$E69*T22</f>
        <v>934451902.05974066</v>
      </c>
      <c r="U69" s="379">
        <f t="shared" si="59"/>
        <v>1152.6931900000002</v>
      </c>
      <c r="V69" s="393">
        <f t="shared" si="42"/>
        <v>810668.36359095736</v>
      </c>
      <c r="W69" s="116">
        <f>$E69*W22</f>
        <v>1649638130.7708507</v>
      </c>
      <c r="X69" s="116">
        <f t="shared" si="60"/>
        <v>1267.9625090000004</v>
      </c>
      <c r="Y69" s="117">
        <f t="shared" si="43"/>
        <v>1301014.9109786102</v>
      </c>
      <c r="Z69" s="379">
        <f>$E69*Z22</f>
        <v>2523978513.8329887</v>
      </c>
      <c r="AA69" s="379">
        <f t="shared" si="61"/>
        <v>1394.7587599000005</v>
      </c>
      <c r="AB69" s="393">
        <f t="shared" si="44"/>
        <v>1809616.5347002011</v>
      </c>
      <c r="AC69" s="116">
        <f>$E69*AC22</f>
        <v>3857169039.742063</v>
      </c>
      <c r="AD69" s="116">
        <f t="shared" si="62"/>
        <v>1534.2346358900006</v>
      </c>
      <c r="AE69" s="117">
        <f t="shared" si="45"/>
        <v>2514067.2420711853</v>
      </c>
      <c r="AF69" s="379">
        <f>$E69*AF22</f>
        <v>3335075525.4873314</v>
      </c>
      <c r="AG69" s="379">
        <f t="shared" si="63"/>
        <v>1687.6580994790008</v>
      </c>
      <c r="AH69" s="393">
        <f t="shared" si="46"/>
        <v>1976155.9088993836</v>
      </c>
      <c r="AI69" s="116">
        <f>$E69*AI22</f>
        <v>2608196162.8358421</v>
      </c>
      <c r="AJ69" s="116">
        <f t="shared" si="64"/>
        <v>1856.423909426901</v>
      </c>
      <c r="AK69" s="117">
        <f t="shared" si="47"/>
        <v>1404957.2134852656</v>
      </c>
      <c r="AL69" s="379">
        <f>$E69*AL22</f>
        <v>1986087748.8158326</v>
      </c>
      <c r="AM69" s="379">
        <f t="shared" si="65"/>
        <v>2042.0663003695913</v>
      </c>
      <c r="AN69" s="393">
        <f t="shared" si="48"/>
        <v>972587.29966621206</v>
      </c>
      <c r="AO69" s="116">
        <f>$E69*AO22</f>
        <v>1771689708.6244111</v>
      </c>
      <c r="AP69" s="116">
        <f t="shared" si="66"/>
        <v>2246.2729304065506</v>
      </c>
      <c r="AQ69" s="117">
        <f t="shared" si="49"/>
        <v>788724.15041023307</v>
      </c>
    </row>
    <row r="70" spans="3:46" x14ac:dyDescent="0.15">
      <c r="C70" s="331" t="s">
        <v>182</v>
      </c>
      <c r="D70" s="331" t="s">
        <v>203</v>
      </c>
      <c r="E70" s="345"/>
      <c r="F70" s="116">
        <f t="shared" si="53"/>
        <v>952.63900000000001</v>
      </c>
      <c r="G70" s="334">
        <f t="shared" si="54"/>
        <v>1.1000000000000001</v>
      </c>
      <c r="H70" s="379">
        <f t="shared" si="50"/>
        <v>876558353.05500042</v>
      </c>
      <c r="I70" s="379">
        <f t="shared" si="55"/>
        <v>952.63900000000001</v>
      </c>
      <c r="J70" s="379">
        <f t="shared" si="51"/>
        <v>577343.56876004441</v>
      </c>
      <c r="K70" s="116"/>
      <c r="L70" s="116">
        <f t="shared" si="56"/>
        <v>952.63900000000001</v>
      </c>
      <c r="M70" s="249">
        <f t="shared" si="39"/>
        <v>0</v>
      </c>
      <c r="N70" s="379">
        <v>55000000</v>
      </c>
      <c r="O70" s="379">
        <f t="shared" si="57"/>
        <v>952.63900000000001</v>
      </c>
      <c r="P70" s="394">
        <f t="shared" si="40"/>
        <v>57734.356876004444</v>
      </c>
      <c r="Q70" s="117">
        <f>N70*G70</f>
        <v>60500000.000000007</v>
      </c>
      <c r="R70" s="116">
        <f t="shared" si="58"/>
        <v>1047.9029</v>
      </c>
      <c r="S70" s="117">
        <f t="shared" si="41"/>
        <v>57734.356876004451</v>
      </c>
      <c r="T70" s="383">
        <f>Q70*$G70</f>
        <v>66550000.000000015</v>
      </c>
      <c r="U70" s="379">
        <f t="shared" si="59"/>
        <v>1152.6931900000002</v>
      </c>
      <c r="V70" s="393">
        <f t="shared" si="42"/>
        <v>57734.356876004451</v>
      </c>
      <c r="W70" s="249">
        <f>T70*$G70</f>
        <v>73205000.000000015</v>
      </c>
      <c r="X70" s="116">
        <f t="shared" si="60"/>
        <v>1267.9625090000004</v>
      </c>
      <c r="Y70" s="117">
        <f t="shared" si="43"/>
        <v>57734.356876004436</v>
      </c>
      <c r="Z70" s="383">
        <f>W70*$G70</f>
        <v>80525500.00000003</v>
      </c>
      <c r="AA70" s="379">
        <f t="shared" si="61"/>
        <v>1394.7587599000005</v>
      </c>
      <c r="AB70" s="393">
        <f t="shared" si="44"/>
        <v>57734.356876004444</v>
      </c>
      <c r="AC70" s="249">
        <f>Z70*$G70</f>
        <v>88578050.000000045</v>
      </c>
      <c r="AD70" s="116">
        <f t="shared" si="62"/>
        <v>1534.2346358900006</v>
      </c>
      <c r="AE70" s="117">
        <f t="shared" si="45"/>
        <v>57734.356876004451</v>
      </c>
      <c r="AF70" s="383">
        <f>AC70*$G70</f>
        <v>97435855.00000006</v>
      </c>
      <c r="AG70" s="379">
        <f t="shared" si="63"/>
        <v>1687.6580994790008</v>
      </c>
      <c r="AH70" s="393">
        <f t="shared" si="46"/>
        <v>57734.356876004451</v>
      </c>
      <c r="AI70" s="249">
        <f>AF70*$G70</f>
        <v>107179440.50000007</v>
      </c>
      <c r="AJ70" s="116">
        <f t="shared" si="64"/>
        <v>1856.423909426901</v>
      </c>
      <c r="AK70" s="117">
        <f t="shared" si="47"/>
        <v>57734.356876004458</v>
      </c>
      <c r="AL70" s="383">
        <f>AI70*$G70</f>
        <v>117897384.55000009</v>
      </c>
      <c r="AM70" s="379">
        <f t="shared" si="65"/>
        <v>2042.0663003695913</v>
      </c>
      <c r="AN70" s="393">
        <f t="shared" si="48"/>
        <v>57734.356876004451</v>
      </c>
      <c r="AO70" s="249">
        <f>AL70*$G70</f>
        <v>129687123.0050001</v>
      </c>
      <c r="AP70" s="116">
        <f t="shared" si="66"/>
        <v>2246.2729304065506</v>
      </c>
      <c r="AQ70" s="117">
        <f t="shared" si="49"/>
        <v>57734.356876004451</v>
      </c>
    </row>
    <row r="71" spans="3:46" x14ac:dyDescent="0.15">
      <c r="C71" s="331" t="s">
        <v>183</v>
      </c>
      <c r="D71" s="331" t="s">
        <v>203</v>
      </c>
      <c r="E71" s="345"/>
      <c r="F71" s="116">
        <f t="shared" si="53"/>
        <v>952.63900000000001</v>
      </c>
      <c r="G71" s="334">
        <f t="shared" si="54"/>
        <v>1.1000000000000001</v>
      </c>
      <c r="H71" s="379">
        <f t="shared" si="50"/>
        <v>398435615.02500021</v>
      </c>
      <c r="I71" s="379">
        <f t="shared" si="55"/>
        <v>952.63900000000001</v>
      </c>
      <c r="J71" s="379">
        <f t="shared" si="51"/>
        <v>262428.89489092928</v>
      </c>
      <c r="K71" s="116"/>
      <c r="L71" s="116">
        <f t="shared" si="56"/>
        <v>952.63900000000001</v>
      </c>
      <c r="M71" s="249">
        <f t="shared" si="39"/>
        <v>0</v>
      </c>
      <c r="N71" s="379">
        <v>25000000</v>
      </c>
      <c r="O71" s="379">
        <f t="shared" si="57"/>
        <v>952.63900000000001</v>
      </c>
      <c r="P71" s="394">
        <f t="shared" si="40"/>
        <v>26242.88948909293</v>
      </c>
      <c r="Q71" s="117">
        <f>N71*G71</f>
        <v>27500000.000000004</v>
      </c>
      <c r="R71" s="116">
        <f t="shared" si="58"/>
        <v>1047.9029</v>
      </c>
      <c r="S71" s="117">
        <f t="shared" si="41"/>
        <v>26242.889489092933</v>
      </c>
      <c r="T71" s="383">
        <f>Q71*$G71</f>
        <v>30250000.000000007</v>
      </c>
      <c r="U71" s="379">
        <f t="shared" si="59"/>
        <v>1152.6931900000002</v>
      </c>
      <c r="V71" s="393">
        <f t="shared" si="42"/>
        <v>26242.889489092933</v>
      </c>
      <c r="W71" s="249">
        <f>T71*$G71</f>
        <v>33275000.000000011</v>
      </c>
      <c r="X71" s="116">
        <f t="shared" si="60"/>
        <v>1267.9625090000004</v>
      </c>
      <c r="Y71" s="117">
        <f t="shared" si="43"/>
        <v>26242.88948909293</v>
      </c>
      <c r="Z71" s="383">
        <f>W71*$G71</f>
        <v>36602500.000000015</v>
      </c>
      <c r="AA71" s="379">
        <f t="shared" si="61"/>
        <v>1394.7587599000005</v>
      </c>
      <c r="AB71" s="393">
        <f t="shared" si="44"/>
        <v>26242.88948909293</v>
      </c>
      <c r="AC71" s="249">
        <f>Z71*$G71</f>
        <v>40262750.000000022</v>
      </c>
      <c r="AD71" s="116">
        <f t="shared" si="62"/>
        <v>1534.2346358900006</v>
      </c>
      <c r="AE71" s="117">
        <f t="shared" si="45"/>
        <v>26242.889489092933</v>
      </c>
      <c r="AF71" s="383">
        <f>AC71*$G71</f>
        <v>44289025.00000003</v>
      </c>
      <c r="AG71" s="379">
        <f t="shared" si="63"/>
        <v>1687.6580994790008</v>
      </c>
      <c r="AH71" s="393">
        <f t="shared" si="46"/>
        <v>26242.889489092933</v>
      </c>
      <c r="AI71" s="249">
        <f>AF71*$G71</f>
        <v>48717927.500000037</v>
      </c>
      <c r="AJ71" s="116">
        <f t="shared" si="64"/>
        <v>1856.423909426901</v>
      </c>
      <c r="AK71" s="117">
        <f t="shared" si="47"/>
        <v>26242.889489092937</v>
      </c>
      <c r="AL71" s="383">
        <f>AI71*$G71</f>
        <v>53589720.250000045</v>
      </c>
      <c r="AM71" s="379">
        <f t="shared" si="65"/>
        <v>2042.0663003695913</v>
      </c>
      <c r="AN71" s="393">
        <f t="shared" si="48"/>
        <v>26242.889489092937</v>
      </c>
      <c r="AO71" s="249">
        <f>AL71*$G71</f>
        <v>58948692.275000051</v>
      </c>
      <c r="AP71" s="116">
        <f t="shared" si="66"/>
        <v>2246.2729304065506</v>
      </c>
      <c r="AQ71" s="117">
        <f t="shared" si="49"/>
        <v>26242.889489092933</v>
      </c>
    </row>
    <row r="72" spans="3:46" x14ac:dyDescent="0.15">
      <c r="C72" s="331" t="s">
        <v>184</v>
      </c>
      <c r="D72" s="331" t="s">
        <v>13</v>
      </c>
      <c r="E72" s="345">
        <v>1.4999999999999999E-2</v>
      </c>
      <c r="F72" s="116">
        <f t="shared" si="53"/>
        <v>952.63900000000001</v>
      </c>
      <c r="G72" s="334">
        <f t="shared" si="54"/>
        <v>1.1000000000000001</v>
      </c>
      <c r="H72" s="379">
        <f t="shared" si="50"/>
        <v>57649807814.5336</v>
      </c>
      <c r="I72" s="379">
        <f t="shared" si="55"/>
        <v>952.63900000000001</v>
      </c>
      <c r="J72" s="379">
        <f t="shared" si="51"/>
        <v>36353367.460695118</v>
      </c>
      <c r="K72" s="116"/>
      <c r="L72" s="116">
        <f t="shared" si="56"/>
        <v>952.63900000000001</v>
      </c>
      <c r="M72" s="249">
        <f t="shared" si="39"/>
        <v>0</v>
      </c>
      <c r="N72" s="379">
        <f>$E72*N22</f>
        <v>466473142.68000001</v>
      </c>
      <c r="O72" s="379">
        <f t="shared" si="57"/>
        <v>952.63900000000001</v>
      </c>
      <c r="P72" s="394">
        <f t="shared" si="40"/>
        <v>489664.12531924475</v>
      </c>
      <c r="Q72" s="116">
        <f>$E72*Q22</f>
        <v>1184474475.346431</v>
      </c>
      <c r="R72" s="116">
        <f t="shared" si="58"/>
        <v>1047.9029</v>
      </c>
      <c r="S72" s="117">
        <f t="shared" si="41"/>
        <v>1130328.4639697352</v>
      </c>
      <c r="T72" s="379">
        <f>$E72*T22</f>
        <v>2803355706.1792216</v>
      </c>
      <c r="U72" s="379">
        <f t="shared" si="59"/>
        <v>1152.6931900000002</v>
      </c>
      <c r="V72" s="393">
        <f t="shared" si="42"/>
        <v>2432005.0907728719</v>
      </c>
      <c r="W72" s="116">
        <f>$E72*W22</f>
        <v>4948914392.3125515</v>
      </c>
      <c r="X72" s="116">
        <f t="shared" si="60"/>
        <v>1267.9625090000004</v>
      </c>
      <c r="Y72" s="117">
        <f t="shared" si="43"/>
        <v>3903044.73293583</v>
      </c>
      <c r="Z72" s="379">
        <f>$E72*Z22</f>
        <v>7571935541.4989662</v>
      </c>
      <c r="AA72" s="379">
        <f t="shared" si="61"/>
        <v>1394.7587599000005</v>
      </c>
      <c r="AB72" s="393">
        <f t="shared" si="44"/>
        <v>5428849.6041006036</v>
      </c>
      <c r="AC72" s="116">
        <f>$E72*AC22</f>
        <v>11571507119.226189</v>
      </c>
      <c r="AD72" s="116">
        <f t="shared" si="62"/>
        <v>1534.2346358900006</v>
      </c>
      <c r="AE72" s="117">
        <f t="shared" si="45"/>
        <v>7542201.7262135558</v>
      </c>
      <c r="AF72" s="379">
        <f>$E72*AF22</f>
        <v>10005226576.461994</v>
      </c>
      <c r="AG72" s="379">
        <f t="shared" si="63"/>
        <v>1687.6580994790008</v>
      </c>
      <c r="AH72" s="393">
        <f t="shared" si="46"/>
        <v>5928467.7266981509</v>
      </c>
      <c r="AI72" s="116">
        <f>$E72*AI22</f>
        <v>7824588488.5075264</v>
      </c>
      <c r="AJ72" s="116">
        <f t="shared" si="64"/>
        <v>1856.423909426901</v>
      </c>
      <c r="AK72" s="117">
        <f t="shared" si="47"/>
        <v>4214871.6404557973</v>
      </c>
      <c r="AL72" s="379">
        <f>$E72*AL22</f>
        <v>5958263246.4474974</v>
      </c>
      <c r="AM72" s="379">
        <f t="shared" si="65"/>
        <v>2042.0663003695913</v>
      </c>
      <c r="AN72" s="393">
        <f t="shared" si="48"/>
        <v>2917761.8989986358</v>
      </c>
      <c r="AO72" s="116">
        <f>$E72*AO22</f>
        <v>5315069125.8732328</v>
      </c>
      <c r="AP72" s="116">
        <f t="shared" si="66"/>
        <v>2246.2729304065506</v>
      </c>
      <c r="AQ72" s="117">
        <f t="shared" si="49"/>
        <v>2366172.4512306987</v>
      </c>
    </row>
    <row r="73" spans="3:46" x14ac:dyDescent="0.15">
      <c r="C73" s="331" t="s">
        <v>185</v>
      </c>
      <c r="D73" s="331" t="s">
        <v>188</v>
      </c>
      <c r="E73" s="345">
        <v>0.1</v>
      </c>
      <c r="F73" s="116">
        <f t="shared" si="53"/>
        <v>952.63900000000001</v>
      </c>
      <c r="G73" s="334">
        <f t="shared" si="54"/>
        <v>1.1000000000000001</v>
      </c>
      <c r="H73" s="379">
        <f t="shared" si="50"/>
        <v>7248340708.5348043</v>
      </c>
      <c r="I73" s="379">
        <f t="shared" si="55"/>
        <v>952.63900000000001</v>
      </c>
      <c r="J73" s="379">
        <f t="shared" si="51"/>
        <v>4774106.4558557868</v>
      </c>
      <c r="K73" s="116"/>
      <c r="L73" s="116">
        <f t="shared" si="56"/>
        <v>952.63900000000001</v>
      </c>
      <c r="M73" s="249">
        <f t="shared" si="39"/>
        <v>0</v>
      </c>
      <c r="N73" s="379">
        <f>$E73*(N38+N39+N51)</f>
        <v>454800000</v>
      </c>
      <c r="O73" s="379">
        <f t="shared" si="57"/>
        <v>952.63900000000001</v>
      </c>
      <c r="P73" s="394">
        <f t="shared" si="40"/>
        <v>477410.64558557858</v>
      </c>
      <c r="Q73" s="116">
        <f>$E73*(Q38+Q39+Q51)</f>
        <v>500280000</v>
      </c>
      <c r="R73" s="116">
        <f t="shared" si="58"/>
        <v>1047.9029</v>
      </c>
      <c r="S73" s="117">
        <f t="shared" si="41"/>
        <v>477410.64558557858</v>
      </c>
      <c r="T73" s="379">
        <f>$E73*(T38+T39+T51)</f>
        <v>550308000.00000012</v>
      </c>
      <c r="U73" s="379">
        <f t="shared" si="59"/>
        <v>1152.6931900000002</v>
      </c>
      <c r="V73" s="393">
        <f t="shared" si="42"/>
        <v>477410.64558557863</v>
      </c>
      <c r="W73" s="116">
        <f>$E73*(W38+W39+W51)</f>
        <v>605338800.00000012</v>
      </c>
      <c r="X73" s="116">
        <f t="shared" si="60"/>
        <v>1267.9625090000004</v>
      </c>
      <c r="Y73" s="117">
        <f t="shared" si="43"/>
        <v>477410.64558557852</v>
      </c>
      <c r="Z73" s="379">
        <f>$E73*(Z38+Z39+Z51)</f>
        <v>665872680.00000024</v>
      </c>
      <c r="AA73" s="379">
        <f t="shared" si="61"/>
        <v>1394.7587599000005</v>
      </c>
      <c r="AB73" s="393">
        <f t="shared" si="44"/>
        <v>477410.64558557858</v>
      </c>
      <c r="AC73" s="116">
        <f>$E73*(AC38+AC39+AC51)</f>
        <v>732459948.00000048</v>
      </c>
      <c r="AD73" s="116">
        <f t="shared" si="62"/>
        <v>1534.2346358900006</v>
      </c>
      <c r="AE73" s="117">
        <f t="shared" si="45"/>
        <v>477410.64558557869</v>
      </c>
      <c r="AF73" s="379">
        <f>$E73*(AF38+AF39+AF51)</f>
        <v>805705942.80000067</v>
      </c>
      <c r="AG73" s="379">
        <f t="shared" si="63"/>
        <v>1687.6580994790008</v>
      </c>
      <c r="AH73" s="393">
        <f t="shared" si="46"/>
        <v>477410.64558557875</v>
      </c>
      <c r="AI73" s="116">
        <f>$E73*(AI38+AI39+AI51)</f>
        <v>886276537.08000076</v>
      </c>
      <c r="AJ73" s="116">
        <f t="shared" si="64"/>
        <v>1856.423909426901</v>
      </c>
      <c r="AK73" s="117">
        <f t="shared" si="47"/>
        <v>477410.64558557875</v>
      </c>
      <c r="AL73" s="379">
        <f>$E73*(AL38+AL39+AL51)</f>
        <v>974904190.78800094</v>
      </c>
      <c r="AM73" s="379">
        <f t="shared" si="65"/>
        <v>2042.0663003695913</v>
      </c>
      <c r="AN73" s="393">
        <f t="shared" si="48"/>
        <v>477410.64558557875</v>
      </c>
      <c r="AO73" s="116">
        <f>$E73*(AO38+AO39+AO51)</f>
        <v>1072394609.8668009</v>
      </c>
      <c r="AP73" s="116">
        <f t="shared" si="66"/>
        <v>2246.2729304065506</v>
      </c>
      <c r="AQ73" s="117">
        <f t="shared" si="49"/>
        <v>477410.64558557863</v>
      </c>
    </row>
    <row r="74" spans="3:46" x14ac:dyDescent="0.15">
      <c r="C74" s="331"/>
      <c r="D74" s="331"/>
      <c r="E74" s="331"/>
      <c r="F74" s="116"/>
      <c r="G74" s="334"/>
      <c r="H74" s="379"/>
      <c r="I74" s="379"/>
      <c r="J74" s="379"/>
      <c r="K74" s="116"/>
      <c r="L74" s="116"/>
      <c r="M74" s="249"/>
      <c r="N74" s="379"/>
      <c r="O74" s="379"/>
      <c r="P74" s="394"/>
      <c r="Q74" s="117"/>
      <c r="R74" s="116"/>
      <c r="S74" s="117"/>
      <c r="T74" s="383"/>
      <c r="U74" s="379"/>
      <c r="V74" s="393"/>
      <c r="W74" s="249"/>
      <c r="X74" s="116"/>
      <c r="Y74" s="117"/>
      <c r="Z74" s="383"/>
      <c r="AA74" s="379"/>
      <c r="AB74" s="393"/>
      <c r="AC74" s="249"/>
      <c r="AD74" s="116"/>
      <c r="AE74" s="117"/>
      <c r="AF74" s="383"/>
      <c r="AG74" s="379"/>
      <c r="AH74" s="393"/>
      <c r="AI74" s="249"/>
      <c r="AJ74" s="116"/>
      <c r="AK74" s="117"/>
      <c r="AL74" s="383"/>
      <c r="AM74" s="379"/>
      <c r="AN74" s="393"/>
      <c r="AO74" s="249"/>
      <c r="AP74" s="116"/>
      <c r="AQ74" s="117"/>
    </row>
    <row r="75" spans="3:46" x14ac:dyDescent="0.15">
      <c r="C75" s="331"/>
      <c r="D75" s="331"/>
      <c r="E75" s="331"/>
      <c r="F75" s="116"/>
      <c r="G75" s="334"/>
      <c r="H75" s="379"/>
      <c r="I75" s="379"/>
      <c r="J75" s="379"/>
      <c r="K75" s="116"/>
      <c r="L75" s="116"/>
      <c r="M75" s="249"/>
      <c r="N75" s="379"/>
      <c r="O75" s="379"/>
      <c r="P75" s="394"/>
      <c r="Q75" s="117"/>
      <c r="R75" s="116"/>
      <c r="S75" s="117"/>
      <c r="T75" s="383"/>
      <c r="U75" s="379"/>
      <c r="V75" s="393"/>
      <c r="W75" s="249"/>
      <c r="X75" s="116"/>
      <c r="Y75" s="117"/>
      <c r="Z75" s="383"/>
      <c r="AA75" s="379"/>
      <c r="AB75" s="393"/>
      <c r="AC75" s="249"/>
      <c r="AD75" s="116"/>
      <c r="AE75" s="117"/>
      <c r="AF75" s="383"/>
      <c r="AG75" s="379"/>
      <c r="AH75" s="393"/>
      <c r="AI75" s="249"/>
      <c r="AJ75" s="116"/>
      <c r="AK75" s="117"/>
      <c r="AL75" s="383"/>
      <c r="AM75" s="379"/>
      <c r="AN75" s="393"/>
      <c r="AO75" s="249"/>
      <c r="AP75" s="116"/>
      <c r="AQ75" s="117"/>
    </row>
    <row r="76" spans="3:46" x14ac:dyDescent="0.15">
      <c r="C76" s="330"/>
      <c r="D76" s="330"/>
      <c r="E76" s="330"/>
      <c r="F76" s="249"/>
      <c r="G76" s="375"/>
      <c r="H76" s="383"/>
      <c r="I76" s="383"/>
      <c r="J76" s="383"/>
      <c r="K76" s="249"/>
      <c r="L76" s="249"/>
      <c r="M76" s="249"/>
      <c r="N76" s="383"/>
      <c r="O76" s="383"/>
      <c r="P76" s="394"/>
      <c r="Q76" s="250"/>
      <c r="R76" s="249"/>
      <c r="S76" s="117"/>
      <c r="T76" s="383"/>
      <c r="U76" s="383"/>
      <c r="V76" s="393"/>
      <c r="W76" s="249"/>
      <c r="X76" s="249"/>
      <c r="Y76" s="117"/>
      <c r="Z76" s="383"/>
      <c r="AA76" s="383"/>
      <c r="AB76" s="393"/>
      <c r="AC76" s="249"/>
      <c r="AD76" s="249"/>
      <c r="AE76" s="117"/>
      <c r="AF76" s="383"/>
      <c r="AG76" s="383"/>
      <c r="AH76" s="393"/>
      <c r="AI76" s="249"/>
      <c r="AJ76" s="249"/>
      <c r="AK76" s="117"/>
      <c r="AL76" s="383"/>
      <c r="AM76" s="383"/>
      <c r="AN76" s="393"/>
      <c r="AO76" s="249"/>
      <c r="AP76" s="249"/>
      <c r="AQ76" s="117"/>
    </row>
    <row r="77" spans="3:46" x14ac:dyDescent="0.15">
      <c r="C77" s="330" t="s">
        <v>207</v>
      </c>
      <c r="D77" s="330"/>
      <c r="E77" s="330"/>
      <c r="F77" s="249">
        <f>F73</f>
        <v>952.63900000000001</v>
      </c>
      <c r="G77" s="249"/>
      <c r="H77" s="379">
        <f t="shared" ref="H77" si="75">K77+N77+Q77+T77+W77+Z77+AC77+AF77+AI77+AL77+AO77</f>
        <v>4235428819.4968343</v>
      </c>
      <c r="I77" s="379">
        <f>I73</f>
        <v>952.63900000000001</v>
      </c>
      <c r="J77" s="379">
        <f t="shared" ref="J77" si="76">M77+P77+S77+V77+Y77+AB77+AE77+AH77+AK77+AN77+AQ77</f>
        <v>2734403.4558726512</v>
      </c>
      <c r="K77" s="116">
        <f>(SUM(K31:K76)/1000*2)</f>
        <v>0</v>
      </c>
      <c r="L77" s="116">
        <f>L73</f>
        <v>952.63900000000001</v>
      </c>
      <c r="M77" s="249">
        <f t="shared" si="39"/>
        <v>0</v>
      </c>
      <c r="N77" s="379">
        <f>(SUM(N31:N76)*1%)</f>
        <v>163089508.74592</v>
      </c>
      <c r="O77" s="379">
        <f>O73</f>
        <v>952.63900000000001</v>
      </c>
      <c r="P77" s="394">
        <f t="shared" si="40"/>
        <v>171197.59819398535</v>
      </c>
      <c r="Q77" s="116">
        <f>(SUM(Q31:Q76)*1%)</f>
        <v>157232093.39516923</v>
      </c>
      <c r="R77" s="116">
        <f>R73</f>
        <v>1047.9029</v>
      </c>
      <c r="S77" s="117">
        <f t="shared" si="41"/>
        <v>150044.52549484232</v>
      </c>
      <c r="T77" s="379">
        <f>(SUM(T31:T76)*1%)</f>
        <v>249117887.10533211</v>
      </c>
      <c r="U77" s="379">
        <f>U73</f>
        <v>1152.6931900000002</v>
      </c>
      <c r="V77" s="393">
        <f t="shared" si="42"/>
        <v>216118.1216879854</v>
      </c>
      <c r="W77" s="116">
        <f>(SUM(W31:W76)*1%)</f>
        <v>364783833.47520167</v>
      </c>
      <c r="X77" s="116">
        <f>X73</f>
        <v>1267.9625090000004</v>
      </c>
      <c r="Y77" s="117">
        <f t="shared" si="43"/>
        <v>287692.91748451971</v>
      </c>
      <c r="Z77" s="379">
        <f>(SUM(Z31:Z76)*1%)</f>
        <v>502532638.25964814</v>
      </c>
      <c r="AA77" s="379">
        <f>AA73</f>
        <v>1394.7587599000005</v>
      </c>
      <c r="AB77" s="393">
        <f t="shared" si="44"/>
        <v>360300.75788567052</v>
      </c>
      <c r="AC77" s="116">
        <f>(SUM(AC31:AC76)*1%)</f>
        <v>672623311.02573717</v>
      </c>
      <c r="AD77" s="116">
        <f>AD73</f>
        <v>1534.2346358900006</v>
      </c>
      <c r="AE77" s="117">
        <f t="shared" si="45"/>
        <v>438409.67691069777</v>
      </c>
      <c r="AF77" s="379">
        <f>(SUM(AF31:AF76)*1%)</f>
        <v>621090679.93786931</v>
      </c>
      <c r="AG77" s="379">
        <f>AG73</f>
        <v>1687.6580994790008</v>
      </c>
      <c r="AH77" s="393">
        <f t="shared" si="46"/>
        <v>368019.25705781701</v>
      </c>
      <c r="AI77" s="116">
        <f>(SUM(AI31:AI76)*1%)</f>
        <v>546095606.10466063</v>
      </c>
      <c r="AJ77" s="116">
        <f>AJ73</f>
        <v>1856.423909426901</v>
      </c>
      <c r="AK77" s="117">
        <f t="shared" si="47"/>
        <v>294165.35917879152</v>
      </c>
      <c r="AL77" s="379">
        <f>(SUM(AL31:AL76)*1%)</f>
        <v>484896091.07572657</v>
      </c>
      <c r="AM77" s="379">
        <f>AM73</f>
        <v>2042.0663003695913</v>
      </c>
      <c r="AN77" s="393">
        <f t="shared" si="48"/>
        <v>237453.64731202202</v>
      </c>
      <c r="AO77" s="116">
        <f>(SUM(AO31:AO76)*1%)</f>
        <v>473967170.37156963</v>
      </c>
      <c r="AP77" s="116">
        <f>AP73</f>
        <v>2246.2729304065506</v>
      </c>
      <c r="AQ77" s="117">
        <f t="shared" si="49"/>
        <v>211001.59466631993</v>
      </c>
    </row>
    <row r="78" spans="3:46" x14ac:dyDescent="0.15">
      <c r="C78" s="331" t="s">
        <v>213</v>
      </c>
      <c r="D78" s="331"/>
      <c r="E78" s="345"/>
      <c r="F78" s="116">
        <f>F70</f>
        <v>952.63900000000001</v>
      </c>
      <c r="G78" s="334">
        <f t="shared" ref="G78" si="77">G77</f>
        <v>0</v>
      </c>
      <c r="H78" s="379">
        <f>K78+N78+Q78+T78+W78+Z78+AC78+AF78+AI78+AL78+AO78</f>
        <v>230537285198.84167</v>
      </c>
      <c r="I78" s="379">
        <f>I77</f>
        <v>952.63900000000001</v>
      </c>
      <c r="J78" s="379">
        <f>M78+P78+S78+V78+Y78+AB78+AE78+AH78+AK78+AN78+AQ78</f>
        <v>133328979.34277903</v>
      </c>
      <c r="K78" s="116"/>
      <c r="L78" s="116">
        <f>L77</f>
        <v>952.63900000000001</v>
      </c>
      <c r="M78" s="249">
        <f t="shared" si="39"/>
        <v>0</v>
      </c>
      <c r="N78" s="379"/>
      <c r="O78" s="379">
        <f>O77</f>
        <v>952.63900000000001</v>
      </c>
      <c r="P78" s="394">
        <f t="shared" si="40"/>
        <v>0</v>
      </c>
      <c r="Q78" s="116">
        <f>'Income Statement'!K70</f>
        <v>0</v>
      </c>
      <c r="R78" s="116">
        <f>R77</f>
        <v>1047.9029</v>
      </c>
      <c r="S78" s="117">
        <f t="shared" si="41"/>
        <v>0</v>
      </c>
      <c r="T78" s="379">
        <f>'Income Statement'!N70</f>
        <v>4800804781.7763271</v>
      </c>
      <c r="U78" s="379">
        <f>U77</f>
        <v>1152.6931900000002</v>
      </c>
      <c r="V78" s="393">
        <f t="shared" si="42"/>
        <v>4164859.1519624805</v>
      </c>
      <c r="W78" s="116">
        <f>'Income Statement'!Q70</f>
        <v>14889160894.17881</v>
      </c>
      <c r="X78" s="116">
        <f>X77</f>
        <v>1267.9625090000004</v>
      </c>
      <c r="Y78" s="117">
        <f t="shared" si="43"/>
        <v>11742587.646318812</v>
      </c>
      <c r="Z78" s="379">
        <f>'Income Statement'!T70</f>
        <v>20267889456.196392</v>
      </c>
      <c r="AA78" s="379">
        <f>AA77</f>
        <v>1394.7587599000005</v>
      </c>
      <c r="AB78" s="393">
        <f t="shared" si="44"/>
        <v>14531465.970251035</v>
      </c>
      <c r="AC78" s="116">
        <f>'Income Statement'!W70</f>
        <v>25734932252.716648</v>
      </c>
      <c r="AD78" s="116">
        <f>AD77</f>
        <v>1534.2346358900006</v>
      </c>
      <c r="AE78" s="117">
        <f t="shared" si="45"/>
        <v>16773791.733484078</v>
      </c>
      <c r="AF78" s="379">
        <f>'Income Statement'!Z70</f>
        <v>56803947153.351402</v>
      </c>
      <c r="AG78" s="379">
        <f>AG77</f>
        <v>1687.6580994790008</v>
      </c>
      <c r="AH78" s="393">
        <f t="shared" si="46"/>
        <v>33658444.90118432</v>
      </c>
      <c r="AI78" s="116">
        <f>'Income Statement'!AC70</f>
        <v>29445197055.105762</v>
      </c>
      <c r="AJ78" s="116">
        <f>AJ77</f>
        <v>1856.423909426901</v>
      </c>
      <c r="AK78" s="117">
        <f t="shared" si="47"/>
        <v>15861246.402604148</v>
      </c>
      <c r="AL78" s="379">
        <f>'Income Statement'!AF70</f>
        <v>36105613389.507095</v>
      </c>
      <c r="AM78" s="379">
        <f>AM77</f>
        <v>2042.0663003695913</v>
      </c>
      <c r="AN78" s="393">
        <f t="shared" si="48"/>
        <v>17680921.223259196</v>
      </c>
      <c r="AO78" s="116">
        <f>'Income Statement'!AI70</f>
        <v>42489740216.009224</v>
      </c>
      <c r="AP78" s="116">
        <f>AP77</f>
        <v>2246.2729304065506</v>
      </c>
      <c r="AQ78" s="117">
        <f t="shared" si="49"/>
        <v>18915662.313714948</v>
      </c>
      <c r="AS78" s="313"/>
      <c r="AT78" s="313"/>
    </row>
    <row r="79" spans="3:46" x14ac:dyDescent="0.15">
      <c r="C79" s="331"/>
      <c r="D79" s="331"/>
      <c r="E79" s="331"/>
      <c r="F79" s="116"/>
      <c r="G79" s="116"/>
      <c r="H79" s="379"/>
      <c r="I79" s="379"/>
      <c r="J79" s="379"/>
      <c r="K79" s="116"/>
      <c r="L79" s="116"/>
      <c r="M79" s="116"/>
      <c r="N79" s="379"/>
      <c r="O79" s="379"/>
      <c r="P79" s="403"/>
      <c r="Q79" s="117"/>
      <c r="R79" s="116"/>
      <c r="S79" s="117"/>
      <c r="T79" s="379"/>
      <c r="U79" s="379"/>
      <c r="V79" s="393"/>
      <c r="W79" s="116"/>
      <c r="X79" s="116"/>
      <c r="Y79" s="117"/>
      <c r="Z79" s="379"/>
      <c r="AA79" s="379"/>
      <c r="AB79" s="393"/>
      <c r="AC79" s="116"/>
      <c r="AD79" s="116"/>
      <c r="AE79" s="117"/>
      <c r="AF79" s="379"/>
      <c r="AG79" s="379"/>
      <c r="AH79" s="393"/>
      <c r="AI79" s="116"/>
      <c r="AJ79" s="116"/>
      <c r="AK79" s="117"/>
      <c r="AL79" s="379"/>
      <c r="AM79" s="379"/>
      <c r="AN79" s="393"/>
      <c r="AO79" s="116"/>
      <c r="AP79" s="116"/>
      <c r="AQ79" s="117"/>
    </row>
    <row r="80" spans="3:46" x14ac:dyDescent="0.15">
      <c r="C80" s="331"/>
      <c r="D80" s="331"/>
      <c r="E80" s="331"/>
      <c r="F80" s="116"/>
      <c r="G80" s="116"/>
      <c r="H80" s="379"/>
      <c r="I80" s="379"/>
      <c r="J80" s="379"/>
      <c r="K80" s="116"/>
      <c r="L80" s="116"/>
      <c r="M80" s="116"/>
      <c r="N80" s="379"/>
      <c r="O80" s="379"/>
      <c r="P80" s="403"/>
      <c r="Q80" s="117"/>
      <c r="R80" s="116"/>
      <c r="S80" s="117"/>
      <c r="T80" s="379"/>
      <c r="U80" s="379"/>
      <c r="V80" s="393"/>
      <c r="W80" s="116"/>
      <c r="X80" s="116"/>
      <c r="Y80" s="117"/>
      <c r="Z80" s="379"/>
      <c r="AA80" s="379"/>
      <c r="AB80" s="393"/>
      <c r="AC80" s="116"/>
      <c r="AD80" s="116"/>
      <c r="AE80" s="117"/>
      <c r="AF80" s="379"/>
      <c r="AG80" s="379"/>
      <c r="AH80" s="393"/>
      <c r="AI80" s="116"/>
      <c r="AJ80" s="116"/>
      <c r="AK80" s="117"/>
      <c r="AL80" s="379"/>
      <c r="AM80" s="379"/>
      <c r="AN80" s="393"/>
      <c r="AO80" s="116"/>
      <c r="AP80" s="116"/>
      <c r="AQ80" s="117"/>
    </row>
    <row r="81" spans="3:46" ht="7.5" thickBot="1" x14ac:dyDescent="0.2">
      <c r="C81" s="331"/>
      <c r="D81" s="331"/>
      <c r="E81" s="331"/>
      <c r="F81" s="116"/>
      <c r="G81" s="343"/>
      <c r="H81" s="379">
        <f>K81+N81+Q81+T81+W81+Z81+AC81+AF81+AI81+AL81+AO81</f>
        <v>0</v>
      </c>
      <c r="I81" s="379"/>
      <c r="J81" s="379">
        <f>M81+P81+S81+V81+Y81+AB81+AE81+AH81+AK81+AN81+AQ81</f>
        <v>0</v>
      </c>
      <c r="K81" s="116"/>
      <c r="L81" s="116"/>
      <c r="M81" s="116"/>
      <c r="N81" s="379"/>
      <c r="O81" s="379"/>
      <c r="P81" s="393"/>
      <c r="Q81" s="117"/>
      <c r="R81" s="116"/>
      <c r="S81" s="117"/>
      <c r="T81" s="383"/>
      <c r="U81" s="379"/>
      <c r="V81" s="394"/>
      <c r="W81" s="249"/>
      <c r="X81" s="116"/>
      <c r="Y81" s="250"/>
      <c r="Z81" s="383"/>
      <c r="AA81" s="379"/>
      <c r="AB81" s="394"/>
      <c r="AC81" s="249"/>
      <c r="AD81" s="116"/>
      <c r="AE81" s="250"/>
      <c r="AF81" s="383"/>
      <c r="AG81" s="379"/>
      <c r="AH81" s="394"/>
      <c r="AI81" s="249"/>
      <c r="AJ81" s="116"/>
      <c r="AK81" s="250"/>
      <c r="AL81" s="383"/>
      <c r="AM81" s="379"/>
      <c r="AN81" s="394"/>
      <c r="AO81" s="249"/>
      <c r="AP81" s="116"/>
      <c r="AQ81" s="250"/>
    </row>
    <row r="82" spans="3:46" ht="7.5" thickBot="1" x14ac:dyDescent="0.2">
      <c r="C82" s="335" t="s">
        <v>127</v>
      </c>
      <c r="D82" s="335"/>
      <c r="E82" s="335"/>
      <c r="F82" s="252"/>
      <c r="G82" s="252"/>
      <c r="H82" s="380"/>
      <c r="I82" s="397"/>
      <c r="J82" s="380"/>
      <c r="K82" s="252"/>
      <c r="L82" s="252"/>
      <c r="M82" s="252"/>
      <c r="N82" s="397"/>
      <c r="O82" s="380"/>
      <c r="P82" s="398"/>
      <c r="Q82" s="241"/>
      <c r="R82" s="252"/>
      <c r="S82" s="241"/>
      <c r="T82" s="397"/>
      <c r="U82" s="380"/>
      <c r="V82" s="398"/>
      <c r="W82" s="240"/>
      <c r="X82" s="252"/>
      <c r="Y82" s="241"/>
      <c r="Z82" s="397"/>
      <c r="AA82" s="380"/>
      <c r="AB82" s="398"/>
      <c r="AC82" s="240"/>
      <c r="AD82" s="252"/>
      <c r="AE82" s="241"/>
      <c r="AF82" s="397"/>
      <c r="AG82" s="380"/>
      <c r="AH82" s="398"/>
      <c r="AI82" s="240"/>
      <c r="AJ82" s="252"/>
      <c r="AK82" s="241"/>
      <c r="AL82" s="397"/>
      <c r="AM82" s="380"/>
      <c r="AN82" s="398"/>
      <c r="AO82" s="240"/>
      <c r="AP82" s="252"/>
      <c r="AQ82" s="241"/>
    </row>
    <row r="83" spans="3:46" x14ac:dyDescent="0.15">
      <c r="C83" s="338" t="s">
        <v>128</v>
      </c>
      <c r="D83" s="338"/>
      <c r="E83" s="338"/>
      <c r="F83" s="118"/>
      <c r="G83" s="118"/>
      <c r="H83" s="392"/>
      <c r="I83" s="392"/>
      <c r="J83" s="392"/>
      <c r="K83" s="118"/>
      <c r="L83" s="118"/>
      <c r="M83" s="118"/>
      <c r="N83" s="392"/>
      <c r="O83" s="392"/>
      <c r="P83" s="394"/>
      <c r="Q83" s="118"/>
      <c r="R83" s="118"/>
      <c r="S83" s="117"/>
      <c r="T83" s="392"/>
      <c r="U83" s="392"/>
      <c r="V83" s="406"/>
      <c r="W83" s="118"/>
      <c r="X83" s="118"/>
      <c r="Y83" s="118"/>
      <c r="Z83" s="392"/>
      <c r="AA83" s="392"/>
      <c r="AB83" s="393"/>
      <c r="AC83" s="118"/>
      <c r="AD83" s="118"/>
      <c r="AE83" s="117"/>
      <c r="AF83" s="392"/>
      <c r="AG83" s="392"/>
      <c r="AH83" s="393"/>
      <c r="AI83" s="118"/>
      <c r="AJ83" s="118"/>
      <c r="AK83" s="117"/>
      <c r="AL83" s="392"/>
      <c r="AM83" s="392"/>
      <c r="AN83" s="393"/>
      <c r="AO83" s="118"/>
      <c r="AP83" s="118"/>
      <c r="AQ83" s="117"/>
    </row>
    <row r="84" spans="3:46" x14ac:dyDescent="0.15">
      <c r="C84" s="330"/>
      <c r="D84" s="330"/>
      <c r="E84" s="330"/>
      <c r="F84" s="249"/>
      <c r="G84" s="249"/>
      <c r="H84" s="383"/>
      <c r="I84" s="383"/>
      <c r="J84" s="383"/>
      <c r="K84" s="249"/>
      <c r="L84" s="249"/>
      <c r="M84" s="249"/>
      <c r="N84" s="383"/>
      <c r="O84" s="383"/>
      <c r="P84" s="394"/>
      <c r="Q84" s="249"/>
      <c r="R84" s="249"/>
      <c r="S84" s="117"/>
      <c r="T84" s="383"/>
      <c r="U84" s="383"/>
      <c r="V84" s="394"/>
      <c r="W84" s="249"/>
      <c r="X84" s="249"/>
      <c r="Y84" s="117"/>
      <c r="Z84" s="383"/>
      <c r="AA84" s="383"/>
      <c r="AB84" s="393"/>
      <c r="AC84" s="249"/>
      <c r="AD84" s="249"/>
      <c r="AE84" s="117"/>
      <c r="AF84" s="383"/>
      <c r="AG84" s="383"/>
      <c r="AH84" s="393"/>
      <c r="AI84" s="249"/>
      <c r="AJ84" s="249"/>
      <c r="AK84" s="117"/>
      <c r="AL84" s="383"/>
      <c r="AM84" s="383"/>
      <c r="AN84" s="393"/>
      <c r="AO84" s="249"/>
      <c r="AP84" s="249"/>
      <c r="AQ84" s="117"/>
    </row>
    <row r="85" spans="3:46" x14ac:dyDescent="0.15">
      <c r="C85" s="331" t="s">
        <v>215</v>
      </c>
      <c r="D85" s="331"/>
      <c r="E85" s="345"/>
      <c r="F85" s="116">
        <f>F77</f>
        <v>952.63900000000001</v>
      </c>
      <c r="G85" s="334">
        <f t="shared" ref="G85" si="78">G84</f>
        <v>0</v>
      </c>
      <c r="H85" s="379">
        <f>K85+N85+Q85+T85+W85+Z85+AC85+AF85+AI85+AL85+AO85</f>
        <v>11651437268.655437</v>
      </c>
      <c r="I85" s="379">
        <f>I78</f>
        <v>952.63900000000001</v>
      </c>
      <c r="J85" s="379">
        <f>M85+P85+S85+V85+Y85+AB85+AE85+AH85+AK85+AN85+AQ85</f>
        <v>6719668.4701318555</v>
      </c>
      <c r="K85" s="116"/>
      <c r="L85" s="116">
        <f>L78</f>
        <v>952.63900000000001</v>
      </c>
      <c r="M85" s="249">
        <f>K85/L85</f>
        <v>0</v>
      </c>
      <c r="N85" s="379"/>
      <c r="O85" s="379">
        <f>O78</f>
        <v>952.63900000000001</v>
      </c>
      <c r="P85" s="394">
        <f t="shared" ref="P85:P87" si="79">N85/O85</f>
        <v>0</v>
      </c>
      <c r="Q85" s="116">
        <f>-'Income Statement'!K73</f>
        <v>-50076449.770614959</v>
      </c>
      <c r="R85" s="116">
        <f>R78</f>
        <v>1047.9029</v>
      </c>
      <c r="S85" s="117">
        <f t="shared" ref="S85:S87" si="80">Q85/R85</f>
        <v>-47787.299539504049</v>
      </c>
      <c r="T85" s="379">
        <f>-'Income Statement'!N73</f>
        <v>243677212.40834385</v>
      </c>
      <c r="U85" s="379">
        <f>U78</f>
        <v>1152.6931900000002</v>
      </c>
      <c r="V85" s="393">
        <f t="shared" ref="V85:V87" si="81">T85/U85</f>
        <v>211398.1539253683</v>
      </c>
      <c r="W85" s="116">
        <f>-'Income Statement'!Q73</f>
        <v>755737712.05301535</v>
      </c>
      <c r="X85" s="116">
        <f>X78</f>
        <v>1267.9625090000004</v>
      </c>
      <c r="Y85" s="117">
        <f t="shared" ref="Y85:Y87" si="82">W85/X85</f>
        <v>596025.28204800026</v>
      </c>
      <c r="Z85" s="379">
        <f>-'Income Statement'!T73</f>
        <v>1028748934.5190594</v>
      </c>
      <c r="AA85" s="379">
        <f>AA78</f>
        <v>1394.7587599000005</v>
      </c>
      <c r="AB85" s="393">
        <f t="shared" ref="AB85:AB87" si="83">Z85/AA85</f>
        <v>737581.98485365114</v>
      </c>
      <c r="AC85" s="116">
        <f>-'Income Statement'!W73</f>
        <v>1306242773.4333451</v>
      </c>
      <c r="AD85" s="116">
        <f>AD78</f>
        <v>1534.2346358900006</v>
      </c>
      <c r="AE85" s="117">
        <f t="shared" ref="AE85:AE87" si="84">AC85/AD85</f>
        <v>851397.00465411611</v>
      </c>
      <c r="AF85" s="379">
        <f>-'Income Statement'!Z73</f>
        <v>2883230650.9655633</v>
      </c>
      <c r="AG85" s="379">
        <f>AG78</f>
        <v>1687.6580994790008</v>
      </c>
      <c r="AH85" s="393">
        <f t="shared" ref="AH85:AH87" si="85">AF85/AG85</f>
        <v>1708421.0669540525</v>
      </c>
      <c r="AI85" s="116">
        <f>-'Income Statement'!AC73</f>
        <v>1494566820.2212772</v>
      </c>
      <c r="AJ85" s="116">
        <f>AJ78</f>
        <v>1856.423909426901</v>
      </c>
      <c r="AK85" s="117">
        <f t="shared" ref="AK85:AK87" si="86">AI85/AJ85</f>
        <v>805078.41588975594</v>
      </c>
      <c r="AL85" s="379">
        <f>-'Income Statement'!AF73</f>
        <v>1832633406.8916478</v>
      </c>
      <c r="AM85" s="379">
        <f>AM78</f>
        <v>2042.0663003695913</v>
      </c>
      <c r="AN85" s="393">
        <f t="shared" ref="AN85:AN87" si="87">AL85/AM85</f>
        <v>897440.69845330762</v>
      </c>
      <c r="AO85" s="116">
        <f>-'Income Statement'!AI73</f>
        <v>2156676207.9338012</v>
      </c>
      <c r="AP85" s="116">
        <f>AP78</f>
        <v>2246.2729304065506</v>
      </c>
      <c r="AQ85" s="117">
        <f t="shared" ref="AQ85:AQ87" si="88">AO85/AP85</f>
        <v>960113.16289310693</v>
      </c>
      <c r="AS85" s="313"/>
      <c r="AT85" s="313"/>
    </row>
    <row r="86" spans="3:46" x14ac:dyDescent="0.15">
      <c r="C86" s="331"/>
      <c r="D86" s="331"/>
      <c r="E86" s="331"/>
      <c r="F86" s="116"/>
      <c r="G86" s="116"/>
      <c r="H86" s="379"/>
      <c r="I86" s="379"/>
      <c r="J86" s="379"/>
      <c r="K86" s="116"/>
      <c r="L86" s="116"/>
      <c r="M86" s="116"/>
      <c r="N86" s="379"/>
      <c r="O86" s="379"/>
      <c r="P86" s="394"/>
      <c r="Q86" s="116"/>
      <c r="R86" s="116"/>
      <c r="S86" s="117"/>
      <c r="T86" s="379"/>
      <c r="U86" s="379"/>
      <c r="V86" s="393"/>
      <c r="W86" s="116"/>
      <c r="X86" s="116"/>
      <c r="Y86" s="117"/>
      <c r="Z86" s="379"/>
      <c r="AA86" s="379"/>
      <c r="AB86" s="393"/>
      <c r="AC86" s="116"/>
      <c r="AD86" s="116"/>
      <c r="AE86" s="117"/>
      <c r="AF86" s="379"/>
      <c r="AG86" s="379"/>
      <c r="AH86" s="393"/>
      <c r="AI86" s="116"/>
      <c r="AJ86" s="116"/>
      <c r="AK86" s="117"/>
      <c r="AL86" s="379"/>
      <c r="AM86" s="379"/>
      <c r="AN86" s="393"/>
      <c r="AO86" s="116"/>
      <c r="AP86" s="116"/>
      <c r="AQ86" s="117"/>
    </row>
    <row r="87" spans="3:46" ht="7.5" thickBot="1" x14ac:dyDescent="0.2">
      <c r="C87" s="333" t="s">
        <v>71</v>
      </c>
      <c r="D87" s="333"/>
      <c r="E87" s="333"/>
      <c r="F87" s="246">
        <f>F85</f>
        <v>952.63900000000001</v>
      </c>
      <c r="G87" s="246"/>
      <c r="H87" s="379">
        <f>K87+N87+Q87+T87+W87+Z87+AC87+AF87+AI87+AL87+AO87</f>
        <v>1316631191.9360437</v>
      </c>
      <c r="I87" s="379">
        <f>I85</f>
        <v>952.63900000000001</v>
      </c>
      <c r="J87" s="379">
        <f t="shared" ref="J87" si="89">M87+P87+S87+V87+Y87+AB87+AE87+AH87+AK87+AN87+AQ87</f>
        <v>819007.45677183371</v>
      </c>
      <c r="K87" s="246">
        <f>(SUM(K35:K83)/1000*2)</f>
        <v>0</v>
      </c>
      <c r="L87" s="246">
        <f>L85</f>
        <v>952.63900000000001</v>
      </c>
      <c r="M87" s="249">
        <f>K87/L87</f>
        <v>0</v>
      </c>
      <c r="N87" s="404">
        <f>(SUM(N35:N83)/1000*2)</f>
        <v>32944080.766675837</v>
      </c>
      <c r="O87" s="379">
        <f>O85</f>
        <v>952.63900000000001</v>
      </c>
      <c r="P87" s="394">
        <f t="shared" si="79"/>
        <v>34581.914835185038</v>
      </c>
      <c r="Q87" s="246">
        <f>(SUM(Q35:Q83)/1000*2)</f>
        <v>31760882.865824185</v>
      </c>
      <c r="R87" s="246">
        <f>R85</f>
        <v>1047.9029</v>
      </c>
      <c r="S87" s="117">
        <f t="shared" si="80"/>
        <v>30308.994149958155</v>
      </c>
      <c r="T87" s="404">
        <f>(SUM(T35:T83)/1000*2)</f>
        <v>59923422.758829743</v>
      </c>
      <c r="U87" s="379">
        <f>U85</f>
        <v>1152.6931900000002</v>
      </c>
      <c r="V87" s="393">
        <f t="shared" si="81"/>
        <v>51985.578884898016</v>
      </c>
      <c r="W87" s="246">
        <f>(SUM(W35:W83)/1000*2)</f>
        <v>103464656.15034837</v>
      </c>
      <c r="X87" s="246">
        <f>X85</f>
        <v>1267.9625090000004</v>
      </c>
      <c r="Y87" s="117">
        <f t="shared" si="82"/>
        <v>81599.144624510605</v>
      </c>
      <c r="Z87" s="404">
        <f>(SUM(Z35:Z83)/1000*2)</f>
        <v>142047371.84084171</v>
      </c>
      <c r="AA87" s="379">
        <f>AA85</f>
        <v>1394.7587599000005</v>
      </c>
      <c r="AB87" s="393">
        <f t="shared" si="83"/>
        <v>101843.68503340751</v>
      </c>
      <c r="AC87" s="246">
        <f>(SUM(AC35:AC83)/1000*2)</f>
        <v>187339773.33263221</v>
      </c>
      <c r="AD87" s="246">
        <f>AD85</f>
        <v>1534.2346358900006</v>
      </c>
      <c r="AE87" s="117">
        <f t="shared" si="84"/>
        <v>122106.33820292911</v>
      </c>
      <c r="AF87" s="404">
        <f>(SUM(AF35:AF83)/1000*2)</f>
        <v>239068211.65415239</v>
      </c>
      <c r="AG87" s="379">
        <f>AG85</f>
        <v>1687.6580994790008</v>
      </c>
      <c r="AH87" s="393">
        <f t="shared" si="85"/>
        <v>141656.77972804767</v>
      </c>
      <c r="AI87" s="246">
        <f>(SUM(AI35:AI83)/1000*2)</f>
        <v>169201706.54335296</v>
      </c>
      <c r="AJ87" s="246">
        <f>AJ85</f>
        <v>1856.423909426901</v>
      </c>
      <c r="AK87" s="117">
        <f t="shared" si="86"/>
        <v>91143.895359324175</v>
      </c>
      <c r="AL87" s="404">
        <f>(SUM(AL35:AL83)/1000*2)</f>
        <v>170160237.17631099</v>
      </c>
      <c r="AM87" s="379">
        <f>AM85</f>
        <v>2042.0663003695913</v>
      </c>
      <c r="AN87" s="393">
        <f t="shared" si="87"/>
        <v>83327.479203546856</v>
      </c>
      <c r="AO87" s="246">
        <f>(SUM(AO35:AO83)/1000*2)</f>
        <v>180720848.84707549</v>
      </c>
      <c r="AP87" s="246">
        <f>AP85</f>
        <v>2246.2729304065506</v>
      </c>
      <c r="AQ87" s="117">
        <f t="shared" si="88"/>
        <v>80453.646750026499</v>
      </c>
    </row>
    <row r="88" spans="3:46" ht="7.5" thickBot="1" x14ac:dyDescent="0.2">
      <c r="C88" s="335" t="s">
        <v>129</v>
      </c>
      <c r="D88" s="335"/>
      <c r="E88" s="335"/>
      <c r="F88" s="252"/>
      <c r="G88" s="252"/>
      <c r="H88" s="380">
        <f t="shared" ref="H88:AQ88" si="90">SUM(H26:H87)</f>
        <v>671338664428.6134</v>
      </c>
      <c r="I88" s="397"/>
      <c r="J88" s="380">
        <f t="shared" si="90"/>
        <v>417100138.66969651</v>
      </c>
      <c r="K88" s="252">
        <f t="shared" si="90"/>
        <v>55000000</v>
      </c>
      <c r="L88" s="252"/>
      <c r="M88" s="252">
        <f t="shared" si="90"/>
        <v>57734.356876004444</v>
      </c>
      <c r="N88" s="380">
        <f>SUM(N26:N87)</f>
        <v>16504984464.104595</v>
      </c>
      <c r="O88" s="380"/>
      <c r="P88" s="380">
        <f t="shared" si="90"/>
        <v>17325539.332427707</v>
      </c>
      <c r="Q88" s="252">
        <f t="shared" si="90"/>
        <v>15862125866.007301</v>
      </c>
      <c r="R88" s="252"/>
      <c r="S88" s="252">
        <f t="shared" si="90"/>
        <v>15137018.769589536</v>
      </c>
      <c r="T88" s="380">
        <f t="shared" si="90"/>
        <v>30265312014.582047</v>
      </c>
      <c r="U88" s="380"/>
      <c r="V88" s="380">
        <f t="shared" si="90"/>
        <v>26256173.17525927</v>
      </c>
      <c r="W88" s="252">
        <f t="shared" si="90"/>
        <v>52591530443.377541</v>
      </c>
      <c r="X88" s="252"/>
      <c r="Y88" s="252">
        <f t="shared" si="90"/>
        <v>41477196.738927819</v>
      </c>
      <c r="Z88" s="380">
        <f t="shared" si="90"/>
        <v>72194482226.780746</v>
      </c>
      <c r="AA88" s="380"/>
      <c r="AB88" s="380">
        <f t="shared" si="90"/>
        <v>51761268.186590828</v>
      </c>
      <c r="AC88" s="252">
        <f t="shared" si="90"/>
        <v>95163469213.082077</v>
      </c>
      <c r="AD88" s="252"/>
      <c r="AE88" s="252">
        <f t="shared" si="90"/>
        <v>62026672.444321588</v>
      </c>
      <c r="AF88" s="380">
        <f t="shared" si="90"/>
        <v>122656404689.69592</v>
      </c>
      <c r="AG88" s="380"/>
      <c r="AH88" s="380">
        <f t="shared" si="90"/>
        <v>72678467.710705936</v>
      </c>
      <c r="AI88" s="252">
        <f t="shared" si="90"/>
        <v>86264621798.441116</v>
      </c>
      <c r="AJ88" s="252"/>
      <c r="AK88" s="252">
        <f t="shared" si="90"/>
        <v>46468169.990911171</v>
      </c>
      <c r="AL88" s="380">
        <f t="shared" si="90"/>
        <v>87082912232.22345</v>
      </c>
      <c r="AM88" s="380"/>
      <c r="AN88" s="380">
        <f t="shared" si="90"/>
        <v>42644507.779430278</v>
      </c>
      <c r="AO88" s="252">
        <f>SUM(AO26:AO87)</f>
        <v>92697821480.318634</v>
      </c>
      <c r="AP88" s="252"/>
      <c r="AQ88" s="252">
        <f t="shared" si="90"/>
        <v>41267390.184656397</v>
      </c>
    </row>
    <row r="89" spans="3:46" x14ac:dyDescent="0.15">
      <c r="C89" s="338"/>
      <c r="D89" s="338"/>
      <c r="E89" s="338"/>
      <c r="F89" s="118"/>
      <c r="G89" s="118"/>
      <c r="H89" s="379"/>
      <c r="I89" s="379"/>
      <c r="J89" s="379"/>
      <c r="K89" s="119"/>
      <c r="L89" s="119"/>
      <c r="M89" s="119"/>
      <c r="N89" s="405"/>
      <c r="O89" s="379"/>
      <c r="P89" s="394"/>
      <c r="Q89" s="119"/>
      <c r="R89" s="119"/>
      <c r="S89" s="117"/>
      <c r="T89" s="405"/>
      <c r="U89" s="379"/>
      <c r="V89" s="405"/>
      <c r="W89" s="119"/>
      <c r="X89" s="119"/>
      <c r="Y89" s="117"/>
      <c r="Z89" s="405"/>
      <c r="AA89" s="379"/>
      <c r="AB89" s="393"/>
      <c r="AC89" s="119"/>
      <c r="AD89" s="119"/>
      <c r="AE89" s="117"/>
      <c r="AF89" s="405"/>
      <c r="AG89" s="379"/>
      <c r="AH89" s="405"/>
      <c r="AI89" s="119"/>
      <c r="AJ89" s="119"/>
      <c r="AK89" s="119"/>
      <c r="AL89" s="405"/>
      <c r="AM89" s="379"/>
      <c r="AN89" s="405"/>
      <c r="AO89" s="119"/>
      <c r="AP89" s="119"/>
      <c r="AQ89" s="117"/>
    </row>
    <row r="90" spans="3:46" ht="7.5" thickBot="1" x14ac:dyDescent="0.2">
      <c r="C90" s="333" t="s">
        <v>208</v>
      </c>
      <c r="D90" s="333"/>
      <c r="E90" s="333"/>
      <c r="F90" s="246">
        <f>F89</f>
        <v>0</v>
      </c>
      <c r="G90" s="246"/>
      <c r="H90" s="379">
        <f>K90+N90+Q90+T90+W90+Z90+AC90+AF90+AI90+AL90+AO90</f>
        <v>1587505797740.1528</v>
      </c>
      <c r="I90" s="379">
        <f>I87</f>
        <v>952.63900000000001</v>
      </c>
      <c r="J90" s="379">
        <f>M90+P90+S90+V90+Y90+AB90+AE90+AH90+AK90+AN90+AQ90</f>
        <v>847424000</v>
      </c>
      <c r="K90" s="246"/>
      <c r="L90" s="246">
        <f>L87</f>
        <v>952.63900000000001</v>
      </c>
      <c r="M90" s="249">
        <f>K90/L90</f>
        <v>0</v>
      </c>
      <c r="N90" s="404"/>
      <c r="O90" s="379">
        <f>O87</f>
        <v>952.63900000000001</v>
      </c>
      <c r="P90" s="394">
        <f t="shared" ref="P90" si="91">N90/O90</f>
        <v>0</v>
      </c>
      <c r="Q90" s="247"/>
      <c r="R90" s="246">
        <f>R87</f>
        <v>1047.9029</v>
      </c>
      <c r="S90" s="117">
        <f t="shared" ref="S90" si="92">Q90/R90</f>
        <v>0</v>
      </c>
      <c r="T90" s="404"/>
      <c r="U90" s="379">
        <f>U87</f>
        <v>1152.6931900000002</v>
      </c>
      <c r="V90" s="393">
        <f>T90/U90</f>
        <v>0</v>
      </c>
      <c r="W90" s="246"/>
      <c r="X90" s="246">
        <f>X87</f>
        <v>1267.9625090000004</v>
      </c>
      <c r="Y90" s="117">
        <f t="shared" ref="Y90" si="93">W90/X90</f>
        <v>0</v>
      </c>
      <c r="Z90" s="404"/>
      <c r="AA90" s="379">
        <f>AA87</f>
        <v>1394.7587599000005</v>
      </c>
      <c r="AB90" s="393">
        <f t="shared" ref="AB90" si="94">Z90/AA90</f>
        <v>0</v>
      </c>
      <c r="AC90" s="246">
        <f>'Facility Repayment Plan'!H30</f>
        <v>260029450416.88959</v>
      </c>
      <c r="AD90" s="246">
        <f>AD87</f>
        <v>1534.2346358900006</v>
      </c>
      <c r="AE90" s="117">
        <f t="shared" ref="AE90" si="95">AC90/AD90</f>
        <v>169484800</v>
      </c>
      <c r="AF90" s="404">
        <f>'Facility Repayment Plan'!I30</f>
        <v>286032395458.57855</v>
      </c>
      <c r="AG90" s="379">
        <f>AG87</f>
        <v>1687.6580994790008</v>
      </c>
      <c r="AH90" s="393">
        <f>AF90/AG90</f>
        <v>169484800</v>
      </c>
      <c r="AI90" s="246">
        <f>'Facility Repayment Plan'!J30</f>
        <v>314635635004.4364</v>
      </c>
      <c r="AJ90" s="246">
        <f>AJ87</f>
        <v>1856.423909426901</v>
      </c>
      <c r="AK90" s="117">
        <f>AI90/AJ90</f>
        <v>169484799.99999997</v>
      </c>
      <c r="AL90" s="404">
        <f>'Facility Repayment Plan'!K30</f>
        <v>346099198504.88013</v>
      </c>
      <c r="AM90" s="379">
        <f>AM87</f>
        <v>2042.0663003695913</v>
      </c>
      <c r="AN90" s="393">
        <f>AL90/AM90</f>
        <v>169484800</v>
      </c>
      <c r="AO90" s="246">
        <f>'Facility Repayment Plan'!L30</f>
        <v>380709118355.36816</v>
      </c>
      <c r="AP90" s="246">
        <f>AP87</f>
        <v>2246.2729304065506</v>
      </c>
      <c r="AQ90" s="117">
        <f t="shared" ref="AQ90" si="96">AO90/AP90</f>
        <v>169484800</v>
      </c>
    </row>
    <row r="91" spans="3:46" ht="7.5" thickBot="1" x14ac:dyDescent="0.2">
      <c r="C91" s="335" t="s">
        <v>130</v>
      </c>
      <c r="D91" s="335"/>
      <c r="E91" s="335"/>
      <c r="F91" s="252"/>
      <c r="G91" s="252"/>
      <c r="H91" s="380">
        <f t="shared" ref="H91:AQ91" si="97">H22-H88-H90-H89</f>
        <v>-219068998110.80469</v>
      </c>
      <c r="I91" s="397"/>
      <c r="J91" s="380" t="e">
        <f t="shared" si="97"/>
        <v>#DIV/0!</v>
      </c>
      <c r="K91" s="252">
        <f t="shared" si="97"/>
        <v>445000000</v>
      </c>
      <c r="L91" s="252"/>
      <c r="M91" s="252" t="e">
        <f t="shared" si="97"/>
        <v>#DIV/0!</v>
      </c>
      <c r="N91" s="380">
        <f t="shared" si="97"/>
        <v>14593225047.895405</v>
      </c>
      <c r="O91" s="380"/>
      <c r="P91" s="380" t="e">
        <f t="shared" si="97"/>
        <v>#DIV/0!</v>
      </c>
      <c r="Q91" s="252">
        <f t="shared" si="97"/>
        <v>63102839157.088097</v>
      </c>
      <c r="R91" s="252"/>
      <c r="S91" s="252" t="e">
        <f t="shared" si="97"/>
        <v>#DIV/0!</v>
      </c>
      <c r="T91" s="380">
        <f t="shared" si="97"/>
        <v>156625068397.36609</v>
      </c>
      <c r="U91" s="380"/>
      <c r="V91" s="380" t="e">
        <f t="shared" si="97"/>
        <v>#DIV/0!</v>
      </c>
      <c r="W91" s="252">
        <f t="shared" si="97"/>
        <v>277336095710.79254</v>
      </c>
      <c r="X91" s="252"/>
      <c r="Y91" s="252" t="e">
        <f t="shared" si="97"/>
        <v>#DIV/0!</v>
      </c>
      <c r="Z91" s="380">
        <f t="shared" si="97"/>
        <v>432601220539.81702</v>
      </c>
      <c r="AA91" s="380"/>
      <c r="AB91" s="380">
        <f t="shared" si="97"/>
        <v>310162038.75344938</v>
      </c>
      <c r="AC91" s="252">
        <f t="shared" si="97"/>
        <v>416240888318.44098</v>
      </c>
      <c r="AD91" s="252"/>
      <c r="AE91" s="252">
        <f t="shared" si="97"/>
        <v>271301975.96991545</v>
      </c>
      <c r="AF91" s="380">
        <f t="shared" si="97"/>
        <v>258326304949.19183</v>
      </c>
      <c r="AG91" s="380"/>
      <c r="AH91" s="380">
        <f t="shared" si="97"/>
        <v>153067914.06917083</v>
      </c>
      <c r="AI91" s="252">
        <f t="shared" si="97"/>
        <v>120738975764.29095</v>
      </c>
      <c r="AJ91" s="252"/>
      <c r="AK91" s="252">
        <f t="shared" si="97"/>
        <v>65038472.706141979</v>
      </c>
      <c r="AL91" s="380">
        <f t="shared" si="97"/>
        <v>-35964560973.937073</v>
      </c>
      <c r="AM91" s="380"/>
      <c r="AN91" s="380">
        <f t="shared" si="97"/>
        <v>-17611847.84618789</v>
      </c>
      <c r="AO91" s="252">
        <f t="shared" si="97"/>
        <v>-119068998110.8046</v>
      </c>
      <c r="AP91" s="252"/>
      <c r="AQ91" s="252">
        <f t="shared" si="97"/>
        <v>-53007360.102609798</v>
      </c>
    </row>
    <row r="92" spans="3:46" x14ac:dyDescent="0.15">
      <c r="C92" s="312"/>
      <c r="D92" s="312"/>
      <c r="E92" s="312"/>
      <c r="F92" s="346"/>
      <c r="G92" s="346"/>
      <c r="H92" s="346"/>
      <c r="J92" s="346"/>
      <c r="K92" s="346"/>
      <c r="L92" s="346"/>
      <c r="M92" s="346"/>
      <c r="O92" s="346"/>
      <c r="R92" s="346"/>
      <c r="U92" s="346"/>
      <c r="X92" s="346"/>
      <c r="AA92" s="346"/>
      <c r="AD92" s="346"/>
      <c r="AG92" s="346"/>
      <c r="AJ92" s="346"/>
      <c r="AM92" s="346"/>
      <c r="AP92" s="346"/>
    </row>
    <row r="93" spans="3:46" ht="7.5" thickBot="1" x14ac:dyDescent="0.2">
      <c r="C93" s="312"/>
      <c r="D93" s="312"/>
      <c r="E93" s="312"/>
      <c r="F93" s="346"/>
      <c r="G93" s="346"/>
      <c r="H93" s="346"/>
      <c r="J93" s="346"/>
      <c r="K93" s="346"/>
      <c r="L93" s="346"/>
      <c r="M93" s="346"/>
      <c r="O93" s="346"/>
      <c r="R93" s="346"/>
      <c r="U93" s="346"/>
      <c r="X93" s="346"/>
      <c r="AA93" s="346"/>
      <c r="AD93" s="346"/>
      <c r="AG93" s="346"/>
      <c r="AJ93" s="346"/>
      <c r="AM93" s="346"/>
      <c r="AP93" s="346"/>
    </row>
    <row r="94" spans="3:46" ht="14.5" thickBot="1" x14ac:dyDescent="0.2">
      <c r="C94" s="347" t="s">
        <v>131</v>
      </c>
      <c r="D94" s="348"/>
      <c r="E94" s="348"/>
      <c r="F94" s="349"/>
      <c r="G94" s="349"/>
      <c r="H94" s="350">
        <f>(H83+H89)/(H91+(H83+H89))</f>
        <v>0</v>
      </c>
      <c r="I94" s="350"/>
      <c r="J94" s="350" t="e">
        <f>(J83+J89)/(J91+(J83+J89))</f>
        <v>#DIV/0!</v>
      </c>
      <c r="K94" s="351"/>
      <c r="L94" s="351"/>
      <c r="M94" s="351"/>
      <c r="N94" s="350">
        <f>(N83+N89)/(N91-(N83-N89))</f>
        <v>0</v>
      </c>
      <c r="O94" s="350"/>
      <c r="P94" s="350" t="e">
        <f>(P83+P89)/(P91-(P83-P89))</f>
        <v>#DIV/0!</v>
      </c>
      <c r="Q94" s="350">
        <f t="shared" ref="Q94:AQ94" si="98">(Q83+Q89)/(Q91+(Q83+Q89))</f>
        <v>0</v>
      </c>
      <c r="R94" s="351"/>
      <c r="S94" s="350" t="e">
        <f t="shared" si="98"/>
        <v>#DIV/0!</v>
      </c>
      <c r="T94" s="350">
        <f t="shared" si="98"/>
        <v>0</v>
      </c>
      <c r="U94" s="350"/>
      <c r="V94" s="350" t="e">
        <f t="shared" si="98"/>
        <v>#DIV/0!</v>
      </c>
      <c r="W94" s="350">
        <f t="shared" si="98"/>
        <v>0</v>
      </c>
      <c r="X94" s="351"/>
      <c r="Y94" s="350" t="e">
        <f t="shared" si="98"/>
        <v>#DIV/0!</v>
      </c>
      <c r="Z94" s="350">
        <f t="shared" si="98"/>
        <v>0</v>
      </c>
      <c r="AA94" s="350"/>
      <c r="AB94" s="350">
        <f t="shared" si="98"/>
        <v>0</v>
      </c>
      <c r="AC94" s="350">
        <f t="shared" si="98"/>
        <v>0</v>
      </c>
      <c r="AD94" s="351"/>
      <c r="AE94" s="350">
        <f t="shared" si="98"/>
        <v>0</v>
      </c>
      <c r="AF94" s="350">
        <f t="shared" si="98"/>
        <v>0</v>
      </c>
      <c r="AG94" s="350"/>
      <c r="AH94" s="350">
        <f t="shared" si="98"/>
        <v>0</v>
      </c>
      <c r="AI94" s="350">
        <f t="shared" si="98"/>
        <v>0</v>
      </c>
      <c r="AJ94" s="351"/>
      <c r="AK94" s="350">
        <f t="shared" si="98"/>
        <v>0</v>
      </c>
      <c r="AL94" s="350">
        <f t="shared" si="98"/>
        <v>0</v>
      </c>
      <c r="AM94" s="350"/>
      <c r="AN94" s="350">
        <f t="shared" si="98"/>
        <v>0</v>
      </c>
      <c r="AO94" s="350">
        <f t="shared" si="98"/>
        <v>0</v>
      </c>
      <c r="AP94" s="351"/>
      <c r="AQ94" s="350">
        <f t="shared" si="98"/>
        <v>0</v>
      </c>
      <c r="AR94" s="352"/>
      <c r="AS94" s="352"/>
    </row>
    <row r="95" spans="3:46" x14ac:dyDescent="0.15">
      <c r="C95" s="353"/>
      <c r="D95" s="354"/>
      <c r="E95" s="354"/>
      <c r="F95" s="355"/>
      <c r="G95" s="355"/>
      <c r="H95" s="355"/>
      <c r="I95" s="356"/>
      <c r="J95" s="355"/>
      <c r="K95" s="355"/>
      <c r="L95" s="355"/>
      <c r="M95" s="355"/>
      <c r="N95" s="356"/>
      <c r="O95" s="355"/>
      <c r="P95" s="356"/>
      <c r="Q95" s="356"/>
      <c r="R95" s="355"/>
      <c r="S95" s="356"/>
      <c r="T95" s="357"/>
      <c r="U95" s="355"/>
      <c r="V95" s="357"/>
      <c r="W95" s="357"/>
      <c r="X95" s="355"/>
      <c r="Y95" s="357"/>
      <c r="Z95" s="357"/>
      <c r="AA95" s="355"/>
      <c r="AB95" s="357"/>
      <c r="AC95" s="357"/>
      <c r="AD95" s="355"/>
      <c r="AE95" s="357"/>
      <c r="AF95" s="357"/>
      <c r="AG95" s="355"/>
      <c r="AH95" s="357"/>
      <c r="AI95" s="357"/>
      <c r="AJ95" s="355"/>
      <c r="AK95" s="357"/>
      <c r="AL95" s="357"/>
      <c r="AM95" s="355"/>
      <c r="AN95" s="357"/>
      <c r="AO95" s="357"/>
      <c r="AP95" s="355"/>
      <c r="AQ95" s="357"/>
    </row>
    <row r="96" spans="3:46" x14ac:dyDescent="0.15">
      <c r="C96" s="358" t="s">
        <v>132</v>
      </c>
      <c r="D96" s="359"/>
      <c r="E96" s="359"/>
      <c r="F96" s="360"/>
      <c r="G96" s="360"/>
      <c r="H96" s="361">
        <f>H22-SUM(H26:H82)-H87</f>
        <v>1380088236898.0034</v>
      </c>
      <c r="I96" s="361"/>
      <c r="J96" s="361" t="e">
        <f>J22-SUM(J26:J82)-J87</f>
        <v>#DIV/0!</v>
      </c>
      <c r="K96" s="360"/>
      <c r="L96" s="360"/>
      <c r="M96" s="360"/>
      <c r="N96" s="361">
        <f t="shared" ref="N96:AQ96" si="99">N22-SUM(N26:N82)-N87</f>
        <v>14593225047.895405</v>
      </c>
      <c r="O96" s="361"/>
      <c r="P96" s="361" t="e">
        <f t="shared" si="99"/>
        <v>#DIV/0!</v>
      </c>
      <c r="Q96" s="361">
        <f t="shared" si="99"/>
        <v>63052762707.317482</v>
      </c>
      <c r="R96" s="360"/>
      <c r="S96" s="361" t="e">
        <f t="shared" si="99"/>
        <v>#DIV/0!</v>
      </c>
      <c r="T96" s="361">
        <f t="shared" si="99"/>
        <v>156868745609.77444</v>
      </c>
      <c r="U96" s="361"/>
      <c r="V96" s="361" t="e">
        <f t="shared" si="99"/>
        <v>#DIV/0!</v>
      </c>
      <c r="W96" s="361">
        <f t="shared" si="99"/>
        <v>278091833422.84558</v>
      </c>
      <c r="X96" s="360"/>
      <c r="Y96" s="361" t="e">
        <f t="shared" si="99"/>
        <v>#DIV/0!</v>
      </c>
      <c r="Z96" s="361">
        <f t="shared" si="99"/>
        <v>433629969474.33612</v>
      </c>
      <c r="AA96" s="361"/>
      <c r="AB96" s="361">
        <f t="shared" si="99"/>
        <v>310899620.73830307</v>
      </c>
      <c r="AC96" s="361">
        <f t="shared" si="99"/>
        <v>677576581508.76379</v>
      </c>
      <c r="AD96" s="360"/>
      <c r="AE96" s="361">
        <f t="shared" si="99"/>
        <v>441638172.97456956</v>
      </c>
      <c r="AF96" s="361">
        <f t="shared" si="99"/>
        <v>547241931058.73596</v>
      </c>
      <c r="AG96" s="361"/>
      <c r="AH96" s="361">
        <f t="shared" si="99"/>
        <v>324261135.13612485</v>
      </c>
      <c r="AI96" s="361">
        <f t="shared" si="99"/>
        <v>436869177588.94861</v>
      </c>
      <c r="AJ96" s="360"/>
      <c r="AK96" s="361">
        <f t="shared" si="99"/>
        <v>235328351.12203169</v>
      </c>
      <c r="AL96" s="361">
        <f t="shared" si="99"/>
        <v>311967270937.83466</v>
      </c>
      <c r="AM96" s="361"/>
      <c r="AN96" s="361">
        <f t="shared" si="99"/>
        <v>152770392.85226539</v>
      </c>
      <c r="AO96" s="361">
        <f t="shared" si="99"/>
        <v>263796796452.49738</v>
      </c>
      <c r="AP96" s="360"/>
      <c r="AQ96" s="361">
        <f t="shared" si="99"/>
        <v>117437553.0602833</v>
      </c>
      <c r="AR96" s="313"/>
    </row>
    <row r="97" spans="1:65" ht="7.5" thickBot="1" x14ac:dyDescent="0.2">
      <c r="C97" s="362" t="s">
        <v>133</v>
      </c>
      <c r="D97" s="363"/>
      <c r="E97" s="363"/>
      <c r="F97" s="364"/>
      <c r="G97" s="364"/>
      <c r="H97" s="365">
        <f>H83+H89</f>
        <v>0</v>
      </c>
      <c r="I97" s="365"/>
      <c r="J97" s="365">
        <f>J83+J89</f>
        <v>0</v>
      </c>
      <c r="K97" s="364"/>
      <c r="L97" s="364"/>
      <c r="M97" s="364"/>
      <c r="N97" s="365">
        <f t="shared" ref="N97:AQ97" si="100">N83+N89</f>
        <v>0</v>
      </c>
      <c r="O97" s="365"/>
      <c r="P97" s="365">
        <f t="shared" si="100"/>
        <v>0</v>
      </c>
      <c r="Q97" s="365">
        <f t="shared" si="100"/>
        <v>0</v>
      </c>
      <c r="R97" s="364"/>
      <c r="S97" s="365">
        <f t="shared" si="100"/>
        <v>0</v>
      </c>
      <c r="T97" s="365">
        <f t="shared" si="100"/>
        <v>0</v>
      </c>
      <c r="U97" s="365"/>
      <c r="V97" s="365">
        <f t="shared" si="100"/>
        <v>0</v>
      </c>
      <c r="W97" s="365">
        <f t="shared" si="100"/>
        <v>0</v>
      </c>
      <c r="X97" s="364"/>
      <c r="Y97" s="365">
        <f t="shared" si="100"/>
        <v>0</v>
      </c>
      <c r="Z97" s="365">
        <f t="shared" si="100"/>
        <v>0</v>
      </c>
      <c r="AA97" s="365"/>
      <c r="AB97" s="365">
        <f t="shared" si="100"/>
        <v>0</v>
      </c>
      <c r="AC97" s="365">
        <f t="shared" si="100"/>
        <v>0</v>
      </c>
      <c r="AD97" s="364"/>
      <c r="AE97" s="365">
        <f t="shared" si="100"/>
        <v>0</v>
      </c>
      <c r="AF97" s="365">
        <f t="shared" si="100"/>
        <v>0</v>
      </c>
      <c r="AG97" s="365"/>
      <c r="AH97" s="365">
        <f t="shared" si="100"/>
        <v>0</v>
      </c>
      <c r="AI97" s="365">
        <f t="shared" si="100"/>
        <v>0</v>
      </c>
      <c r="AJ97" s="364"/>
      <c r="AK97" s="365">
        <f t="shared" si="100"/>
        <v>0</v>
      </c>
      <c r="AL97" s="365">
        <f t="shared" si="100"/>
        <v>0</v>
      </c>
      <c r="AM97" s="365"/>
      <c r="AN97" s="365">
        <f t="shared" si="100"/>
        <v>0</v>
      </c>
      <c r="AO97" s="365">
        <f t="shared" si="100"/>
        <v>0</v>
      </c>
      <c r="AP97" s="364"/>
      <c r="AQ97" s="365">
        <f t="shared" si="100"/>
        <v>0</v>
      </c>
      <c r="AR97" s="313"/>
    </row>
    <row r="98" spans="1:65" ht="14.5" thickBot="1" x14ac:dyDescent="0.2">
      <c r="C98" s="366" t="s">
        <v>131</v>
      </c>
      <c r="D98" s="367"/>
      <c r="E98" s="367"/>
      <c r="F98" s="368"/>
      <c r="G98" s="368"/>
      <c r="H98" s="369">
        <f>H97/H96</f>
        <v>0</v>
      </c>
      <c r="I98" s="369"/>
      <c r="J98" s="369" t="e">
        <f>J97/J96</f>
        <v>#DIV/0!</v>
      </c>
      <c r="K98" s="368"/>
      <c r="L98" s="368"/>
      <c r="M98" s="368"/>
      <c r="N98" s="370">
        <f>N97/N96</f>
        <v>0</v>
      </c>
      <c r="O98" s="369"/>
      <c r="P98" s="370" t="e">
        <f>P97/P96</f>
        <v>#DIV/0!</v>
      </c>
      <c r="Q98" s="370">
        <f>Q97/Q96</f>
        <v>0</v>
      </c>
      <c r="R98" s="368"/>
      <c r="S98" s="370" t="e">
        <f t="shared" ref="S98:AQ98" si="101">S97/S96</f>
        <v>#DIV/0!</v>
      </c>
      <c r="T98" s="370">
        <f t="shared" si="101"/>
        <v>0</v>
      </c>
      <c r="U98" s="369"/>
      <c r="V98" s="370" t="e">
        <f t="shared" si="101"/>
        <v>#DIV/0!</v>
      </c>
      <c r="W98" s="370">
        <f t="shared" si="101"/>
        <v>0</v>
      </c>
      <c r="X98" s="368"/>
      <c r="Y98" s="370" t="e">
        <f t="shared" si="101"/>
        <v>#DIV/0!</v>
      </c>
      <c r="Z98" s="370">
        <f t="shared" si="101"/>
        <v>0</v>
      </c>
      <c r="AA98" s="369"/>
      <c r="AB98" s="370">
        <f t="shared" si="101"/>
        <v>0</v>
      </c>
      <c r="AC98" s="370">
        <f t="shared" si="101"/>
        <v>0</v>
      </c>
      <c r="AD98" s="368"/>
      <c r="AE98" s="370">
        <f t="shared" si="101"/>
        <v>0</v>
      </c>
      <c r="AF98" s="370">
        <f t="shared" si="101"/>
        <v>0</v>
      </c>
      <c r="AG98" s="369"/>
      <c r="AH98" s="370">
        <f t="shared" si="101"/>
        <v>0</v>
      </c>
      <c r="AI98" s="370">
        <f t="shared" si="101"/>
        <v>0</v>
      </c>
      <c r="AJ98" s="368"/>
      <c r="AK98" s="370">
        <f t="shared" si="101"/>
        <v>0</v>
      </c>
      <c r="AL98" s="370">
        <f t="shared" si="101"/>
        <v>0</v>
      </c>
      <c r="AM98" s="369"/>
      <c r="AN98" s="370">
        <f t="shared" si="101"/>
        <v>0</v>
      </c>
      <c r="AO98" s="370">
        <f t="shared" si="101"/>
        <v>0</v>
      </c>
      <c r="AP98" s="368"/>
      <c r="AQ98" s="370">
        <f t="shared" si="101"/>
        <v>0</v>
      </c>
      <c r="AR98" s="352"/>
      <c r="AS98" s="352"/>
      <c r="AT98" s="352"/>
      <c r="AU98" s="352"/>
      <c r="AV98" s="352"/>
      <c r="AW98" s="352"/>
      <c r="AX98" s="352"/>
      <c r="AY98" s="352"/>
      <c r="AZ98" s="352"/>
      <c r="BA98" s="352"/>
      <c r="BB98" s="352"/>
      <c r="BC98" s="352"/>
      <c r="BD98" s="352"/>
      <c r="BE98" s="352"/>
      <c r="BF98" s="352"/>
      <c r="BG98" s="352"/>
      <c r="BH98" s="352"/>
      <c r="BI98" s="352"/>
      <c r="BJ98" s="352"/>
      <c r="BK98" s="352"/>
      <c r="BL98" s="352"/>
      <c r="BM98" s="352"/>
    </row>
    <row r="99" spans="1:65" x14ac:dyDescent="0.15">
      <c r="C99" s="312"/>
      <c r="D99" s="312"/>
      <c r="E99" s="312"/>
      <c r="F99" s="346"/>
      <c r="G99" s="346"/>
      <c r="H99" s="346"/>
      <c r="J99" s="346"/>
      <c r="K99" s="346"/>
      <c r="L99" s="346"/>
      <c r="M99" s="346"/>
      <c r="O99" s="346"/>
      <c r="R99" s="346"/>
      <c r="U99" s="346"/>
      <c r="X99" s="346"/>
      <c r="AA99" s="346"/>
      <c r="AD99" s="346"/>
      <c r="AG99" s="346"/>
      <c r="AJ99" s="346"/>
      <c r="AM99" s="346"/>
      <c r="AP99" s="346"/>
    </row>
    <row r="100" spans="1:65" x14ac:dyDescent="0.15">
      <c r="C100" s="312"/>
      <c r="D100" s="312"/>
      <c r="E100" s="312"/>
      <c r="F100" s="346"/>
      <c r="G100" s="346"/>
      <c r="H100" s="346"/>
      <c r="J100" s="346"/>
      <c r="K100" s="346"/>
      <c r="L100" s="346"/>
      <c r="M100" s="346"/>
      <c r="O100" s="346"/>
      <c r="R100" s="346"/>
      <c r="U100" s="346"/>
      <c r="X100" s="346"/>
      <c r="AA100" s="346"/>
      <c r="AD100" s="346"/>
      <c r="AG100" s="346"/>
      <c r="AJ100" s="346"/>
      <c r="AM100" s="346"/>
      <c r="AP100" s="346"/>
    </row>
    <row r="101" spans="1:65" x14ac:dyDescent="0.15">
      <c r="C101" s="312"/>
      <c r="D101" s="312"/>
      <c r="E101" s="312"/>
      <c r="F101" s="346"/>
      <c r="G101" s="346"/>
      <c r="H101" s="346"/>
      <c r="J101" s="346"/>
      <c r="K101" s="346"/>
      <c r="L101" s="346"/>
      <c r="M101" s="346"/>
      <c r="O101" s="346"/>
      <c r="R101" s="346"/>
      <c r="U101" s="346"/>
      <c r="X101" s="346"/>
      <c r="AA101" s="346"/>
      <c r="AD101" s="346"/>
      <c r="AG101" s="346"/>
      <c r="AJ101" s="346"/>
      <c r="AM101" s="346"/>
      <c r="AP101" s="346"/>
    </row>
    <row r="102" spans="1:65" x14ac:dyDescent="0.15">
      <c r="C102" s="312"/>
      <c r="D102" s="312"/>
      <c r="E102" s="312"/>
      <c r="F102" s="346"/>
      <c r="G102" s="346"/>
      <c r="H102" s="346"/>
      <c r="J102" s="346"/>
      <c r="K102" s="346"/>
      <c r="L102" s="346"/>
      <c r="M102" s="346"/>
      <c r="O102" s="346"/>
      <c r="R102" s="346"/>
      <c r="U102" s="346"/>
      <c r="X102" s="346"/>
      <c r="AA102" s="346"/>
      <c r="AD102" s="346"/>
      <c r="AG102" s="346"/>
      <c r="AJ102" s="346"/>
      <c r="AM102" s="346"/>
      <c r="AP102" s="346"/>
    </row>
    <row r="103" spans="1:65" x14ac:dyDescent="0.15">
      <c r="C103" s="312"/>
      <c r="D103" s="312"/>
      <c r="E103" s="312"/>
      <c r="F103" s="346"/>
      <c r="G103" s="346"/>
      <c r="H103" s="346"/>
      <c r="J103" s="346"/>
      <c r="K103" s="346"/>
      <c r="L103" s="346"/>
      <c r="M103" s="346"/>
      <c r="O103" s="346"/>
      <c r="R103" s="346"/>
      <c r="U103" s="346"/>
      <c r="X103" s="346"/>
      <c r="AA103" s="346"/>
      <c r="AD103" s="346"/>
      <c r="AG103" s="346"/>
      <c r="AJ103" s="346"/>
      <c r="AM103" s="346"/>
      <c r="AP103" s="346"/>
    </row>
    <row r="104" spans="1:65" x14ac:dyDescent="0.15">
      <c r="C104" s="312"/>
      <c r="D104" s="312"/>
      <c r="E104" s="312"/>
      <c r="F104" s="346"/>
      <c r="G104" s="346"/>
      <c r="H104" s="346"/>
      <c r="J104" s="346"/>
      <c r="K104" s="346"/>
      <c r="L104" s="346"/>
      <c r="M104" s="346"/>
      <c r="O104" s="346"/>
      <c r="R104" s="346"/>
      <c r="U104" s="346"/>
      <c r="X104" s="346"/>
      <c r="AA104" s="346"/>
      <c r="AD104" s="346"/>
      <c r="AG104" s="346"/>
      <c r="AJ104" s="346"/>
      <c r="AM104" s="346"/>
      <c r="AP104" s="346"/>
    </row>
    <row r="105" spans="1:65" x14ac:dyDescent="0.15">
      <c r="C105" s="312"/>
      <c r="D105" s="312"/>
      <c r="E105" s="312"/>
      <c r="F105" s="346"/>
      <c r="G105" s="346"/>
      <c r="H105" s="346"/>
      <c r="J105" s="346"/>
      <c r="K105" s="346"/>
      <c r="L105" s="346"/>
      <c r="M105" s="346"/>
      <c r="O105" s="346"/>
      <c r="R105" s="346"/>
      <c r="U105" s="346"/>
      <c r="X105" s="346"/>
      <c r="AA105" s="346"/>
      <c r="AD105" s="346"/>
      <c r="AG105" s="346"/>
      <c r="AJ105" s="346"/>
      <c r="AM105" s="346"/>
      <c r="AP105" s="346"/>
    </row>
    <row r="106" spans="1:65" x14ac:dyDescent="0.15">
      <c r="C106" s="312"/>
      <c r="D106" s="312"/>
      <c r="E106" s="312"/>
      <c r="F106" s="346"/>
      <c r="G106" s="346"/>
      <c r="H106" s="346"/>
      <c r="J106" s="346"/>
      <c r="K106" s="346"/>
      <c r="L106" s="346"/>
      <c r="M106" s="346"/>
      <c r="O106" s="346"/>
      <c r="R106" s="346"/>
      <c r="U106" s="346"/>
      <c r="X106" s="346"/>
      <c r="AA106" s="346"/>
      <c r="AD106" s="346"/>
      <c r="AG106" s="346"/>
      <c r="AJ106" s="346"/>
      <c r="AM106" s="346"/>
      <c r="AP106" s="346"/>
    </row>
    <row r="107" spans="1:65" x14ac:dyDescent="0.15">
      <c r="C107" s="312"/>
      <c r="D107" s="312"/>
      <c r="E107" s="312"/>
      <c r="F107" s="346"/>
      <c r="G107" s="346"/>
      <c r="H107" s="346"/>
      <c r="J107" s="346"/>
      <c r="K107" s="346"/>
      <c r="L107" s="346"/>
      <c r="M107" s="346"/>
      <c r="O107" s="346"/>
      <c r="R107" s="346"/>
      <c r="U107" s="346"/>
      <c r="X107" s="346"/>
      <c r="AA107" s="346"/>
      <c r="AD107" s="346"/>
      <c r="AG107" s="346"/>
      <c r="AJ107" s="346"/>
      <c r="AM107" s="346"/>
      <c r="AP107" s="346"/>
    </row>
    <row r="108" spans="1:65" x14ac:dyDescent="0.15">
      <c r="C108" s="312"/>
      <c r="D108" s="312"/>
      <c r="E108" s="312"/>
      <c r="F108" s="346"/>
      <c r="G108" s="346"/>
      <c r="H108" s="346"/>
      <c r="J108" s="346"/>
      <c r="K108" s="346"/>
      <c r="L108" s="346"/>
      <c r="M108" s="346"/>
      <c r="O108" s="346"/>
      <c r="R108" s="346"/>
      <c r="U108" s="346"/>
      <c r="X108" s="346"/>
      <c r="AA108" s="346"/>
      <c r="AD108" s="346"/>
      <c r="AG108" s="346"/>
      <c r="AJ108" s="346"/>
      <c r="AM108" s="346"/>
      <c r="AP108" s="346"/>
    </row>
    <row r="109" spans="1:65" x14ac:dyDescent="0.15">
      <c r="C109" s="312"/>
      <c r="D109" s="312"/>
      <c r="E109" s="312"/>
      <c r="F109" s="346"/>
      <c r="G109" s="346"/>
      <c r="H109" s="346"/>
      <c r="J109" s="346"/>
      <c r="K109" s="346"/>
      <c r="L109" s="346"/>
      <c r="M109" s="346"/>
      <c r="O109" s="346"/>
      <c r="R109" s="346"/>
      <c r="U109" s="346"/>
      <c r="X109" s="346"/>
      <c r="AA109" s="346"/>
      <c r="AD109" s="346"/>
      <c r="AG109" s="346"/>
      <c r="AJ109" s="346"/>
      <c r="AM109" s="346"/>
      <c r="AP109" s="346"/>
    </row>
    <row r="110" spans="1:65" x14ac:dyDescent="0.15">
      <c r="A110" s="594"/>
      <c r="B110" s="594"/>
      <c r="C110" s="594"/>
      <c r="D110" s="594"/>
      <c r="E110" s="594"/>
      <c r="F110" s="594"/>
      <c r="G110" s="594"/>
      <c r="H110" s="594"/>
      <c r="I110" s="594"/>
      <c r="J110" s="594"/>
      <c r="K110" s="594"/>
      <c r="L110" s="594"/>
      <c r="M110" s="594"/>
      <c r="N110" s="594"/>
      <c r="O110" s="594"/>
      <c r="P110" s="594"/>
      <c r="Q110" s="594"/>
      <c r="R110" s="594"/>
      <c r="S110" s="594"/>
      <c r="U110" s="224"/>
      <c r="X110" s="224"/>
      <c r="AA110" s="224"/>
      <c r="AD110" s="224"/>
      <c r="AG110" s="224"/>
      <c r="AJ110" s="224"/>
      <c r="AM110" s="224"/>
      <c r="AP110" s="224"/>
    </row>
    <row r="111" spans="1:65" x14ac:dyDescent="0.15">
      <c r="C111" s="312"/>
      <c r="D111" s="312"/>
      <c r="E111" s="312"/>
      <c r="F111" s="346"/>
      <c r="G111" s="346"/>
      <c r="H111" s="346"/>
      <c r="J111" s="346"/>
      <c r="K111" s="346"/>
      <c r="L111" s="346"/>
      <c r="M111" s="346"/>
      <c r="O111" s="346"/>
      <c r="R111" s="346"/>
      <c r="U111" s="346"/>
      <c r="X111" s="346"/>
      <c r="AA111" s="346"/>
      <c r="AD111" s="346"/>
      <c r="AG111" s="346"/>
      <c r="AJ111" s="346"/>
      <c r="AM111" s="346"/>
      <c r="AP111" s="346"/>
    </row>
    <row r="113" spans="3:42" x14ac:dyDescent="0.15">
      <c r="C113" s="312"/>
      <c r="D113" s="312"/>
      <c r="E113" s="312"/>
      <c r="F113" s="346"/>
      <c r="G113" s="346"/>
      <c r="H113" s="346"/>
      <c r="J113" s="346"/>
      <c r="K113" s="346"/>
      <c r="L113" s="346"/>
      <c r="M113" s="346"/>
      <c r="O113" s="346"/>
      <c r="R113" s="346"/>
      <c r="U113" s="346"/>
      <c r="X113" s="346"/>
      <c r="AA113" s="346"/>
      <c r="AD113" s="346"/>
      <c r="AG113" s="346"/>
      <c r="AJ113" s="346"/>
      <c r="AM113" s="346"/>
      <c r="AP113" s="346"/>
    </row>
    <row r="122" spans="3:42" x14ac:dyDescent="0.15">
      <c r="W122" s="372"/>
      <c r="Y122" s="372"/>
    </row>
    <row r="128" spans="3:42" x14ac:dyDescent="0.15">
      <c r="T128" s="373"/>
    </row>
    <row r="140" spans="22:22" x14ac:dyDescent="0.15">
      <c r="V140" s="373"/>
    </row>
    <row r="141" spans="22:22" x14ac:dyDescent="0.15">
      <c r="V141" s="373"/>
    </row>
    <row r="158" spans="20:23" x14ac:dyDescent="0.15">
      <c r="T158" s="266"/>
      <c r="V158" s="266"/>
      <c r="W158" s="266"/>
    </row>
    <row r="252" spans="23:29" x14ac:dyDescent="0.15">
      <c r="Y252" s="374"/>
      <c r="AC252" s="374"/>
    </row>
    <row r="253" spans="23:29" x14ac:dyDescent="0.15">
      <c r="W253" s="374"/>
      <c r="Z253" s="374"/>
      <c r="AB253" s="372"/>
    </row>
    <row r="286" spans="20:20" x14ac:dyDescent="0.15">
      <c r="T286" s="373"/>
    </row>
    <row r="320" spans="23:26" x14ac:dyDescent="0.15">
      <c r="W320" s="374"/>
      <c r="Y320" s="374"/>
      <c r="Z320" s="374"/>
    </row>
    <row r="415" spans="3:42" x14ac:dyDescent="0.15">
      <c r="C415" s="312"/>
      <c r="D415" s="312"/>
      <c r="E415" s="312"/>
      <c r="F415" s="346"/>
      <c r="G415" s="346"/>
      <c r="H415" s="346"/>
      <c r="J415" s="346"/>
      <c r="K415" s="346"/>
      <c r="L415" s="346"/>
      <c r="M415" s="346"/>
      <c r="O415" s="346"/>
      <c r="R415" s="346"/>
      <c r="U415" s="346"/>
      <c r="X415" s="346"/>
      <c r="AA415" s="346"/>
      <c r="AD415" s="346"/>
      <c r="AG415" s="346"/>
      <c r="AJ415" s="346"/>
      <c r="AM415" s="346"/>
      <c r="AP415" s="346"/>
    </row>
  </sheetData>
  <mergeCells count="25">
    <mergeCell ref="Z5:AB5"/>
    <mergeCell ref="K5:M5"/>
    <mergeCell ref="N5:P5"/>
    <mergeCell ref="Q5:S5"/>
    <mergeCell ref="T5:V5"/>
    <mergeCell ref="W5:Y5"/>
    <mergeCell ref="AC5:AE5"/>
    <mergeCell ref="AF5:AH5"/>
    <mergeCell ref="AI5:AK5"/>
    <mergeCell ref="AL5:AN5"/>
    <mergeCell ref="AO5:AQ5"/>
    <mergeCell ref="AL6:AN6"/>
    <mergeCell ref="AO6:AQ6"/>
    <mergeCell ref="A110:S110"/>
    <mergeCell ref="T6:V6"/>
    <mergeCell ref="W6:Y6"/>
    <mergeCell ref="Z6:AB6"/>
    <mergeCell ref="AC6:AE6"/>
    <mergeCell ref="AF6:AH6"/>
    <mergeCell ref="AI6:AK6"/>
    <mergeCell ref="F6:F7"/>
    <mergeCell ref="H6:J6"/>
    <mergeCell ref="K6:M6"/>
    <mergeCell ref="N6:P6"/>
    <mergeCell ref="Q6:S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zoomScale="80" zoomScaleNormal="80" workbookViewId="0">
      <selection activeCell="C8" sqref="C8"/>
    </sheetView>
  </sheetViews>
  <sheetFormatPr defaultRowHeight="11.5" x14ac:dyDescent="0.25"/>
  <cols>
    <col min="1" max="2" width="8.7265625" style="19"/>
    <col min="3" max="11" width="6.54296875" style="19" bestFit="1" customWidth="1"/>
    <col min="12" max="12" width="7.36328125" style="19" bestFit="1" customWidth="1"/>
    <col min="13" max="13" width="6.453125" style="19" bestFit="1" customWidth="1"/>
    <col min="14" max="16384" width="8.7265625" style="19"/>
  </cols>
  <sheetData>
    <row r="2" spans="2:13" x14ac:dyDescent="0.25">
      <c r="B2" s="26" t="s">
        <v>141</v>
      </c>
    </row>
    <row r="4" spans="2:13" ht="12" thickBot="1" x14ac:dyDescent="0.3"/>
    <row r="5" spans="2:13" s="121" customFormat="1" ht="12" thickBot="1" x14ac:dyDescent="0.4">
      <c r="B5" s="132" t="s">
        <v>11</v>
      </c>
      <c r="C5" s="128" t="s">
        <v>2</v>
      </c>
      <c r="D5" s="126" t="s">
        <v>3</v>
      </c>
      <c r="E5" s="126" t="s">
        <v>4</v>
      </c>
      <c r="F5" s="126" t="s">
        <v>5</v>
      </c>
      <c r="G5" s="126" t="s">
        <v>6</v>
      </c>
      <c r="H5" s="126" t="s">
        <v>104</v>
      </c>
      <c r="I5" s="126" t="s">
        <v>105</v>
      </c>
      <c r="J5" s="126" t="s">
        <v>106</v>
      </c>
      <c r="K5" s="126" t="s">
        <v>107</v>
      </c>
      <c r="L5" s="140" t="s">
        <v>108</v>
      </c>
      <c r="M5" s="132" t="s">
        <v>0</v>
      </c>
    </row>
    <row r="6" spans="2:13" s="26" customFormat="1" ht="12" thickBot="1" x14ac:dyDescent="0.3">
      <c r="B6" s="133"/>
      <c r="C6" s="129" t="s">
        <v>36</v>
      </c>
      <c r="D6" s="127" t="s">
        <v>36</v>
      </c>
      <c r="E6" s="127" t="s">
        <v>36</v>
      </c>
      <c r="F6" s="127" t="s">
        <v>36</v>
      </c>
      <c r="G6" s="127" t="s">
        <v>36</v>
      </c>
      <c r="H6" s="127" t="s">
        <v>36</v>
      </c>
      <c r="I6" s="127" t="s">
        <v>36</v>
      </c>
      <c r="J6" s="127" t="s">
        <v>36</v>
      </c>
      <c r="K6" s="127" t="s">
        <v>36</v>
      </c>
      <c r="L6" s="141" t="s">
        <v>36</v>
      </c>
      <c r="M6" s="138" t="s">
        <v>36</v>
      </c>
    </row>
    <row r="7" spans="2:13" x14ac:dyDescent="0.25">
      <c r="B7" s="134" t="s">
        <v>114</v>
      </c>
      <c r="C7" s="130"/>
      <c r="D7" s="123">
        <f>C10</f>
        <v>2000</v>
      </c>
      <c r="E7" s="123">
        <f t="shared" ref="E7:L7" si="0">D10</f>
        <v>4000</v>
      </c>
      <c r="F7" s="123">
        <f t="shared" si="0"/>
        <v>6000</v>
      </c>
      <c r="G7" s="123">
        <f t="shared" si="0"/>
        <v>8000</v>
      </c>
      <c r="H7" s="123">
        <f t="shared" si="0"/>
        <v>10000</v>
      </c>
      <c r="I7" s="123">
        <f t="shared" si="0"/>
        <v>10000</v>
      </c>
      <c r="J7" s="123">
        <f t="shared" si="0"/>
        <v>10000</v>
      </c>
      <c r="K7" s="123">
        <f t="shared" si="0"/>
        <v>10000</v>
      </c>
      <c r="L7" s="142">
        <f t="shared" si="0"/>
        <v>10000</v>
      </c>
      <c r="M7" s="143">
        <f>C7</f>
        <v>0</v>
      </c>
    </row>
    <row r="8" spans="2:13" x14ac:dyDescent="0.25">
      <c r="B8" s="135" t="s">
        <v>111</v>
      </c>
      <c r="C8" s="131">
        <f>'Facility Repayment Plan'!C13</f>
        <v>2000</v>
      </c>
      <c r="D8" s="21">
        <f>'Facility Repayment Plan'!H13</f>
        <v>2000</v>
      </c>
      <c r="E8" s="21">
        <f>'Facility Repayment Plan'!M13</f>
        <v>2000</v>
      </c>
      <c r="F8" s="21">
        <f>'Facility Repayment Plan'!R13</f>
        <v>2000</v>
      </c>
      <c r="G8" s="21">
        <f>'Facility Repayment Plan'!W13</f>
        <v>2000</v>
      </c>
      <c r="H8" s="21">
        <f>'Facility Repayment Plan'!AB13</f>
        <v>0</v>
      </c>
      <c r="I8" s="21">
        <f>'Facility Repayment Plan'!AG13</f>
        <v>0</v>
      </c>
      <c r="J8" s="21">
        <f>'Facility Repayment Plan'!AL13</f>
        <v>0</v>
      </c>
      <c r="K8" s="21">
        <f>'Facility Repayment Plan'!AQ13</f>
        <v>0</v>
      </c>
      <c r="L8" s="27">
        <f>'Facility Repayment Plan'!AV13</f>
        <v>0</v>
      </c>
      <c r="M8" s="144">
        <f>SUM(C8:L8)</f>
        <v>10000</v>
      </c>
    </row>
    <row r="9" spans="2:13" ht="12" thickBot="1" x14ac:dyDescent="0.3">
      <c r="B9" s="148" t="s">
        <v>138</v>
      </c>
      <c r="C9" s="149"/>
      <c r="D9" s="150"/>
      <c r="E9" s="150"/>
      <c r="F9" s="150"/>
      <c r="G9" s="150"/>
      <c r="H9" s="150"/>
      <c r="I9" s="150"/>
      <c r="J9" s="150"/>
      <c r="K9" s="150"/>
      <c r="L9" s="151"/>
      <c r="M9" s="152">
        <f>SUM(C9:L9)</f>
        <v>0</v>
      </c>
    </row>
    <row r="10" spans="2:13" ht="12" thickBot="1" x14ac:dyDescent="0.3">
      <c r="B10" s="153" t="s">
        <v>139</v>
      </c>
      <c r="C10" s="154">
        <f>C7+C8-C9</f>
        <v>2000</v>
      </c>
      <c r="D10" s="155">
        <f t="shared" ref="D10:L10" si="1">D7+D8-D9</f>
        <v>4000</v>
      </c>
      <c r="E10" s="155">
        <f t="shared" si="1"/>
        <v>6000</v>
      </c>
      <c r="F10" s="155">
        <f t="shared" si="1"/>
        <v>8000</v>
      </c>
      <c r="G10" s="155">
        <f t="shared" si="1"/>
        <v>10000</v>
      </c>
      <c r="H10" s="155">
        <f t="shared" si="1"/>
        <v>10000</v>
      </c>
      <c r="I10" s="155">
        <f t="shared" si="1"/>
        <v>10000</v>
      </c>
      <c r="J10" s="155">
        <f t="shared" si="1"/>
        <v>10000</v>
      </c>
      <c r="K10" s="155">
        <f t="shared" si="1"/>
        <v>10000</v>
      </c>
      <c r="L10" s="156">
        <f t="shared" si="1"/>
        <v>10000</v>
      </c>
      <c r="M10" s="157">
        <f>L10</f>
        <v>10000</v>
      </c>
    </row>
    <row r="11" spans="2:13" x14ac:dyDescent="0.25"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2:13" x14ac:dyDescent="0.25"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2:13" ht="12" thickBot="1" x14ac:dyDescent="0.3"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2:13" s="122" customFormat="1" ht="12" thickBot="1" x14ac:dyDescent="0.3">
      <c r="B14" s="138" t="s">
        <v>12</v>
      </c>
      <c r="C14" s="136" t="s">
        <v>2</v>
      </c>
      <c r="D14" s="125" t="s">
        <v>3</v>
      </c>
      <c r="E14" s="125" t="s">
        <v>4</v>
      </c>
      <c r="F14" s="125" t="s">
        <v>5</v>
      </c>
      <c r="G14" s="125" t="s">
        <v>6</v>
      </c>
      <c r="H14" s="125" t="s">
        <v>104</v>
      </c>
      <c r="I14" s="125" t="s">
        <v>105</v>
      </c>
      <c r="J14" s="125" t="s">
        <v>106</v>
      </c>
      <c r="K14" s="125" t="s">
        <v>107</v>
      </c>
      <c r="L14" s="145" t="s">
        <v>108</v>
      </c>
      <c r="M14" s="147" t="s">
        <v>0</v>
      </c>
    </row>
    <row r="15" spans="2:13" s="122" customFormat="1" ht="12" thickBot="1" x14ac:dyDescent="0.3">
      <c r="B15" s="139"/>
      <c r="C15" s="137" t="s">
        <v>36</v>
      </c>
      <c r="D15" s="124" t="s">
        <v>36</v>
      </c>
      <c r="E15" s="124" t="s">
        <v>36</v>
      </c>
      <c r="F15" s="124" t="s">
        <v>36</v>
      </c>
      <c r="G15" s="124" t="s">
        <v>36</v>
      </c>
      <c r="H15" s="124" t="s">
        <v>36</v>
      </c>
      <c r="I15" s="124" t="s">
        <v>36</v>
      </c>
      <c r="J15" s="124" t="s">
        <v>36</v>
      </c>
      <c r="K15" s="124" t="s">
        <v>36</v>
      </c>
      <c r="L15" s="146" t="s">
        <v>36</v>
      </c>
      <c r="M15" s="139" t="s">
        <v>36</v>
      </c>
    </row>
    <row r="16" spans="2:13" x14ac:dyDescent="0.25">
      <c r="B16" s="134" t="s">
        <v>114</v>
      </c>
      <c r="C16" s="130"/>
      <c r="D16" s="123">
        <f>C19</f>
        <v>400</v>
      </c>
      <c r="E16" s="123">
        <f t="shared" ref="E16:L16" si="2">D19</f>
        <v>800</v>
      </c>
      <c r="F16" s="123">
        <f t="shared" si="2"/>
        <v>1200</v>
      </c>
      <c r="G16" s="123">
        <f t="shared" si="2"/>
        <v>1600</v>
      </c>
      <c r="H16" s="123">
        <f t="shared" si="2"/>
        <v>2000</v>
      </c>
      <c r="I16" s="123">
        <f t="shared" si="2"/>
        <v>2000</v>
      </c>
      <c r="J16" s="123">
        <f t="shared" si="2"/>
        <v>2000</v>
      </c>
      <c r="K16" s="123">
        <f t="shared" si="2"/>
        <v>2000</v>
      </c>
      <c r="L16" s="142">
        <f t="shared" si="2"/>
        <v>2000</v>
      </c>
      <c r="M16" s="143">
        <f>C16</f>
        <v>0</v>
      </c>
    </row>
    <row r="17" spans="2:13" x14ac:dyDescent="0.25">
      <c r="B17" s="135" t="s">
        <v>111</v>
      </c>
      <c r="C17" s="131">
        <f>'Facility Repayment Plan'!C14</f>
        <v>400</v>
      </c>
      <c r="D17" s="21">
        <f>'Facility Repayment Plan'!H14</f>
        <v>400</v>
      </c>
      <c r="E17" s="21">
        <f>'Facility Repayment Plan'!M14</f>
        <v>400</v>
      </c>
      <c r="F17" s="21">
        <f>'Facility Repayment Plan'!R14</f>
        <v>400</v>
      </c>
      <c r="G17" s="21">
        <f>'Facility Repayment Plan'!W14</f>
        <v>400</v>
      </c>
      <c r="H17" s="21">
        <f>'Facility Repayment Plan'!AB14</f>
        <v>0</v>
      </c>
      <c r="I17" s="21">
        <f>'Facility Repayment Plan'!AG14</f>
        <v>0</v>
      </c>
      <c r="J17" s="21">
        <f>'Facility Repayment Plan'!AL14</f>
        <v>0</v>
      </c>
      <c r="K17" s="21">
        <f>'Facility Repayment Plan'!AQ14</f>
        <v>0</v>
      </c>
      <c r="L17" s="27">
        <f>'Facility Repayment Plan'!AV14</f>
        <v>0</v>
      </c>
      <c r="M17" s="144">
        <f>SUM(C17:L17)</f>
        <v>2000</v>
      </c>
    </row>
    <row r="18" spans="2:13" ht="12" thickBot="1" x14ac:dyDescent="0.3">
      <c r="B18" s="148" t="s">
        <v>138</v>
      </c>
      <c r="C18" s="149"/>
      <c r="D18" s="150"/>
      <c r="E18" s="150"/>
      <c r="F18" s="150"/>
      <c r="G18" s="150"/>
      <c r="H18" s="150"/>
      <c r="I18" s="150"/>
      <c r="J18" s="150"/>
      <c r="K18" s="150"/>
      <c r="L18" s="151"/>
      <c r="M18" s="152">
        <f>SUM(C18:L18)</f>
        <v>0</v>
      </c>
    </row>
    <row r="19" spans="2:13" ht="12" thickBot="1" x14ac:dyDescent="0.3">
      <c r="B19" s="153" t="s">
        <v>139</v>
      </c>
      <c r="C19" s="154">
        <f>C16+C17-C18</f>
        <v>400</v>
      </c>
      <c r="D19" s="155">
        <f t="shared" ref="D19" si="3">D16+D17-D18</f>
        <v>800</v>
      </c>
      <c r="E19" s="155">
        <f t="shared" ref="E19" si="4">E16+E17-E18</f>
        <v>1200</v>
      </c>
      <c r="F19" s="155">
        <f t="shared" ref="F19" si="5">F16+F17-F18</f>
        <v>1600</v>
      </c>
      <c r="G19" s="155">
        <f t="shared" ref="G19" si="6">G16+G17-G18</f>
        <v>2000</v>
      </c>
      <c r="H19" s="155">
        <f t="shared" ref="H19" si="7">H16+H17-H18</f>
        <v>2000</v>
      </c>
      <c r="I19" s="155">
        <f t="shared" ref="I19" si="8">I16+I17-I18</f>
        <v>2000</v>
      </c>
      <c r="J19" s="155">
        <f t="shared" ref="J19" si="9">J16+J17-J18</f>
        <v>2000</v>
      </c>
      <c r="K19" s="155">
        <f t="shared" ref="K19" si="10">K16+K17-K18</f>
        <v>2000</v>
      </c>
      <c r="L19" s="156">
        <f t="shared" ref="L19" si="11">L16+L17-L18</f>
        <v>2000</v>
      </c>
      <c r="M19" s="157">
        <f>L19</f>
        <v>2000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V67"/>
  <sheetViews>
    <sheetView zoomScale="70" zoomScaleNormal="70" workbookViewId="0">
      <pane xSplit="5" ySplit="8" topLeftCell="BG9" activePane="bottomRight" state="frozen"/>
      <selection pane="topRight" activeCell="E1" sqref="E1"/>
      <selection pane="bottomLeft" activeCell="A5" sqref="A5"/>
      <selection pane="bottomRight" activeCell="BQ17" sqref="BQ17"/>
    </sheetView>
  </sheetViews>
  <sheetFormatPr defaultRowHeight="11.5" x14ac:dyDescent="0.25"/>
  <cols>
    <col min="1" max="1" width="8.7265625" style="409"/>
    <col min="2" max="2" width="6.54296875" style="409" customWidth="1"/>
    <col min="3" max="3" width="6.08984375" style="409" customWidth="1"/>
    <col min="4" max="4" width="8.90625" style="409" bestFit="1" customWidth="1"/>
    <col min="5" max="5" width="25.453125" style="410" bestFit="1" customWidth="1"/>
    <col min="6" max="6" width="7.90625" style="409" bestFit="1" customWidth="1"/>
    <col min="7" max="7" width="8" style="409" bestFit="1" customWidth="1"/>
    <col min="8" max="8" width="8.7265625" style="409" customWidth="1"/>
    <col min="9" max="9" width="6" style="411" bestFit="1" customWidth="1"/>
    <col min="10" max="10" width="6" style="409" bestFit="1" customWidth="1"/>
    <col min="11" max="11" width="5.90625" style="411" customWidth="1"/>
    <col min="12" max="12" width="7.7265625" style="409" customWidth="1"/>
    <col min="13" max="13" width="3.90625" style="409" bestFit="1" customWidth="1"/>
    <col min="14" max="14" width="6.90625" style="409" bestFit="1" customWidth="1"/>
    <col min="15" max="15" width="4.7265625" style="409" bestFit="1" customWidth="1"/>
    <col min="16" max="16" width="8" style="409" customWidth="1"/>
    <col min="17" max="17" width="11.453125" style="409" customWidth="1"/>
    <col min="18" max="18" width="5.7265625" style="409" bestFit="1" customWidth="1"/>
    <col min="19" max="19" width="10.08984375" style="409" bestFit="1" customWidth="1"/>
    <col min="20" max="20" width="6" style="409" bestFit="1" customWidth="1"/>
    <col min="21" max="21" width="9.6328125" style="409" customWidth="1"/>
    <col min="22" max="22" width="12.90625" style="409" bestFit="1" customWidth="1"/>
    <col min="23" max="23" width="11" style="409" bestFit="1" customWidth="1"/>
    <col min="24" max="24" width="10.7265625" style="409" bestFit="1" customWidth="1"/>
    <col min="25" max="25" width="10.81640625" style="409" customWidth="1"/>
    <col min="26" max="26" width="12.90625" style="409" bestFit="1" customWidth="1"/>
    <col min="27" max="27" width="12.26953125" style="409" bestFit="1" customWidth="1"/>
    <col min="28" max="28" width="8.81640625" style="409" bestFit="1" customWidth="1"/>
    <col min="29" max="29" width="9.6328125" style="409" customWidth="1"/>
    <col min="30" max="30" width="12.90625" style="409" bestFit="1" customWidth="1"/>
    <col min="31" max="31" width="13.26953125" style="409" bestFit="1" customWidth="1"/>
    <col min="32" max="32" width="8.7265625" style="409"/>
    <col min="33" max="33" width="8.81640625" style="409" bestFit="1" customWidth="1"/>
    <col min="34" max="34" width="6" style="411" bestFit="1" customWidth="1"/>
    <col min="35" max="35" width="6.81640625" style="409" bestFit="1" customWidth="1"/>
    <col min="36" max="36" width="5.90625" style="411" customWidth="1"/>
    <col min="37" max="37" width="7.7265625" style="409" customWidth="1"/>
    <col min="38" max="38" width="3.81640625" style="409" customWidth="1"/>
    <col min="39" max="39" width="6.90625" style="409" bestFit="1" customWidth="1"/>
    <col min="40" max="40" width="4.7265625" style="409" bestFit="1" customWidth="1"/>
    <col min="41" max="41" width="8" style="409" customWidth="1"/>
    <col min="42" max="42" width="11.453125" style="409" customWidth="1"/>
    <col min="43" max="43" width="5.7265625" style="409" bestFit="1" customWidth="1"/>
    <col min="44" max="44" width="11" style="409" bestFit="1" customWidth="1"/>
    <col min="45" max="45" width="6" style="409" bestFit="1" customWidth="1"/>
    <col min="46" max="46" width="9.6328125" style="409" customWidth="1"/>
    <col min="47" max="47" width="12.90625" style="409" bestFit="1" customWidth="1"/>
    <col min="48" max="48" width="11" style="409" bestFit="1" customWidth="1"/>
    <col min="49" max="49" width="10.7265625" style="409" bestFit="1" customWidth="1"/>
    <col min="50" max="50" width="10.81640625" style="409" customWidth="1"/>
    <col min="51" max="51" width="12.90625" style="409" bestFit="1" customWidth="1"/>
    <col min="52" max="52" width="12.36328125" style="409" bestFit="1" customWidth="1"/>
    <col min="53" max="53" width="8.81640625" style="409" bestFit="1" customWidth="1"/>
    <col min="54" max="54" width="9.6328125" style="409" customWidth="1"/>
    <col min="55" max="55" width="12.90625" style="409" bestFit="1" customWidth="1"/>
    <col min="56" max="56" width="13.26953125" style="409" bestFit="1" customWidth="1"/>
    <col min="57" max="57" width="8.7265625" style="409"/>
    <col min="58" max="58" width="8.81640625" style="409" bestFit="1" customWidth="1"/>
    <col min="59" max="59" width="6" style="411" bestFit="1" customWidth="1"/>
    <col min="60" max="60" width="6.81640625" style="409" bestFit="1" customWidth="1"/>
    <col min="61" max="61" width="5.90625" style="411" customWidth="1"/>
    <col min="62" max="62" width="7.7265625" style="409" customWidth="1"/>
    <col min="63" max="63" width="3.90625" style="409" bestFit="1" customWidth="1"/>
    <col min="64" max="64" width="7.7265625" style="409" bestFit="1" customWidth="1"/>
    <col min="65" max="65" width="4.7265625" style="409" bestFit="1" customWidth="1"/>
    <col min="66" max="66" width="8" style="409" customWidth="1"/>
    <col min="67" max="67" width="11.453125" style="409" customWidth="1"/>
    <col min="68" max="68" width="5.7265625" style="409" bestFit="1" customWidth="1"/>
    <col min="69" max="69" width="10.90625" style="409" bestFit="1" customWidth="1"/>
    <col min="70" max="70" width="6" style="409" bestFit="1" customWidth="1"/>
    <col min="71" max="71" width="9.6328125" style="409" customWidth="1"/>
    <col min="72" max="72" width="12.90625" style="409" bestFit="1" customWidth="1"/>
    <col min="73" max="73" width="12.26953125" style="409" bestFit="1" customWidth="1"/>
    <col min="74" max="74" width="10.7265625" style="409" bestFit="1" customWidth="1"/>
    <col min="75" max="75" width="10.81640625" style="409" customWidth="1"/>
    <col min="76" max="76" width="12.90625" style="409" bestFit="1" customWidth="1"/>
    <col min="77" max="77" width="12.36328125" style="409" bestFit="1" customWidth="1"/>
    <col min="78" max="78" width="8.81640625" style="409" bestFit="1" customWidth="1"/>
    <col min="79" max="79" width="9.6328125" style="409" customWidth="1"/>
    <col min="80" max="80" width="12.90625" style="409" bestFit="1" customWidth="1"/>
    <col min="81" max="81" width="13.26953125" style="409" bestFit="1" customWidth="1"/>
    <col min="82" max="82" width="8.7265625" style="409"/>
    <col min="83" max="83" width="8.81640625" style="409" bestFit="1" customWidth="1"/>
    <col min="84" max="84" width="6" style="411" bestFit="1" customWidth="1"/>
    <col min="85" max="85" width="6.81640625" style="409" bestFit="1" customWidth="1"/>
    <col min="86" max="86" width="5.90625" style="411" customWidth="1"/>
    <col min="87" max="87" width="7.7265625" style="409" customWidth="1"/>
    <col min="88" max="88" width="3.90625" style="409" bestFit="1" customWidth="1"/>
    <col min="89" max="89" width="7.7265625" style="409" bestFit="1" customWidth="1"/>
    <col min="90" max="90" width="4.7265625" style="409" bestFit="1" customWidth="1"/>
    <col min="91" max="91" width="8" style="409" customWidth="1"/>
    <col min="92" max="92" width="11.453125" style="409" customWidth="1"/>
    <col min="93" max="93" width="5.7265625" style="409" bestFit="1" customWidth="1"/>
    <col min="94" max="94" width="10.90625" style="409" bestFit="1" customWidth="1"/>
    <col min="95" max="95" width="6" style="409" bestFit="1" customWidth="1"/>
    <col min="96" max="96" width="9.6328125" style="409" customWidth="1"/>
    <col min="97" max="97" width="12.90625" style="409" bestFit="1" customWidth="1"/>
    <col min="98" max="98" width="12.26953125" style="409" bestFit="1" customWidth="1"/>
    <col min="99" max="99" width="10.7265625" style="409" bestFit="1" customWidth="1"/>
    <col min="100" max="100" width="10.81640625" style="409" customWidth="1"/>
    <col min="101" max="101" width="12.90625" style="409" bestFit="1" customWidth="1"/>
    <col min="102" max="102" width="12.26953125" style="409" bestFit="1" customWidth="1"/>
    <col min="103" max="103" width="8.81640625" style="409" bestFit="1" customWidth="1"/>
    <col min="104" max="104" width="9.6328125" style="409" customWidth="1"/>
    <col min="105" max="105" width="12.90625" style="409" bestFit="1" customWidth="1"/>
    <col min="106" max="106" width="13.26953125" style="409" bestFit="1" customWidth="1"/>
    <col min="107" max="107" width="8.7265625" style="409"/>
    <col min="108" max="108" width="8.81640625" style="409" bestFit="1" customWidth="1"/>
    <col min="109" max="109" width="6" style="411" bestFit="1" customWidth="1"/>
    <col min="110" max="110" width="6.81640625" style="409" bestFit="1" customWidth="1"/>
    <col min="111" max="111" width="5.90625" style="411" customWidth="1"/>
    <col min="112" max="112" width="7.7265625" style="409" customWidth="1"/>
    <col min="113" max="113" width="3.90625" style="409" bestFit="1" customWidth="1"/>
    <col min="114" max="114" width="7.7265625" style="409" bestFit="1" customWidth="1"/>
    <col min="115" max="115" width="4.7265625" style="409" bestFit="1" customWidth="1"/>
    <col min="116" max="116" width="8" style="409" customWidth="1"/>
    <col min="117" max="117" width="11.453125" style="409" customWidth="1"/>
    <col min="118" max="118" width="5.7265625" style="409" bestFit="1" customWidth="1"/>
    <col min="119" max="119" width="10.90625" style="409" bestFit="1" customWidth="1"/>
    <col min="120" max="120" width="6" style="409" bestFit="1" customWidth="1"/>
    <col min="121" max="121" width="9.6328125" style="409" customWidth="1"/>
    <col min="122" max="122" width="12.90625" style="409" bestFit="1" customWidth="1"/>
    <col min="123" max="123" width="12.26953125" style="409" bestFit="1" customWidth="1"/>
    <col min="124" max="124" width="10.7265625" style="409" bestFit="1" customWidth="1"/>
    <col min="125" max="125" width="10.81640625" style="409" customWidth="1"/>
    <col min="126" max="126" width="12.90625" style="409" bestFit="1" customWidth="1"/>
    <col min="127" max="127" width="12.26953125" style="409" bestFit="1" customWidth="1"/>
    <col min="128" max="128" width="8.81640625" style="409" bestFit="1" customWidth="1"/>
    <col min="129" max="129" width="9.6328125" style="409" customWidth="1"/>
    <col min="130" max="130" width="12.90625" style="409" bestFit="1" customWidth="1"/>
    <col min="131" max="131" width="13.26953125" style="409" bestFit="1" customWidth="1"/>
    <col min="132" max="132" width="8.7265625" style="409"/>
    <col min="133" max="133" width="8.81640625" style="409" bestFit="1" customWidth="1"/>
    <col min="134" max="134" width="6" style="411" bestFit="1" customWidth="1"/>
    <col min="135" max="135" width="6.81640625" style="409" bestFit="1" customWidth="1"/>
    <col min="136" max="136" width="5.90625" style="411" customWidth="1"/>
    <col min="137" max="137" width="7.7265625" style="409" customWidth="1"/>
    <col min="138" max="138" width="3.90625" style="409" bestFit="1" customWidth="1"/>
    <col min="139" max="139" width="7.7265625" style="409" bestFit="1" customWidth="1"/>
    <col min="140" max="140" width="4.7265625" style="409" bestFit="1" customWidth="1"/>
    <col min="141" max="141" width="8" style="409" customWidth="1"/>
    <col min="142" max="142" width="11.453125" style="409" customWidth="1"/>
    <col min="143" max="143" width="5.7265625" style="409" bestFit="1" customWidth="1"/>
    <col min="144" max="144" width="10.90625" style="409" bestFit="1" customWidth="1"/>
    <col min="145" max="145" width="6" style="409" bestFit="1" customWidth="1"/>
    <col min="146" max="146" width="9.6328125" style="409" customWidth="1"/>
    <col min="147" max="147" width="12.90625" style="409" bestFit="1" customWidth="1"/>
    <col min="148" max="148" width="12.26953125" style="409" bestFit="1" customWidth="1"/>
    <col min="149" max="149" width="10.7265625" style="409" bestFit="1" customWidth="1"/>
    <col min="150" max="150" width="10.81640625" style="409" customWidth="1"/>
    <col min="151" max="151" width="12.90625" style="409" bestFit="1" customWidth="1"/>
    <col min="152" max="152" width="12.26953125" style="409" bestFit="1" customWidth="1"/>
    <col min="153" max="153" width="8.81640625" style="409" bestFit="1" customWidth="1"/>
    <col min="154" max="154" width="9.6328125" style="409" customWidth="1"/>
    <col min="155" max="155" width="12.90625" style="409" bestFit="1" customWidth="1"/>
    <col min="156" max="156" width="13.26953125" style="409" bestFit="1" customWidth="1"/>
    <col min="157" max="157" width="8.7265625" style="409"/>
    <col min="158" max="158" width="8.81640625" style="409" bestFit="1" customWidth="1"/>
    <col min="159" max="159" width="6" style="411" bestFit="1" customWidth="1"/>
    <col min="160" max="160" width="6.81640625" style="409" bestFit="1" customWidth="1"/>
    <col min="161" max="161" width="5.90625" style="411" customWidth="1"/>
    <col min="162" max="162" width="7.7265625" style="409" customWidth="1"/>
    <col min="163" max="163" width="3.90625" style="409" bestFit="1" customWidth="1"/>
    <col min="164" max="164" width="7.7265625" style="409" bestFit="1" customWidth="1"/>
    <col min="165" max="165" width="4.7265625" style="409" bestFit="1" customWidth="1"/>
    <col min="166" max="166" width="8" style="409" customWidth="1"/>
    <col min="167" max="167" width="11.453125" style="409" customWidth="1"/>
    <col min="168" max="168" width="5.7265625" style="409" bestFit="1" customWidth="1"/>
    <col min="169" max="169" width="10.90625" style="409" bestFit="1" customWidth="1"/>
    <col min="170" max="170" width="6" style="409" bestFit="1" customWidth="1"/>
    <col min="171" max="171" width="9.6328125" style="409" customWidth="1"/>
    <col min="172" max="172" width="12.90625" style="409" bestFit="1" customWidth="1"/>
    <col min="173" max="173" width="12.26953125" style="409" bestFit="1" customWidth="1"/>
    <col min="174" max="174" width="10.7265625" style="409" bestFit="1" customWidth="1"/>
    <col min="175" max="175" width="10.81640625" style="409" customWidth="1"/>
    <col min="176" max="176" width="12.90625" style="409" bestFit="1" customWidth="1"/>
    <col min="177" max="177" width="12.26953125" style="409" bestFit="1" customWidth="1"/>
    <col min="178" max="178" width="8.81640625" style="409" bestFit="1" customWidth="1"/>
    <col min="179" max="179" width="9.6328125" style="409" customWidth="1"/>
    <col min="180" max="180" width="12.90625" style="409" bestFit="1" customWidth="1"/>
    <col min="181" max="181" width="13.26953125" style="409" bestFit="1" customWidth="1"/>
    <col min="182" max="182" width="8.7265625" style="409"/>
    <col min="183" max="183" width="8.81640625" style="409" bestFit="1" customWidth="1"/>
    <col min="184" max="184" width="6" style="411" bestFit="1" customWidth="1"/>
    <col min="185" max="185" width="6.81640625" style="409" bestFit="1" customWidth="1"/>
    <col min="186" max="186" width="5.90625" style="411" customWidth="1"/>
    <col min="187" max="187" width="7.7265625" style="409" customWidth="1"/>
    <col min="188" max="188" width="3.90625" style="409" bestFit="1" customWidth="1"/>
    <col min="189" max="189" width="7.7265625" style="409" bestFit="1" customWidth="1"/>
    <col min="190" max="190" width="4.7265625" style="409" bestFit="1" customWidth="1"/>
    <col min="191" max="191" width="8" style="409" customWidth="1"/>
    <col min="192" max="192" width="11.453125" style="409" customWidth="1"/>
    <col min="193" max="193" width="5.7265625" style="409" bestFit="1" customWidth="1"/>
    <col min="194" max="194" width="10.90625" style="409" bestFit="1" customWidth="1"/>
    <col min="195" max="195" width="6" style="409" bestFit="1" customWidth="1"/>
    <col min="196" max="196" width="9.6328125" style="409" customWidth="1"/>
    <col min="197" max="197" width="12.90625" style="409" bestFit="1" customWidth="1"/>
    <col min="198" max="198" width="12.26953125" style="409" bestFit="1" customWidth="1"/>
    <col min="199" max="199" width="10.7265625" style="409" bestFit="1" customWidth="1"/>
    <col min="200" max="200" width="10.81640625" style="409" customWidth="1"/>
    <col min="201" max="201" width="12.90625" style="409" bestFit="1" customWidth="1"/>
    <col min="202" max="202" width="12.26953125" style="409" bestFit="1" customWidth="1"/>
    <col min="203" max="203" width="8.81640625" style="409" bestFit="1" customWidth="1"/>
    <col min="204" max="204" width="9.6328125" style="409" customWidth="1"/>
    <col min="205" max="205" width="12.90625" style="409" bestFit="1" customWidth="1"/>
    <col min="206" max="206" width="13.26953125" style="409" bestFit="1" customWidth="1"/>
    <col min="207" max="207" width="8.7265625" style="409"/>
    <col min="208" max="208" width="8.81640625" style="409" bestFit="1" customWidth="1"/>
    <col min="209" max="209" width="6" style="411" bestFit="1" customWidth="1"/>
    <col min="210" max="210" width="6.81640625" style="409" bestFit="1" customWidth="1"/>
    <col min="211" max="211" width="5.90625" style="411" customWidth="1"/>
    <col min="212" max="212" width="7.7265625" style="409" customWidth="1"/>
    <col min="213" max="213" width="3.90625" style="409" bestFit="1" customWidth="1"/>
    <col min="214" max="214" width="7.7265625" style="409" bestFit="1" customWidth="1"/>
    <col min="215" max="215" width="6.36328125" style="409" bestFit="1" customWidth="1"/>
    <col min="216" max="216" width="8" style="409" customWidth="1"/>
    <col min="217" max="217" width="11.453125" style="409" customWidth="1"/>
    <col min="218" max="218" width="5.7265625" style="409" bestFit="1" customWidth="1"/>
    <col min="219" max="219" width="10.90625" style="409" bestFit="1" customWidth="1"/>
    <col min="220" max="220" width="6" style="409" bestFit="1" customWidth="1"/>
    <col min="221" max="221" width="9.6328125" style="409" customWidth="1"/>
    <col min="222" max="222" width="12.90625" style="409" bestFit="1" customWidth="1"/>
    <col min="223" max="223" width="12.26953125" style="409" bestFit="1" customWidth="1"/>
    <col min="224" max="224" width="10.7265625" style="409" bestFit="1" customWidth="1"/>
    <col min="225" max="225" width="10.81640625" style="409" customWidth="1"/>
    <col min="226" max="226" width="12.90625" style="409" bestFit="1" customWidth="1"/>
    <col min="227" max="227" width="12.26953125" style="409" bestFit="1" customWidth="1"/>
    <col min="228" max="228" width="8.81640625" style="409" bestFit="1" customWidth="1"/>
    <col min="229" max="229" width="9.6328125" style="409" customWidth="1"/>
    <col min="230" max="230" width="12.90625" style="409" bestFit="1" customWidth="1"/>
    <col min="231" max="231" width="13.26953125" style="409" bestFit="1" customWidth="1"/>
    <col min="232" max="232" width="8.7265625" style="409"/>
    <col min="233" max="233" width="8.81640625" style="409" bestFit="1" customWidth="1"/>
    <col min="234" max="234" width="6" style="411" bestFit="1" customWidth="1"/>
    <col min="235" max="235" width="6.81640625" style="409" bestFit="1" customWidth="1"/>
    <col min="236" max="236" width="5.90625" style="411" customWidth="1"/>
    <col min="237" max="237" width="7.7265625" style="409" customWidth="1"/>
    <col min="238" max="238" width="3.90625" style="409" bestFit="1" customWidth="1"/>
    <col min="239" max="239" width="7.7265625" style="409" bestFit="1" customWidth="1"/>
    <col min="240" max="240" width="4.7265625" style="409" bestFit="1" customWidth="1"/>
    <col min="241" max="241" width="8" style="409" customWidth="1"/>
    <col min="242" max="242" width="11.453125" style="409" customWidth="1"/>
    <col min="243" max="243" width="5.7265625" style="409" bestFit="1" customWidth="1"/>
    <col min="244" max="244" width="11" style="409" bestFit="1" customWidth="1"/>
    <col min="245" max="245" width="6" style="409" bestFit="1" customWidth="1"/>
    <col min="246" max="246" width="9.6328125" style="409" customWidth="1"/>
    <col min="247" max="247" width="12.90625" style="409" bestFit="1" customWidth="1"/>
    <col min="248" max="248" width="12.36328125" style="409" bestFit="1" customWidth="1"/>
    <col min="249" max="249" width="10.7265625" style="409" bestFit="1" customWidth="1"/>
    <col min="250" max="250" width="10.81640625" style="409" customWidth="1"/>
    <col min="251" max="251" width="12.90625" style="409" bestFit="1" customWidth="1"/>
    <col min="252" max="252" width="12.26953125" style="409" bestFit="1" customWidth="1"/>
    <col min="253" max="253" width="8.81640625" style="409" bestFit="1" customWidth="1"/>
    <col min="254" max="254" width="9.6328125" style="409" customWidth="1"/>
    <col min="255" max="255" width="12.90625" style="409" bestFit="1" customWidth="1"/>
    <col min="256" max="256" width="13.26953125" style="409" bestFit="1" customWidth="1"/>
    <col min="257" max="16384" width="8.7265625" style="409"/>
  </cols>
  <sheetData>
    <row r="2" spans="2:256" x14ac:dyDescent="0.25">
      <c r="B2" s="408" t="s">
        <v>140</v>
      </c>
    </row>
    <row r="3" spans="2:256" x14ac:dyDescent="0.25">
      <c r="B3" s="408" t="s">
        <v>91</v>
      </c>
    </row>
    <row r="4" spans="2:256" ht="14.5" customHeight="1" x14ac:dyDescent="0.25">
      <c r="H4" s="620" t="s">
        <v>2</v>
      </c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0"/>
      <c r="AB4" s="620"/>
      <c r="AC4" s="620"/>
      <c r="AD4" s="620"/>
      <c r="AE4" s="620"/>
      <c r="AG4" s="620" t="s">
        <v>3</v>
      </c>
      <c r="AH4" s="620"/>
      <c r="AI4" s="620"/>
      <c r="AJ4" s="620"/>
      <c r="AK4" s="620"/>
      <c r="AL4" s="620"/>
      <c r="AM4" s="620"/>
      <c r="AN4" s="620"/>
      <c r="AO4" s="620"/>
      <c r="AP4" s="620"/>
      <c r="AQ4" s="620"/>
      <c r="AR4" s="620"/>
      <c r="AS4" s="620"/>
      <c r="AT4" s="620"/>
      <c r="AU4" s="620"/>
      <c r="AV4" s="620"/>
      <c r="AW4" s="620"/>
      <c r="AX4" s="620"/>
      <c r="AY4" s="620"/>
      <c r="AZ4" s="620"/>
      <c r="BA4" s="620"/>
      <c r="BB4" s="620"/>
      <c r="BC4" s="620"/>
      <c r="BD4" s="620"/>
      <c r="BF4" s="620" t="s">
        <v>4</v>
      </c>
      <c r="BG4" s="620"/>
      <c r="BH4" s="620"/>
      <c r="BI4" s="620"/>
      <c r="BJ4" s="620"/>
      <c r="BK4" s="620"/>
      <c r="BL4" s="620"/>
      <c r="BM4" s="620"/>
      <c r="BN4" s="620"/>
      <c r="BO4" s="620"/>
      <c r="BP4" s="620"/>
      <c r="BQ4" s="620"/>
      <c r="BR4" s="620"/>
      <c r="BS4" s="620"/>
      <c r="BT4" s="620"/>
      <c r="BU4" s="620"/>
      <c r="BV4" s="620"/>
      <c r="BW4" s="620"/>
      <c r="BX4" s="620"/>
      <c r="BY4" s="620"/>
      <c r="BZ4" s="620"/>
      <c r="CA4" s="620"/>
      <c r="CB4" s="620"/>
      <c r="CC4" s="620"/>
      <c r="CE4" s="620" t="s">
        <v>5</v>
      </c>
      <c r="CF4" s="620"/>
      <c r="CG4" s="620"/>
      <c r="CH4" s="620"/>
      <c r="CI4" s="620"/>
      <c r="CJ4" s="620"/>
      <c r="CK4" s="620"/>
      <c r="CL4" s="620"/>
      <c r="CM4" s="620"/>
      <c r="CN4" s="620"/>
      <c r="CO4" s="620"/>
      <c r="CP4" s="620"/>
      <c r="CQ4" s="620"/>
      <c r="CR4" s="620"/>
      <c r="CS4" s="620"/>
      <c r="CT4" s="620"/>
      <c r="CU4" s="620"/>
      <c r="CV4" s="620"/>
      <c r="CW4" s="620"/>
      <c r="CX4" s="620"/>
      <c r="CY4" s="620"/>
      <c r="CZ4" s="620"/>
      <c r="DA4" s="620"/>
      <c r="DB4" s="620"/>
      <c r="DD4" s="620" t="s">
        <v>6</v>
      </c>
      <c r="DE4" s="620"/>
      <c r="DF4" s="620"/>
      <c r="DG4" s="620"/>
      <c r="DH4" s="620"/>
      <c r="DI4" s="620"/>
      <c r="DJ4" s="620"/>
      <c r="DK4" s="620"/>
      <c r="DL4" s="620"/>
      <c r="DM4" s="620"/>
      <c r="DN4" s="620"/>
      <c r="DO4" s="620"/>
      <c r="DP4" s="620"/>
      <c r="DQ4" s="620"/>
      <c r="DR4" s="620"/>
      <c r="DS4" s="620"/>
      <c r="DT4" s="620"/>
      <c r="DU4" s="620"/>
      <c r="DV4" s="620"/>
      <c r="DW4" s="620"/>
      <c r="DX4" s="620"/>
      <c r="DY4" s="620"/>
      <c r="DZ4" s="620"/>
      <c r="EA4" s="620"/>
      <c r="EC4" s="620" t="s">
        <v>104</v>
      </c>
      <c r="ED4" s="620"/>
      <c r="EE4" s="620"/>
      <c r="EF4" s="620"/>
      <c r="EG4" s="620"/>
      <c r="EH4" s="620"/>
      <c r="EI4" s="620"/>
      <c r="EJ4" s="620"/>
      <c r="EK4" s="620"/>
      <c r="EL4" s="620"/>
      <c r="EM4" s="620"/>
      <c r="EN4" s="620"/>
      <c r="EO4" s="620"/>
      <c r="EP4" s="620"/>
      <c r="EQ4" s="620"/>
      <c r="ER4" s="620"/>
      <c r="ES4" s="620"/>
      <c r="ET4" s="620"/>
      <c r="EU4" s="620"/>
      <c r="EV4" s="620"/>
      <c r="EW4" s="620"/>
      <c r="EX4" s="620"/>
      <c r="EY4" s="620"/>
      <c r="EZ4" s="620"/>
      <c r="FB4" s="620" t="s">
        <v>105</v>
      </c>
      <c r="FC4" s="620"/>
      <c r="FD4" s="620"/>
      <c r="FE4" s="620"/>
      <c r="FF4" s="620"/>
      <c r="FG4" s="620"/>
      <c r="FH4" s="620"/>
      <c r="FI4" s="620"/>
      <c r="FJ4" s="620"/>
      <c r="FK4" s="620"/>
      <c r="FL4" s="620"/>
      <c r="FM4" s="620"/>
      <c r="FN4" s="620"/>
      <c r="FO4" s="620"/>
      <c r="FP4" s="620"/>
      <c r="FQ4" s="620"/>
      <c r="FR4" s="620"/>
      <c r="FS4" s="620"/>
      <c r="FT4" s="620"/>
      <c r="FU4" s="620"/>
      <c r="FV4" s="620"/>
      <c r="FW4" s="620"/>
      <c r="FX4" s="620"/>
      <c r="FY4" s="620"/>
      <c r="GA4" s="620" t="s">
        <v>106</v>
      </c>
      <c r="GB4" s="620"/>
      <c r="GC4" s="620"/>
      <c r="GD4" s="620"/>
      <c r="GE4" s="620"/>
      <c r="GF4" s="620"/>
      <c r="GG4" s="620"/>
      <c r="GH4" s="620"/>
      <c r="GI4" s="620"/>
      <c r="GJ4" s="620"/>
      <c r="GK4" s="620"/>
      <c r="GL4" s="620"/>
      <c r="GM4" s="620"/>
      <c r="GN4" s="620"/>
      <c r="GO4" s="620"/>
      <c r="GP4" s="620"/>
      <c r="GQ4" s="620"/>
      <c r="GR4" s="620"/>
      <c r="GS4" s="620"/>
      <c r="GT4" s="620"/>
      <c r="GU4" s="620"/>
      <c r="GV4" s="620"/>
      <c r="GW4" s="620"/>
      <c r="GX4" s="620"/>
      <c r="GZ4" s="620" t="s">
        <v>107</v>
      </c>
      <c r="HA4" s="620"/>
      <c r="HB4" s="620"/>
      <c r="HC4" s="620"/>
      <c r="HD4" s="620"/>
      <c r="HE4" s="620"/>
      <c r="HF4" s="620"/>
      <c r="HG4" s="620"/>
      <c r="HH4" s="620"/>
      <c r="HI4" s="620"/>
      <c r="HJ4" s="620"/>
      <c r="HK4" s="620"/>
      <c r="HL4" s="620"/>
      <c r="HM4" s="620"/>
      <c r="HN4" s="620"/>
      <c r="HO4" s="620"/>
      <c r="HP4" s="620"/>
      <c r="HQ4" s="620"/>
      <c r="HR4" s="620"/>
      <c r="HS4" s="620"/>
      <c r="HT4" s="620"/>
      <c r="HU4" s="620"/>
      <c r="HV4" s="620"/>
      <c r="HW4" s="620"/>
      <c r="HY4" s="620" t="s">
        <v>108</v>
      </c>
      <c r="HZ4" s="620"/>
      <c r="IA4" s="620"/>
      <c r="IB4" s="620"/>
      <c r="IC4" s="620"/>
      <c r="ID4" s="620"/>
      <c r="IE4" s="620"/>
      <c r="IF4" s="620"/>
      <c r="IG4" s="620"/>
      <c r="IH4" s="620"/>
      <c r="II4" s="620"/>
      <c r="IJ4" s="620"/>
      <c r="IK4" s="620"/>
      <c r="IL4" s="620"/>
      <c r="IM4" s="620"/>
      <c r="IN4" s="620"/>
      <c r="IO4" s="620"/>
      <c r="IP4" s="620"/>
      <c r="IQ4" s="620"/>
      <c r="IR4" s="620"/>
      <c r="IS4" s="620"/>
      <c r="IT4" s="620"/>
      <c r="IU4" s="620"/>
      <c r="IV4" s="620"/>
    </row>
    <row r="6" spans="2:256" x14ac:dyDescent="0.25">
      <c r="B6" s="408"/>
      <c r="O6" s="621" t="s">
        <v>90</v>
      </c>
      <c r="P6" s="621"/>
      <c r="Q6" s="621"/>
      <c r="R6" s="621"/>
      <c r="S6" s="621"/>
      <c r="T6" s="621" t="s">
        <v>89</v>
      </c>
      <c r="U6" s="621"/>
      <c r="V6" s="621"/>
      <c r="W6" s="621"/>
      <c r="X6" s="621" t="s">
        <v>92</v>
      </c>
      <c r="Y6" s="621"/>
      <c r="Z6" s="621"/>
      <c r="AA6" s="621"/>
      <c r="AB6" s="621" t="s">
        <v>103</v>
      </c>
      <c r="AC6" s="621"/>
      <c r="AD6" s="621"/>
      <c r="AE6" s="621"/>
      <c r="AN6" s="621" t="s">
        <v>90</v>
      </c>
      <c r="AO6" s="621"/>
      <c r="AP6" s="621"/>
      <c r="AQ6" s="621"/>
      <c r="AR6" s="621"/>
      <c r="AS6" s="621" t="s">
        <v>89</v>
      </c>
      <c r="AT6" s="621"/>
      <c r="AU6" s="621"/>
      <c r="AV6" s="621"/>
      <c r="AW6" s="621" t="s">
        <v>92</v>
      </c>
      <c r="AX6" s="621"/>
      <c r="AY6" s="621"/>
      <c r="AZ6" s="621"/>
      <c r="BA6" s="621" t="s">
        <v>103</v>
      </c>
      <c r="BB6" s="621"/>
      <c r="BC6" s="621"/>
      <c r="BD6" s="621"/>
      <c r="BM6" s="621" t="s">
        <v>90</v>
      </c>
      <c r="BN6" s="621"/>
      <c r="BO6" s="621"/>
      <c r="BP6" s="621"/>
      <c r="BQ6" s="621"/>
      <c r="BR6" s="621" t="s">
        <v>89</v>
      </c>
      <c r="BS6" s="621"/>
      <c r="BT6" s="621"/>
      <c r="BU6" s="621"/>
      <c r="BV6" s="621" t="s">
        <v>92</v>
      </c>
      <c r="BW6" s="621"/>
      <c r="BX6" s="621"/>
      <c r="BY6" s="621"/>
      <c r="BZ6" s="621" t="s">
        <v>103</v>
      </c>
      <c r="CA6" s="621"/>
      <c r="CB6" s="621"/>
      <c r="CC6" s="621"/>
      <c r="CL6" s="621" t="s">
        <v>90</v>
      </c>
      <c r="CM6" s="621"/>
      <c r="CN6" s="621"/>
      <c r="CO6" s="621"/>
      <c r="CP6" s="621"/>
      <c r="CQ6" s="621" t="s">
        <v>89</v>
      </c>
      <c r="CR6" s="621"/>
      <c r="CS6" s="621"/>
      <c r="CT6" s="621"/>
      <c r="CU6" s="621" t="s">
        <v>92</v>
      </c>
      <c r="CV6" s="621"/>
      <c r="CW6" s="621"/>
      <c r="CX6" s="621"/>
      <c r="CY6" s="621" t="s">
        <v>103</v>
      </c>
      <c r="CZ6" s="621"/>
      <c r="DA6" s="621"/>
      <c r="DB6" s="621"/>
      <c r="DK6" s="621" t="s">
        <v>90</v>
      </c>
      <c r="DL6" s="621"/>
      <c r="DM6" s="621"/>
      <c r="DN6" s="621"/>
      <c r="DO6" s="621"/>
      <c r="DP6" s="621" t="s">
        <v>89</v>
      </c>
      <c r="DQ6" s="621"/>
      <c r="DR6" s="621"/>
      <c r="DS6" s="621"/>
      <c r="DT6" s="621" t="s">
        <v>92</v>
      </c>
      <c r="DU6" s="621"/>
      <c r="DV6" s="621"/>
      <c r="DW6" s="621"/>
      <c r="DX6" s="621" t="s">
        <v>103</v>
      </c>
      <c r="DY6" s="621"/>
      <c r="DZ6" s="621"/>
      <c r="EA6" s="621"/>
      <c r="EJ6" s="621" t="s">
        <v>90</v>
      </c>
      <c r="EK6" s="621"/>
      <c r="EL6" s="621"/>
      <c r="EM6" s="621"/>
      <c r="EN6" s="621"/>
      <c r="EO6" s="621" t="s">
        <v>89</v>
      </c>
      <c r="EP6" s="621"/>
      <c r="EQ6" s="621"/>
      <c r="ER6" s="621"/>
      <c r="ES6" s="621" t="s">
        <v>92</v>
      </c>
      <c r="ET6" s="621"/>
      <c r="EU6" s="621"/>
      <c r="EV6" s="621"/>
      <c r="EW6" s="621" t="s">
        <v>103</v>
      </c>
      <c r="EX6" s="621"/>
      <c r="EY6" s="621"/>
      <c r="EZ6" s="621"/>
      <c r="FI6" s="621" t="s">
        <v>90</v>
      </c>
      <c r="FJ6" s="621"/>
      <c r="FK6" s="621"/>
      <c r="FL6" s="621"/>
      <c r="FM6" s="621"/>
      <c r="FN6" s="621" t="s">
        <v>89</v>
      </c>
      <c r="FO6" s="621"/>
      <c r="FP6" s="621"/>
      <c r="FQ6" s="621"/>
      <c r="FR6" s="621" t="s">
        <v>92</v>
      </c>
      <c r="FS6" s="621"/>
      <c r="FT6" s="621"/>
      <c r="FU6" s="621"/>
      <c r="FV6" s="621" t="s">
        <v>103</v>
      </c>
      <c r="FW6" s="621"/>
      <c r="FX6" s="621"/>
      <c r="FY6" s="621"/>
      <c r="GH6" s="621" t="s">
        <v>90</v>
      </c>
      <c r="GI6" s="621"/>
      <c r="GJ6" s="621"/>
      <c r="GK6" s="621"/>
      <c r="GL6" s="621"/>
      <c r="GM6" s="621" t="s">
        <v>89</v>
      </c>
      <c r="GN6" s="621"/>
      <c r="GO6" s="621"/>
      <c r="GP6" s="621"/>
      <c r="GQ6" s="621" t="s">
        <v>92</v>
      </c>
      <c r="GR6" s="621"/>
      <c r="GS6" s="621"/>
      <c r="GT6" s="621"/>
      <c r="GU6" s="621" t="s">
        <v>103</v>
      </c>
      <c r="GV6" s="621"/>
      <c r="GW6" s="621"/>
      <c r="GX6" s="621"/>
      <c r="HG6" s="621" t="s">
        <v>90</v>
      </c>
      <c r="HH6" s="621"/>
      <c r="HI6" s="621"/>
      <c r="HJ6" s="621"/>
      <c r="HK6" s="621"/>
      <c r="HL6" s="621" t="s">
        <v>89</v>
      </c>
      <c r="HM6" s="621"/>
      <c r="HN6" s="621"/>
      <c r="HO6" s="621"/>
      <c r="HP6" s="621" t="s">
        <v>92</v>
      </c>
      <c r="HQ6" s="621"/>
      <c r="HR6" s="621"/>
      <c r="HS6" s="621"/>
      <c r="HT6" s="621" t="s">
        <v>103</v>
      </c>
      <c r="HU6" s="621"/>
      <c r="HV6" s="621"/>
      <c r="HW6" s="621"/>
      <c r="IF6" s="621" t="s">
        <v>90</v>
      </c>
      <c r="IG6" s="621"/>
      <c r="IH6" s="621"/>
      <c r="II6" s="621"/>
      <c r="IJ6" s="621"/>
      <c r="IK6" s="621" t="s">
        <v>89</v>
      </c>
      <c r="IL6" s="621"/>
      <c r="IM6" s="621"/>
      <c r="IN6" s="621"/>
      <c r="IO6" s="621" t="s">
        <v>92</v>
      </c>
      <c r="IP6" s="621"/>
      <c r="IQ6" s="621"/>
      <c r="IR6" s="621"/>
      <c r="IS6" s="621" t="s">
        <v>103</v>
      </c>
      <c r="IT6" s="621"/>
      <c r="IU6" s="621"/>
      <c r="IV6" s="621"/>
    </row>
    <row r="7" spans="2:256" s="417" customFormat="1" ht="41.5" customHeight="1" x14ac:dyDescent="0.35">
      <c r="B7" s="413" t="s">
        <v>80</v>
      </c>
      <c r="C7" s="413" t="s">
        <v>77</v>
      </c>
      <c r="D7" s="413" t="s">
        <v>78</v>
      </c>
      <c r="E7" s="414" t="s">
        <v>149</v>
      </c>
      <c r="F7" s="415" t="s">
        <v>94</v>
      </c>
      <c r="G7" s="415" t="s">
        <v>78</v>
      </c>
      <c r="H7" s="415" t="s">
        <v>151</v>
      </c>
      <c r="I7" s="615" t="s">
        <v>152</v>
      </c>
      <c r="J7" s="616"/>
      <c r="K7" s="617" t="s">
        <v>153</v>
      </c>
      <c r="L7" s="618"/>
      <c r="M7" s="615" t="s">
        <v>159</v>
      </c>
      <c r="N7" s="616"/>
      <c r="O7" s="615" t="s">
        <v>158</v>
      </c>
      <c r="P7" s="616"/>
      <c r="Q7" s="416" t="s">
        <v>154</v>
      </c>
      <c r="R7" s="619" t="s">
        <v>85</v>
      </c>
      <c r="S7" s="619"/>
      <c r="T7" s="415" t="s">
        <v>86</v>
      </c>
      <c r="U7" s="416" t="s">
        <v>154</v>
      </c>
      <c r="V7" s="415" t="s">
        <v>102</v>
      </c>
      <c r="W7" s="415" t="s">
        <v>88</v>
      </c>
      <c r="X7" s="415" t="s">
        <v>93</v>
      </c>
      <c r="Y7" s="416" t="s">
        <v>154</v>
      </c>
      <c r="Z7" s="415" t="s">
        <v>102</v>
      </c>
      <c r="AA7" s="415" t="s">
        <v>88</v>
      </c>
      <c r="AB7" s="415" t="s">
        <v>93</v>
      </c>
      <c r="AC7" s="416" t="s">
        <v>154</v>
      </c>
      <c r="AD7" s="415" t="s">
        <v>102</v>
      </c>
      <c r="AE7" s="415" t="s">
        <v>88</v>
      </c>
      <c r="AG7" s="415" t="s">
        <v>151</v>
      </c>
      <c r="AH7" s="615" t="s">
        <v>152</v>
      </c>
      <c r="AI7" s="616"/>
      <c r="AJ7" s="617" t="s">
        <v>153</v>
      </c>
      <c r="AK7" s="618"/>
      <c r="AL7" s="615" t="s">
        <v>159</v>
      </c>
      <c r="AM7" s="616"/>
      <c r="AN7" s="615" t="s">
        <v>158</v>
      </c>
      <c r="AO7" s="616"/>
      <c r="AP7" s="416" t="s">
        <v>154</v>
      </c>
      <c r="AQ7" s="619" t="s">
        <v>85</v>
      </c>
      <c r="AR7" s="619"/>
      <c r="AS7" s="415" t="s">
        <v>86</v>
      </c>
      <c r="AT7" s="416" t="s">
        <v>154</v>
      </c>
      <c r="AU7" s="415" t="s">
        <v>102</v>
      </c>
      <c r="AV7" s="415" t="s">
        <v>88</v>
      </c>
      <c r="AW7" s="415" t="s">
        <v>93</v>
      </c>
      <c r="AX7" s="416" t="s">
        <v>154</v>
      </c>
      <c r="AY7" s="415" t="s">
        <v>102</v>
      </c>
      <c r="AZ7" s="415" t="s">
        <v>88</v>
      </c>
      <c r="BA7" s="415" t="s">
        <v>93</v>
      </c>
      <c r="BB7" s="416" t="s">
        <v>154</v>
      </c>
      <c r="BC7" s="415" t="s">
        <v>102</v>
      </c>
      <c r="BD7" s="415" t="s">
        <v>88</v>
      </c>
      <c r="BF7" s="415" t="s">
        <v>151</v>
      </c>
      <c r="BG7" s="615" t="s">
        <v>152</v>
      </c>
      <c r="BH7" s="616"/>
      <c r="BI7" s="617" t="s">
        <v>153</v>
      </c>
      <c r="BJ7" s="618"/>
      <c r="BK7" s="615" t="s">
        <v>159</v>
      </c>
      <c r="BL7" s="616"/>
      <c r="BM7" s="615" t="s">
        <v>158</v>
      </c>
      <c r="BN7" s="616"/>
      <c r="BO7" s="416" t="s">
        <v>154</v>
      </c>
      <c r="BP7" s="619" t="s">
        <v>85</v>
      </c>
      <c r="BQ7" s="619"/>
      <c r="BR7" s="415" t="s">
        <v>86</v>
      </c>
      <c r="BS7" s="416" t="s">
        <v>154</v>
      </c>
      <c r="BT7" s="415" t="s">
        <v>102</v>
      </c>
      <c r="BU7" s="415" t="s">
        <v>88</v>
      </c>
      <c r="BV7" s="415" t="s">
        <v>93</v>
      </c>
      <c r="BW7" s="416" t="s">
        <v>154</v>
      </c>
      <c r="BX7" s="415" t="s">
        <v>102</v>
      </c>
      <c r="BY7" s="415" t="s">
        <v>88</v>
      </c>
      <c r="BZ7" s="415" t="s">
        <v>93</v>
      </c>
      <c r="CA7" s="416" t="s">
        <v>154</v>
      </c>
      <c r="CB7" s="415" t="s">
        <v>102</v>
      </c>
      <c r="CC7" s="415" t="s">
        <v>88</v>
      </c>
      <c r="CE7" s="415" t="s">
        <v>151</v>
      </c>
      <c r="CF7" s="615" t="s">
        <v>152</v>
      </c>
      <c r="CG7" s="616"/>
      <c r="CH7" s="617" t="s">
        <v>153</v>
      </c>
      <c r="CI7" s="618"/>
      <c r="CJ7" s="615" t="s">
        <v>159</v>
      </c>
      <c r="CK7" s="616"/>
      <c r="CL7" s="615" t="s">
        <v>158</v>
      </c>
      <c r="CM7" s="616"/>
      <c r="CN7" s="416" t="s">
        <v>154</v>
      </c>
      <c r="CO7" s="619" t="s">
        <v>85</v>
      </c>
      <c r="CP7" s="619"/>
      <c r="CQ7" s="415" t="s">
        <v>86</v>
      </c>
      <c r="CR7" s="416" t="s">
        <v>154</v>
      </c>
      <c r="CS7" s="415" t="s">
        <v>102</v>
      </c>
      <c r="CT7" s="415" t="s">
        <v>88</v>
      </c>
      <c r="CU7" s="415" t="s">
        <v>93</v>
      </c>
      <c r="CV7" s="416" t="s">
        <v>154</v>
      </c>
      <c r="CW7" s="415" t="s">
        <v>102</v>
      </c>
      <c r="CX7" s="415" t="s">
        <v>88</v>
      </c>
      <c r="CY7" s="415" t="s">
        <v>93</v>
      </c>
      <c r="CZ7" s="416" t="s">
        <v>154</v>
      </c>
      <c r="DA7" s="415" t="s">
        <v>102</v>
      </c>
      <c r="DB7" s="415" t="s">
        <v>88</v>
      </c>
      <c r="DD7" s="415" t="s">
        <v>151</v>
      </c>
      <c r="DE7" s="615" t="s">
        <v>152</v>
      </c>
      <c r="DF7" s="616"/>
      <c r="DG7" s="617" t="s">
        <v>153</v>
      </c>
      <c r="DH7" s="618"/>
      <c r="DI7" s="615" t="s">
        <v>159</v>
      </c>
      <c r="DJ7" s="616"/>
      <c r="DK7" s="615" t="s">
        <v>158</v>
      </c>
      <c r="DL7" s="616"/>
      <c r="DM7" s="416" t="s">
        <v>154</v>
      </c>
      <c r="DN7" s="619" t="s">
        <v>85</v>
      </c>
      <c r="DO7" s="619"/>
      <c r="DP7" s="415" t="s">
        <v>86</v>
      </c>
      <c r="DQ7" s="416" t="s">
        <v>154</v>
      </c>
      <c r="DR7" s="415" t="s">
        <v>102</v>
      </c>
      <c r="DS7" s="415" t="s">
        <v>88</v>
      </c>
      <c r="DT7" s="415" t="s">
        <v>93</v>
      </c>
      <c r="DU7" s="416" t="s">
        <v>154</v>
      </c>
      <c r="DV7" s="415" t="s">
        <v>102</v>
      </c>
      <c r="DW7" s="415" t="s">
        <v>88</v>
      </c>
      <c r="DX7" s="415" t="s">
        <v>93</v>
      </c>
      <c r="DY7" s="416" t="s">
        <v>154</v>
      </c>
      <c r="DZ7" s="415" t="s">
        <v>102</v>
      </c>
      <c r="EA7" s="415" t="s">
        <v>88</v>
      </c>
      <c r="EC7" s="415" t="s">
        <v>151</v>
      </c>
      <c r="ED7" s="615" t="s">
        <v>152</v>
      </c>
      <c r="EE7" s="616"/>
      <c r="EF7" s="617" t="s">
        <v>153</v>
      </c>
      <c r="EG7" s="618"/>
      <c r="EH7" s="615" t="s">
        <v>159</v>
      </c>
      <c r="EI7" s="616"/>
      <c r="EJ7" s="615" t="s">
        <v>158</v>
      </c>
      <c r="EK7" s="616"/>
      <c r="EL7" s="416" t="s">
        <v>154</v>
      </c>
      <c r="EM7" s="619" t="s">
        <v>85</v>
      </c>
      <c r="EN7" s="619"/>
      <c r="EO7" s="415" t="s">
        <v>86</v>
      </c>
      <c r="EP7" s="416" t="s">
        <v>154</v>
      </c>
      <c r="EQ7" s="415" t="s">
        <v>102</v>
      </c>
      <c r="ER7" s="415" t="s">
        <v>88</v>
      </c>
      <c r="ES7" s="415" t="s">
        <v>93</v>
      </c>
      <c r="ET7" s="416" t="s">
        <v>154</v>
      </c>
      <c r="EU7" s="415" t="s">
        <v>102</v>
      </c>
      <c r="EV7" s="415" t="s">
        <v>88</v>
      </c>
      <c r="EW7" s="415" t="s">
        <v>93</v>
      </c>
      <c r="EX7" s="416" t="s">
        <v>154</v>
      </c>
      <c r="EY7" s="415" t="s">
        <v>102</v>
      </c>
      <c r="EZ7" s="415" t="s">
        <v>88</v>
      </c>
      <c r="FB7" s="415" t="s">
        <v>151</v>
      </c>
      <c r="FC7" s="615" t="s">
        <v>152</v>
      </c>
      <c r="FD7" s="616"/>
      <c r="FE7" s="617" t="s">
        <v>153</v>
      </c>
      <c r="FF7" s="618"/>
      <c r="FG7" s="615" t="s">
        <v>159</v>
      </c>
      <c r="FH7" s="616"/>
      <c r="FI7" s="615" t="s">
        <v>158</v>
      </c>
      <c r="FJ7" s="616"/>
      <c r="FK7" s="416" t="s">
        <v>154</v>
      </c>
      <c r="FL7" s="619" t="s">
        <v>85</v>
      </c>
      <c r="FM7" s="619"/>
      <c r="FN7" s="415" t="s">
        <v>86</v>
      </c>
      <c r="FO7" s="416" t="s">
        <v>154</v>
      </c>
      <c r="FP7" s="415" t="s">
        <v>102</v>
      </c>
      <c r="FQ7" s="415" t="s">
        <v>88</v>
      </c>
      <c r="FR7" s="415" t="s">
        <v>93</v>
      </c>
      <c r="FS7" s="416" t="s">
        <v>154</v>
      </c>
      <c r="FT7" s="415" t="s">
        <v>102</v>
      </c>
      <c r="FU7" s="415" t="s">
        <v>88</v>
      </c>
      <c r="FV7" s="415" t="s">
        <v>93</v>
      </c>
      <c r="FW7" s="416" t="s">
        <v>154</v>
      </c>
      <c r="FX7" s="415" t="s">
        <v>102</v>
      </c>
      <c r="FY7" s="415" t="s">
        <v>88</v>
      </c>
      <c r="GA7" s="415" t="s">
        <v>151</v>
      </c>
      <c r="GB7" s="615" t="s">
        <v>152</v>
      </c>
      <c r="GC7" s="616"/>
      <c r="GD7" s="617" t="s">
        <v>153</v>
      </c>
      <c r="GE7" s="618"/>
      <c r="GF7" s="615" t="s">
        <v>159</v>
      </c>
      <c r="GG7" s="616"/>
      <c r="GH7" s="615" t="s">
        <v>158</v>
      </c>
      <c r="GI7" s="616"/>
      <c r="GJ7" s="416" t="s">
        <v>154</v>
      </c>
      <c r="GK7" s="619" t="s">
        <v>85</v>
      </c>
      <c r="GL7" s="619"/>
      <c r="GM7" s="415" t="s">
        <v>86</v>
      </c>
      <c r="GN7" s="416" t="s">
        <v>154</v>
      </c>
      <c r="GO7" s="415" t="s">
        <v>102</v>
      </c>
      <c r="GP7" s="415" t="s">
        <v>88</v>
      </c>
      <c r="GQ7" s="415" t="s">
        <v>93</v>
      </c>
      <c r="GR7" s="416" t="s">
        <v>154</v>
      </c>
      <c r="GS7" s="415" t="s">
        <v>102</v>
      </c>
      <c r="GT7" s="415" t="s">
        <v>88</v>
      </c>
      <c r="GU7" s="415" t="s">
        <v>93</v>
      </c>
      <c r="GV7" s="416" t="s">
        <v>154</v>
      </c>
      <c r="GW7" s="415" t="s">
        <v>102</v>
      </c>
      <c r="GX7" s="415" t="s">
        <v>88</v>
      </c>
      <c r="GZ7" s="415" t="s">
        <v>151</v>
      </c>
      <c r="HA7" s="615" t="s">
        <v>152</v>
      </c>
      <c r="HB7" s="616"/>
      <c r="HC7" s="617" t="s">
        <v>153</v>
      </c>
      <c r="HD7" s="618"/>
      <c r="HE7" s="615" t="s">
        <v>159</v>
      </c>
      <c r="HF7" s="616"/>
      <c r="HG7" s="615" t="s">
        <v>158</v>
      </c>
      <c r="HH7" s="616"/>
      <c r="HI7" s="416" t="s">
        <v>154</v>
      </c>
      <c r="HJ7" s="619" t="s">
        <v>85</v>
      </c>
      <c r="HK7" s="619"/>
      <c r="HL7" s="415" t="s">
        <v>86</v>
      </c>
      <c r="HM7" s="416" t="s">
        <v>154</v>
      </c>
      <c r="HN7" s="415" t="s">
        <v>102</v>
      </c>
      <c r="HO7" s="415" t="s">
        <v>88</v>
      </c>
      <c r="HP7" s="415" t="s">
        <v>93</v>
      </c>
      <c r="HQ7" s="416" t="s">
        <v>154</v>
      </c>
      <c r="HR7" s="415" t="s">
        <v>102</v>
      </c>
      <c r="HS7" s="415" t="s">
        <v>88</v>
      </c>
      <c r="HT7" s="415" t="s">
        <v>93</v>
      </c>
      <c r="HU7" s="416" t="s">
        <v>154</v>
      </c>
      <c r="HV7" s="415" t="s">
        <v>102</v>
      </c>
      <c r="HW7" s="415" t="s">
        <v>88</v>
      </c>
      <c r="HY7" s="415" t="s">
        <v>151</v>
      </c>
      <c r="HZ7" s="615" t="s">
        <v>152</v>
      </c>
      <c r="IA7" s="616"/>
      <c r="IB7" s="617" t="s">
        <v>153</v>
      </c>
      <c r="IC7" s="618"/>
      <c r="ID7" s="615" t="s">
        <v>159</v>
      </c>
      <c r="IE7" s="616"/>
      <c r="IF7" s="615" t="s">
        <v>158</v>
      </c>
      <c r="IG7" s="616"/>
      <c r="IH7" s="416" t="s">
        <v>154</v>
      </c>
      <c r="II7" s="619" t="s">
        <v>85</v>
      </c>
      <c r="IJ7" s="619"/>
      <c r="IK7" s="415" t="s">
        <v>86</v>
      </c>
      <c r="IL7" s="416" t="s">
        <v>154</v>
      </c>
      <c r="IM7" s="415" t="s">
        <v>102</v>
      </c>
      <c r="IN7" s="415" t="s">
        <v>88</v>
      </c>
      <c r="IO7" s="415" t="s">
        <v>93</v>
      </c>
      <c r="IP7" s="416" t="s">
        <v>154</v>
      </c>
      <c r="IQ7" s="415" t="s">
        <v>102</v>
      </c>
      <c r="IR7" s="415" t="s">
        <v>88</v>
      </c>
      <c r="IS7" s="415" t="s">
        <v>93</v>
      </c>
      <c r="IT7" s="416" t="s">
        <v>154</v>
      </c>
      <c r="IU7" s="415" t="s">
        <v>102</v>
      </c>
      <c r="IV7" s="415" t="s">
        <v>88</v>
      </c>
    </row>
    <row r="8" spans="2:256" s="421" customFormat="1" x14ac:dyDescent="0.25">
      <c r="B8" s="418"/>
      <c r="C8" s="418"/>
      <c r="D8" s="418"/>
      <c r="E8" s="419"/>
      <c r="F8" s="412"/>
      <c r="G8" s="412"/>
      <c r="H8" s="412"/>
      <c r="I8" s="420" t="s">
        <v>84</v>
      </c>
      <c r="J8" s="412" t="s">
        <v>83</v>
      </c>
      <c r="K8" s="420" t="s">
        <v>84</v>
      </c>
      <c r="L8" s="412" t="s">
        <v>150</v>
      </c>
      <c r="M8" s="412" t="s">
        <v>7</v>
      </c>
      <c r="N8" s="412" t="s">
        <v>0</v>
      </c>
      <c r="O8" s="412" t="s">
        <v>84</v>
      </c>
      <c r="P8" s="412" t="s">
        <v>60</v>
      </c>
      <c r="Q8" s="412" t="s">
        <v>101</v>
      </c>
      <c r="R8" s="412" t="s">
        <v>7</v>
      </c>
      <c r="S8" s="412" t="s">
        <v>0</v>
      </c>
      <c r="T8" s="412" t="s">
        <v>87</v>
      </c>
      <c r="U8" s="412" t="s">
        <v>101</v>
      </c>
      <c r="V8" s="412" t="s">
        <v>60</v>
      </c>
      <c r="W8" s="412"/>
      <c r="X8" s="412" t="s">
        <v>87</v>
      </c>
      <c r="Y8" s="412" t="s">
        <v>101</v>
      </c>
      <c r="Z8" s="412" t="s">
        <v>60</v>
      </c>
      <c r="AA8" s="412"/>
      <c r="AB8" s="412" t="s">
        <v>87</v>
      </c>
      <c r="AC8" s="412" t="s">
        <v>101</v>
      </c>
      <c r="AD8" s="412" t="s">
        <v>60</v>
      </c>
      <c r="AE8" s="412"/>
      <c r="AG8" s="412"/>
      <c r="AH8" s="420" t="s">
        <v>84</v>
      </c>
      <c r="AI8" s="412" t="s">
        <v>83</v>
      </c>
      <c r="AJ8" s="420" t="s">
        <v>84</v>
      </c>
      <c r="AK8" s="412" t="s">
        <v>150</v>
      </c>
      <c r="AL8" s="412" t="s">
        <v>7</v>
      </c>
      <c r="AM8" s="412" t="s">
        <v>0</v>
      </c>
      <c r="AN8" s="412" t="s">
        <v>84</v>
      </c>
      <c r="AO8" s="412" t="s">
        <v>60</v>
      </c>
      <c r="AP8" s="412" t="s">
        <v>101</v>
      </c>
      <c r="AQ8" s="412" t="s">
        <v>7</v>
      </c>
      <c r="AR8" s="412" t="s">
        <v>0</v>
      </c>
      <c r="AS8" s="412" t="s">
        <v>87</v>
      </c>
      <c r="AT8" s="412" t="s">
        <v>101</v>
      </c>
      <c r="AU8" s="412" t="s">
        <v>60</v>
      </c>
      <c r="AV8" s="412"/>
      <c r="AW8" s="412" t="s">
        <v>87</v>
      </c>
      <c r="AX8" s="412" t="s">
        <v>101</v>
      </c>
      <c r="AY8" s="412" t="s">
        <v>60</v>
      </c>
      <c r="AZ8" s="412"/>
      <c r="BA8" s="412" t="s">
        <v>87</v>
      </c>
      <c r="BB8" s="412" t="s">
        <v>101</v>
      </c>
      <c r="BC8" s="412" t="s">
        <v>60</v>
      </c>
      <c r="BD8" s="412"/>
      <c r="BF8" s="412"/>
      <c r="BG8" s="420" t="s">
        <v>84</v>
      </c>
      <c r="BH8" s="412" t="s">
        <v>83</v>
      </c>
      <c r="BI8" s="420" t="s">
        <v>84</v>
      </c>
      <c r="BJ8" s="412" t="s">
        <v>150</v>
      </c>
      <c r="BK8" s="412" t="s">
        <v>7</v>
      </c>
      <c r="BL8" s="412" t="s">
        <v>0</v>
      </c>
      <c r="BM8" s="412" t="s">
        <v>84</v>
      </c>
      <c r="BN8" s="412" t="s">
        <v>60</v>
      </c>
      <c r="BO8" s="412" t="s">
        <v>101</v>
      </c>
      <c r="BP8" s="412" t="s">
        <v>7</v>
      </c>
      <c r="BQ8" s="412" t="s">
        <v>0</v>
      </c>
      <c r="BR8" s="412" t="s">
        <v>87</v>
      </c>
      <c r="BS8" s="412" t="s">
        <v>101</v>
      </c>
      <c r="BT8" s="412" t="s">
        <v>60</v>
      </c>
      <c r="BU8" s="412"/>
      <c r="BV8" s="412" t="s">
        <v>87</v>
      </c>
      <c r="BW8" s="412" t="s">
        <v>101</v>
      </c>
      <c r="BX8" s="412" t="s">
        <v>60</v>
      </c>
      <c r="BY8" s="412"/>
      <c r="BZ8" s="412" t="s">
        <v>87</v>
      </c>
      <c r="CA8" s="412" t="s">
        <v>101</v>
      </c>
      <c r="CB8" s="412" t="s">
        <v>60</v>
      </c>
      <c r="CC8" s="412"/>
      <c r="CE8" s="412"/>
      <c r="CF8" s="420" t="s">
        <v>84</v>
      </c>
      <c r="CG8" s="412" t="s">
        <v>83</v>
      </c>
      <c r="CH8" s="420" t="s">
        <v>84</v>
      </c>
      <c r="CI8" s="412" t="s">
        <v>150</v>
      </c>
      <c r="CJ8" s="412" t="s">
        <v>7</v>
      </c>
      <c r="CK8" s="412" t="s">
        <v>0</v>
      </c>
      <c r="CL8" s="412" t="s">
        <v>84</v>
      </c>
      <c r="CM8" s="412" t="s">
        <v>60</v>
      </c>
      <c r="CN8" s="412" t="s">
        <v>101</v>
      </c>
      <c r="CO8" s="412" t="s">
        <v>7</v>
      </c>
      <c r="CP8" s="412" t="s">
        <v>0</v>
      </c>
      <c r="CQ8" s="412" t="s">
        <v>87</v>
      </c>
      <c r="CR8" s="412" t="s">
        <v>101</v>
      </c>
      <c r="CS8" s="412" t="s">
        <v>60</v>
      </c>
      <c r="CT8" s="412"/>
      <c r="CU8" s="412" t="s">
        <v>87</v>
      </c>
      <c r="CV8" s="412" t="s">
        <v>101</v>
      </c>
      <c r="CW8" s="412" t="s">
        <v>60</v>
      </c>
      <c r="CX8" s="412"/>
      <c r="CY8" s="412" t="s">
        <v>87</v>
      </c>
      <c r="CZ8" s="412" t="s">
        <v>101</v>
      </c>
      <c r="DA8" s="412" t="s">
        <v>60</v>
      </c>
      <c r="DB8" s="412"/>
      <c r="DD8" s="412"/>
      <c r="DE8" s="420" t="s">
        <v>84</v>
      </c>
      <c r="DF8" s="412" t="s">
        <v>83</v>
      </c>
      <c r="DG8" s="420" t="s">
        <v>84</v>
      </c>
      <c r="DH8" s="412" t="s">
        <v>150</v>
      </c>
      <c r="DI8" s="412" t="s">
        <v>7</v>
      </c>
      <c r="DJ8" s="412" t="s">
        <v>0</v>
      </c>
      <c r="DK8" s="412" t="s">
        <v>84</v>
      </c>
      <c r="DL8" s="412" t="s">
        <v>60</v>
      </c>
      <c r="DM8" s="412" t="s">
        <v>101</v>
      </c>
      <c r="DN8" s="412" t="s">
        <v>7</v>
      </c>
      <c r="DO8" s="412" t="s">
        <v>0</v>
      </c>
      <c r="DP8" s="412" t="s">
        <v>87</v>
      </c>
      <c r="DQ8" s="412" t="s">
        <v>101</v>
      </c>
      <c r="DR8" s="412" t="s">
        <v>60</v>
      </c>
      <c r="DS8" s="412"/>
      <c r="DT8" s="412" t="s">
        <v>87</v>
      </c>
      <c r="DU8" s="412" t="s">
        <v>101</v>
      </c>
      <c r="DV8" s="412" t="s">
        <v>60</v>
      </c>
      <c r="DW8" s="412"/>
      <c r="DX8" s="412" t="s">
        <v>87</v>
      </c>
      <c r="DY8" s="412" t="s">
        <v>101</v>
      </c>
      <c r="DZ8" s="412" t="s">
        <v>60</v>
      </c>
      <c r="EA8" s="412"/>
      <c r="EC8" s="412"/>
      <c r="ED8" s="420" t="s">
        <v>84</v>
      </c>
      <c r="EE8" s="412" t="s">
        <v>83</v>
      </c>
      <c r="EF8" s="420" t="s">
        <v>84</v>
      </c>
      <c r="EG8" s="412" t="s">
        <v>150</v>
      </c>
      <c r="EH8" s="412" t="s">
        <v>7</v>
      </c>
      <c r="EI8" s="412" t="s">
        <v>0</v>
      </c>
      <c r="EJ8" s="412" t="s">
        <v>84</v>
      </c>
      <c r="EK8" s="412" t="s">
        <v>60</v>
      </c>
      <c r="EL8" s="412" t="s">
        <v>101</v>
      </c>
      <c r="EM8" s="412" t="s">
        <v>7</v>
      </c>
      <c r="EN8" s="412" t="s">
        <v>0</v>
      </c>
      <c r="EO8" s="412" t="s">
        <v>87</v>
      </c>
      <c r="EP8" s="412" t="s">
        <v>101</v>
      </c>
      <c r="EQ8" s="412" t="s">
        <v>60</v>
      </c>
      <c r="ER8" s="412"/>
      <c r="ES8" s="412" t="s">
        <v>87</v>
      </c>
      <c r="ET8" s="412" t="s">
        <v>101</v>
      </c>
      <c r="EU8" s="412" t="s">
        <v>60</v>
      </c>
      <c r="EV8" s="412"/>
      <c r="EW8" s="412" t="s">
        <v>87</v>
      </c>
      <c r="EX8" s="412" t="s">
        <v>101</v>
      </c>
      <c r="EY8" s="412" t="s">
        <v>60</v>
      </c>
      <c r="EZ8" s="412"/>
      <c r="FB8" s="412"/>
      <c r="FC8" s="420" t="s">
        <v>84</v>
      </c>
      <c r="FD8" s="412" t="s">
        <v>83</v>
      </c>
      <c r="FE8" s="420" t="s">
        <v>84</v>
      </c>
      <c r="FF8" s="412" t="s">
        <v>150</v>
      </c>
      <c r="FG8" s="412" t="s">
        <v>7</v>
      </c>
      <c r="FH8" s="412" t="s">
        <v>0</v>
      </c>
      <c r="FI8" s="412" t="s">
        <v>84</v>
      </c>
      <c r="FJ8" s="412" t="s">
        <v>60</v>
      </c>
      <c r="FK8" s="412" t="s">
        <v>101</v>
      </c>
      <c r="FL8" s="412" t="s">
        <v>7</v>
      </c>
      <c r="FM8" s="412" t="s">
        <v>0</v>
      </c>
      <c r="FN8" s="412" t="s">
        <v>87</v>
      </c>
      <c r="FO8" s="412" t="s">
        <v>101</v>
      </c>
      <c r="FP8" s="412" t="s">
        <v>60</v>
      </c>
      <c r="FQ8" s="412"/>
      <c r="FR8" s="412" t="s">
        <v>87</v>
      </c>
      <c r="FS8" s="412" t="s">
        <v>101</v>
      </c>
      <c r="FT8" s="412" t="s">
        <v>60</v>
      </c>
      <c r="FU8" s="412"/>
      <c r="FV8" s="412" t="s">
        <v>87</v>
      </c>
      <c r="FW8" s="412" t="s">
        <v>101</v>
      </c>
      <c r="FX8" s="412" t="s">
        <v>60</v>
      </c>
      <c r="FY8" s="412"/>
      <c r="GA8" s="412"/>
      <c r="GB8" s="420" t="s">
        <v>84</v>
      </c>
      <c r="GC8" s="412" t="s">
        <v>83</v>
      </c>
      <c r="GD8" s="420" t="s">
        <v>84</v>
      </c>
      <c r="GE8" s="412" t="s">
        <v>150</v>
      </c>
      <c r="GF8" s="412" t="s">
        <v>7</v>
      </c>
      <c r="GG8" s="412" t="s">
        <v>0</v>
      </c>
      <c r="GH8" s="412" t="s">
        <v>84</v>
      </c>
      <c r="GI8" s="412" t="s">
        <v>60</v>
      </c>
      <c r="GJ8" s="412" t="s">
        <v>101</v>
      </c>
      <c r="GK8" s="412" t="s">
        <v>7</v>
      </c>
      <c r="GL8" s="412" t="s">
        <v>0</v>
      </c>
      <c r="GM8" s="412" t="s">
        <v>87</v>
      </c>
      <c r="GN8" s="412" t="s">
        <v>101</v>
      </c>
      <c r="GO8" s="412" t="s">
        <v>60</v>
      </c>
      <c r="GP8" s="412"/>
      <c r="GQ8" s="412" t="s">
        <v>87</v>
      </c>
      <c r="GR8" s="412" t="s">
        <v>101</v>
      </c>
      <c r="GS8" s="412" t="s">
        <v>60</v>
      </c>
      <c r="GT8" s="412"/>
      <c r="GU8" s="412" t="s">
        <v>87</v>
      </c>
      <c r="GV8" s="412" t="s">
        <v>101</v>
      </c>
      <c r="GW8" s="412" t="s">
        <v>60</v>
      </c>
      <c r="GX8" s="412"/>
      <c r="GZ8" s="412"/>
      <c r="HA8" s="420" t="s">
        <v>84</v>
      </c>
      <c r="HB8" s="412" t="s">
        <v>83</v>
      </c>
      <c r="HC8" s="420" t="s">
        <v>84</v>
      </c>
      <c r="HD8" s="412" t="s">
        <v>150</v>
      </c>
      <c r="HE8" s="412" t="s">
        <v>7</v>
      </c>
      <c r="HF8" s="412" t="s">
        <v>0</v>
      </c>
      <c r="HG8" s="412" t="s">
        <v>84</v>
      </c>
      <c r="HH8" s="412" t="s">
        <v>60</v>
      </c>
      <c r="HI8" s="412" t="s">
        <v>101</v>
      </c>
      <c r="HJ8" s="412" t="s">
        <v>7</v>
      </c>
      <c r="HK8" s="412" t="s">
        <v>0</v>
      </c>
      <c r="HL8" s="412" t="s">
        <v>87</v>
      </c>
      <c r="HM8" s="412" t="s">
        <v>101</v>
      </c>
      <c r="HN8" s="412" t="s">
        <v>60</v>
      </c>
      <c r="HO8" s="412"/>
      <c r="HP8" s="412" t="s">
        <v>87</v>
      </c>
      <c r="HQ8" s="412" t="s">
        <v>101</v>
      </c>
      <c r="HR8" s="412" t="s">
        <v>60</v>
      </c>
      <c r="HS8" s="412"/>
      <c r="HT8" s="412" t="s">
        <v>87</v>
      </c>
      <c r="HU8" s="412" t="s">
        <v>101</v>
      </c>
      <c r="HV8" s="412" t="s">
        <v>60</v>
      </c>
      <c r="HW8" s="412"/>
      <c r="HY8" s="412"/>
      <c r="HZ8" s="420" t="s">
        <v>84</v>
      </c>
      <c r="IA8" s="412" t="s">
        <v>83</v>
      </c>
      <c r="IB8" s="420" t="s">
        <v>84</v>
      </c>
      <c r="IC8" s="412" t="s">
        <v>150</v>
      </c>
      <c r="ID8" s="412" t="s">
        <v>7</v>
      </c>
      <c r="IE8" s="412" t="s">
        <v>0</v>
      </c>
      <c r="IF8" s="412" t="s">
        <v>84</v>
      </c>
      <c r="IG8" s="412" t="s">
        <v>60</v>
      </c>
      <c r="IH8" s="412" t="s">
        <v>101</v>
      </c>
      <c r="II8" s="412" t="s">
        <v>7</v>
      </c>
      <c r="IJ8" s="412" t="s">
        <v>0</v>
      </c>
      <c r="IK8" s="412" t="s">
        <v>87</v>
      </c>
      <c r="IL8" s="412" t="s">
        <v>101</v>
      </c>
      <c r="IM8" s="412" t="s">
        <v>60</v>
      </c>
      <c r="IN8" s="412"/>
      <c r="IO8" s="412" t="s">
        <v>87</v>
      </c>
      <c r="IP8" s="412" t="s">
        <v>101</v>
      </c>
      <c r="IQ8" s="412" t="s">
        <v>60</v>
      </c>
      <c r="IR8" s="412"/>
      <c r="IS8" s="412" t="s">
        <v>87</v>
      </c>
      <c r="IT8" s="412" t="s">
        <v>101</v>
      </c>
      <c r="IU8" s="412" t="s">
        <v>60</v>
      </c>
      <c r="IV8" s="412"/>
    </row>
    <row r="9" spans="2:256" x14ac:dyDescent="0.25">
      <c r="B9" s="422">
        <v>1</v>
      </c>
      <c r="C9" s="422">
        <v>8</v>
      </c>
      <c r="D9" s="422" t="s">
        <v>96</v>
      </c>
      <c r="E9" s="419"/>
      <c r="F9" s="423" t="s">
        <v>95</v>
      </c>
      <c r="G9" s="423" t="str">
        <f>D9</f>
        <v>6am- 6pm</v>
      </c>
      <c r="H9" s="424">
        <f>'Fleet Inventory'!C8</f>
        <v>2000</v>
      </c>
      <c r="I9" s="425">
        <v>1</v>
      </c>
      <c r="J9" s="426">
        <f>H9*I9</f>
        <v>2000</v>
      </c>
      <c r="K9" s="425"/>
      <c r="L9" s="426"/>
      <c r="M9" s="427">
        <v>1</v>
      </c>
      <c r="N9" s="426">
        <f>J9*M9</f>
        <v>2000</v>
      </c>
      <c r="O9" s="428"/>
      <c r="P9" s="426"/>
      <c r="Q9" s="426"/>
      <c r="R9" s="426"/>
      <c r="S9" s="426"/>
      <c r="T9" s="427"/>
      <c r="U9" s="426"/>
      <c r="V9" s="429"/>
      <c r="W9" s="426"/>
      <c r="X9" s="427"/>
      <c r="Y9" s="426"/>
      <c r="Z9" s="429"/>
      <c r="AA9" s="426"/>
      <c r="AB9" s="427"/>
      <c r="AC9" s="426"/>
      <c r="AD9" s="429"/>
      <c r="AE9" s="426"/>
      <c r="AG9" s="424">
        <f>'Fleet Inventory'!D7+'Fleet Inventory'!D8</f>
        <v>4000</v>
      </c>
      <c r="AH9" s="425">
        <v>1</v>
      </c>
      <c r="AI9" s="426">
        <f>AG9*AH9</f>
        <v>4000</v>
      </c>
      <c r="AJ9" s="425"/>
      <c r="AK9" s="426"/>
      <c r="AL9" s="427">
        <v>1</v>
      </c>
      <c r="AM9" s="426">
        <f>AI9*AL9</f>
        <v>4000</v>
      </c>
      <c r="AN9" s="428"/>
      <c r="AO9" s="426"/>
      <c r="AP9" s="426"/>
      <c r="AQ9" s="426"/>
      <c r="AR9" s="426"/>
      <c r="AS9" s="427"/>
      <c r="AT9" s="426"/>
      <c r="AU9" s="429"/>
      <c r="AV9" s="426"/>
      <c r="AW9" s="427"/>
      <c r="AX9" s="426"/>
      <c r="AY9" s="429"/>
      <c r="AZ9" s="426"/>
      <c r="BA9" s="427"/>
      <c r="BB9" s="426"/>
      <c r="BC9" s="429"/>
      <c r="BD9" s="426"/>
      <c r="BF9" s="424">
        <f>'Fleet Inventory'!E7+'Fleet Inventory'!E8</f>
        <v>6000</v>
      </c>
      <c r="BG9" s="425">
        <v>1</v>
      </c>
      <c r="BH9" s="426">
        <f>BF9*BG9</f>
        <v>6000</v>
      </c>
      <c r="BI9" s="425"/>
      <c r="BJ9" s="426"/>
      <c r="BK9" s="427">
        <v>1</v>
      </c>
      <c r="BL9" s="426">
        <f>BH9*BK9</f>
        <v>6000</v>
      </c>
      <c r="BM9" s="428"/>
      <c r="BN9" s="426"/>
      <c r="BO9" s="426"/>
      <c r="BP9" s="426"/>
      <c r="BQ9" s="426"/>
      <c r="BR9" s="427"/>
      <c r="BS9" s="426"/>
      <c r="BT9" s="429"/>
      <c r="BU9" s="426"/>
      <c r="BV9" s="427"/>
      <c r="BW9" s="426"/>
      <c r="BX9" s="429"/>
      <c r="BY9" s="426"/>
      <c r="BZ9" s="427"/>
      <c r="CA9" s="426"/>
      <c r="CB9" s="429"/>
      <c r="CC9" s="426"/>
      <c r="CE9" s="424">
        <f>'Fleet Inventory'!F7+'Fleet Inventory'!F8</f>
        <v>8000</v>
      </c>
      <c r="CF9" s="425">
        <v>1</v>
      </c>
      <c r="CG9" s="426">
        <f>CE9*CF9</f>
        <v>8000</v>
      </c>
      <c r="CH9" s="425"/>
      <c r="CI9" s="426"/>
      <c r="CJ9" s="427">
        <v>1</v>
      </c>
      <c r="CK9" s="426">
        <f>CG9*CJ9</f>
        <v>8000</v>
      </c>
      <c r="CL9" s="428"/>
      <c r="CM9" s="426"/>
      <c r="CN9" s="426"/>
      <c r="CO9" s="426"/>
      <c r="CP9" s="426"/>
      <c r="CQ9" s="427"/>
      <c r="CR9" s="426"/>
      <c r="CS9" s="429"/>
      <c r="CT9" s="426"/>
      <c r="CU9" s="427"/>
      <c r="CV9" s="426"/>
      <c r="CW9" s="429"/>
      <c r="CX9" s="426"/>
      <c r="CY9" s="427"/>
      <c r="CZ9" s="426"/>
      <c r="DA9" s="429"/>
      <c r="DB9" s="426"/>
      <c r="DD9" s="424">
        <f>'Fleet Inventory'!G7+'Fleet Inventory'!G8</f>
        <v>10000</v>
      </c>
      <c r="DE9" s="425">
        <v>1</v>
      </c>
      <c r="DF9" s="426">
        <f>DD9*DE9</f>
        <v>10000</v>
      </c>
      <c r="DG9" s="425"/>
      <c r="DH9" s="426"/>
      <c r="DI9" s="427">
        <v>1</v>
      </c>
      <c r="DJ9" s="426">
        <f>DF9*DI9</f>
        <v>10000</v>
      </c>
      <c r="DK9" s="428"/>
      <c r="DL9" s="426"/>
      <c r="DM9" s="426"/>
      <c r="DN9" s="426"/>
      <c r="DO9" s="426"/>
      <c r="DP9" s="427"/>
      <c r="DQ9" s="426"/>
      <c r="DR9" s="429"/>
      <c r="DS9" s="426"/>
      <c r="DT9" s="427"/>
      <c r="DU9" s="426"/>
      <c r="DV9" s="429"/>
      <c r="DW9" s="426"/>
      <c r="DX9" s="427"/>
      <c r="DY9" s="426"/>
      <c r="DZ9" s="429"/>
      <c r="EA9" s="426"/>
      <c r="EC9" s="424">
        <f>'Fleet Inventory'!H7+'Fleet Inventory'!H8</f>
        <v>10000</v>
      </c>
      <c r="ED9" s="425">
        <v>1</v>
      </c>
      <c r="EE9" s="426">
        <f>EC9*ED9</f>
        <v>10000</v>
      </c>
      <c r="EF9" s="425"/>
      <c r="EG9" s="426"/>
      <c r="EH9" s="427">
        <v>1</v>
      </c>
      <c r="EI9" s="426">
        <f>EE9*EH9</f>
        <v>10000</v>
      </c>
      <c r="EJ9" s="428"/>
      <c r="EK9" s="426"/>
      <c r="EL9" s="426"/>
      <c r="EM9" s="426"/>
      <c r="EN9" s="426"/>
      <c r="EO9" s="427"/>
      <c r="EP9" s="426"/>
      <c r="EQ9" s="429"/>
      <c r="ER9" s="426"/>
      <c r="ES9" s="427"/>
      <c r="ET9" s="426"/>
      <c r="EU9" s="429"/>
      <c r="EV9" s="426"/>
      <c r="EW9" s="427"/>
      <c r="EX9" s="426"/>
      <c r="EY9" s="429"/>
      <c r="EZ9" s="426"/>
      <c r="FB9" s="424">
        <f>'Fleet Inventory'!I7+'Fleet Inventory'!I8</f>
        <v>10000</v>
      </c>
      <c r="FC9" s="425">
        <v>1</v>
      </c>
      <c r="FD9" s="426">
        <f>FB9*FC9</f>
        <v>10000</v>
      </c>
      <c r="FE9" s="425"/>
      <c r="FF9" s="426"/>
      <c r="FG9" s="427">
        <v>1</v>
      </c>
      <c r="FH9" s="426">
        <f>FD9*FG9</f>
        <v>10000</v>
      </c>
      <c r="FI9" s="428"/>
      <c r="FJ9" s="426"/>
      <c r="FK9" s="426"/>
      <c r="FL9" s="426"/>
      <c r="FM9" s="426"/>
      <c r="FN9" s="427"/>
      <c r="FO9" s="426"/>
      <c r="FP9" s="429"/>
      <c r="FQ9" s="426"/>
      <c r="FR9" s="427"/>
      <c r="FS9" s="426"/>
      <c r="FT9" s="429"/>
      <c r="FU9" s="426"/>
      <c r="FV9" s="427"/>
      <c r="FW9" s="426"/>
      <c r="FX9" s="429"/>
      <c r="FY9" s="426"/>
      <c r="GA9" s="424">
        <f>'Fleet Inventory'!J7+'Fleet Inventory'!J8</f>
        <v>10000</v>
      </c>
      <c r="GB9" s="425">
        <v>1</v>
      </c>
      <c r="GC9" s="426">
        <f>GA9*GB9</f>
        <v>10000</v>
      </c>
      <c r="GD9" s="425"/>
      <c r="GE9" s="426"/>
      <c r="GF9" s="427">
        <v>1</v>
      </c>
      <c r="GG9" s="426">
        <f>GC9*GF9</f>
        <v>10000</v>
      </c>
      <c r="GH9" s="428"/>
      <c r="GI9" s="426"/>
      <c r="GJ9" s="426"/>
      <c r="GK9" s="426"/>
      <c r="GL9" s="426"/>
      <c r="GM9" s="427"/>
      <c r="GN9" s="426"/>
      <c r="GO9" s="429"/>
      <c r="GP9" s="426"/>
      <c r="GQ9" s="427"/>
      <c r="GR9" s="426"/>
      <c r="GS9" s="429"/>
      <c r="GT9" s="426"/>
      <c r="GU9" s="427"/>
      <c r="GV9" s="426"/>
      <c r="GW9" s="429"/>
      <c r="GX9" s="426"/>
      <c r="GZ9" s="424">
        <f>'Fleet Inventory'!K7+'Fleet Inventory'!K8</f>
        <v>10000</v>
      </c>
      <c r="HA9" s="425">
        <v>1</v>
      </c>
      <c r="HB9" s="426">
        <f>GZ9*HA9</f>
        <v>10000</v>
      </c>
      <c r="HC9" s="425"/>
      <c r="HD9" s="426"/>
      <c r="HE9" s="427">
        <v>1</v>
      </c>
      <c r="HF9" s="426">
        <f>HB9*HE9</f>
        <v>10000</v>
      </c>
      <c r="HG9" s="428"/>
      <c r="HH9" s="426"/>
      <c r="HI9" s="426"/>
      <c r="HJ9" s="426"/>
      <c r="HK9" s="426"/>
      <c r="HL9" s="427"/>
      <c r="HM9" s="426"/>
      <c r="HN9" s="429"/>
      <c r="HO9" s="426"/>
      <c r="HP9" s="427"/>
      <c r="HQ9" s="426"/>
      <c r="HR9" s="429"/>
      <c r="HS9" s="426"/>
      <c r="HT9" s="427"/>
      <c r="HU9" s="426"/>
      <c r="HV9" s="429"/>
      <c r="HW9" s="426"/>
      <c r="HY9" s="424">
        <f>'Fleet Inventory'!L7+'Fleet Inventory'!L8</f>
        <v>10000</v>
      </c>
      <c r="HZ9" s="425">
        <v>1</v>
      </c>
      <c r="IA9" s="426">
        <f>HY9*HZ9</f>
        <v>10000</v>
      </c>
      <c r="IB9" s="425"/>
      <c r="IC9" s="426"/>
      <c r="ID9" s="427">
        <v>1</v>
      </c>
      <c r="IE9" s="426">
        <f>IA9*ID9</f>
        <v>10000</v>
      </c>
      <c r="IF9" s="428"/>
      <c r="IG9" s="426"/>
      <c r="IH9" s="426"/>
      <c r="II9" s="426"/>
      <c r="IJ9" s="426"/>
      <c r="IK9" s="427"/>
      <c r="IL9" s="426"/>
      <c r="IM9" s="429"/>
      <c r="IN9" s="426"/>
      <c r="IO9" s="427"/>
      <c r="IP9" s="426"/>
      <c r="IQ9" s="429"/>
      <c r="IR9" s="426"/>
      <c r="IS9" s="427"/>
      <c r="IT9" s="426"/>
      <c r="IU9" s="429"/>
      <c r="IV9" s="426"/>
    </row>
    <row r="10" spans="2:256" x14ac:dyDescent="0.25">
      <c r="B10" s="422"/>
      <c r="C10" s="422"/>
      <c r="D10" s="422"/>
      <c r="E10" s="419" t="s">
        <v>143</v>
      </c>
      <c r="F10" s="423"/>
      <c r="G10" s="423"/>
      <c r="H10" s="424"/>
      <c r="I10" s="430">
        <v>0.21</v>
      </c>
      <c r="J10" s="424">
        <f>I10*H$9</f>
        <v>420</v>
      </c>
      <c r="K10" s="430">
        <v>1</v>
      </c>
      <c r="L10" s="424">
        <f>J10*K10</f>
        <v>420</v>
      </c>
      <c r="M10" s="423">
        <v>1</v>
      </c>
      <c r="N10" s="424">
        <f>L10*M10</f>
        <v>420</v>
      </c>
      <c r="O10" s="431">
        <f>'Parameters and Summary'!E74</f>
        <v>1</v>
      </c>
      <c r="P10" s="424">
        <f>N10*O10</f>
        <v>420</v>
      </c>
      <c r="Q10" s="424">
        <v>15</v>
      </c>
      <c r="R10" s="424">
        <f>'Parameters and Summary'!E24</f>
        <v>1500</v>
      </c>
      <c r="S10" s="424">
        <f t="shared" ref="S10:S15" si="0">R10*P10*Q10</f>
        <v>9450000</v>
      </c>
      <c r="T10" s="423">
        <v>6</v>
      </c>
      <c r="U10" s="424">
        <f>Q10</f>
        <v>15</v>
      </c>
      <c r="V10" s="432">
        <f>T10*P10</f>
        <v>2520</v>
      </c>
      <c r="W10" s="424">
        <f t="shared" ref="W10:W15" si="1">V10*R10*U10</f>
        <v>56700000</v>
      </c>
      <c r="X10" s="423">
        <v>24</v>
      </c>
      <c r="Y10" s="424">
        <f>U10</f>
        <v>15</v>
      </c>
      <c r="Z10" s="432">
        <f t="shared" ref="Z10:Z15" si="2">X10*P10*Y10</f>
        <v>151200</v>
      </c>
      <c r="AA10" s="424">
        <f t="shared" ref="AA10:AA15" si="3">Z10*R10</f>
        <v>226800000</v>
      </c>
      <c r="AB10" s="423">
        <f t="shared" ref="AB10:AB15" si="4">X10*12</f>
        <v>288</v>
      </c>
      <c r="AC10" s="424">
        <f>Y10</f>
        <v>15</v>
      </c>
      <c r="AD10" s="432">
        <f>AB10*P10*AC10</f>
        <v>1814400</v>
      </c>
      <c r="AE10" s="424">
        <f t="shared" ref="AE10:AE15" si="5">AD10*R10</f>
        <v>2721600000</v>
      </c>
      <c r="AG10" s="424"/>
      <c r="AH10" s="430">
        <v>0.21</v>
      </c>
      <c r="AI10" s="424">
        <f>AH10*AG$9</f>
        <v>840</v>
      </c>
      <c r="AJ10" s="430">
        <v>1</v>
      </c>
      <c r="AK10" s="424">
        <f>AI10*AJ10</f>
        <v>840</v>
      </c>
      <c r="AL10" s="423">
        <v>1</v>
      </c>
      <c r="AM10" s="424">
        <f>AK10*AL10</f>
        <v>840</v>
      </c>
      <c r="AN10" s="431">
        <f>'Parameters and Summary'!E74</f>
        <v>1</v>
      </c>
      <c r="AO10" s="424">
        <f>AM10*AN10</f>
        <v>840</v>
      </c>
      <c r="AP10" s="424">
        <v>15</v>
      </c>
      <c r="AQ10" s="424">
        <f>'Parameters and Summary'!G24</f>
        <v>1575</v>
      </c>
      <c r="AR10" s="424">
        <f t="shared" ref="AR10:AR15" si="6">AQ10*AO10*AP10</f>
        <v>19845000</v>
      </c>
      <c r="AS10" s="423">
        <v>6</v>
      </c>
      <c r="AT10" s="424">
        <f>AP10</f>
        <v>15</v>
      </c>
      <c r="AU10" s="432">
        <f>AS10*AO10</f>
        <v>5040</v>
      </c>
      <c r="AV10" s="424">
        <f t="shared" ref="AV10:AV15" si="7">AU10*AQ10*AT10</f>
        <v>119070000</v>
      </c>
      <c r="AW10" s="423">
        <v>24</v>
      </c>
      <c r="AX10" s="424">
        <f>AT10</f>
        <v>15</v>
      </c>
      <c r="AY10" s="432">
        <f t="shared" ref="AY10:AY15" si="8">AW10*AO10*AX10</f>
        <v>302400</v>
      </c>
      <c r="AZ10" s="424">
        <f t="shared" ref="AZ10:AZ15" si="9">AY10*AQ10</f>
        <v>476280000</v>
      </c>
      <c r="BA10" s="423">
        <f t="shared" ref="BA10:BA15" si="10">AW10*12</f>
        <v>288</v>
      </c>
      <c r="BB10" s="424">
        <f>AX10</f>
        <v>15</v>
      </c>
      <c r="BC10" s="432">
        <f>BA10*AO10*BB10</f>
        <v>3628800</v>
      </c>
      <c r="BD10" s="424">
        <f t="shared" ref="BD10:BD15" si="11">BC10*AQ10</f>
        <v>5715360000</v>
      </c>
      <c r="BF10" s="424"/>
      <c r="BG10" s="430">
        <v>0.21</v>
      </c>
      <c r="BH10" s="424">
        <f>BG10*BF$9</f>
        <v>1260</v>
      </c>
      <c r="BI10" s="430">
        <v>1</v>
      </c>
      <c r="BJ10" s="424">
        <f>BH10*BI10</f>
        <v>1260</v>
      </c>
      <c r="BK10" s="423">
        <v>1</v>
      </c>
      <c r="BL10" s="424">
        <f>BJ10*BK10</f>
        <v>1260</v>
      </c>
      <c r="BM10" s="431">
        <f>'Parameters and Summary'!E74</f>
        <v>1</v>
      </c>
      <c r="BN10" s="424">
        <f>BL10*BM10</f>
        <v>1260</v>
      </c>
      <c r="BO10" s="424">
        <v>15</v>
      </c>
      <c r="BP10" s="424">
        <f>'Parameters and Summary'!H24</f>
        <v>1653.75</v>
      </c>
      <c r="BQ10" s="424">
        <f t="shared" ref="BQ10:BQ15" si="12">BP10*BN10*BO10</f>
        <v>31255875</v>
      </c>
      <c r="BR10" s="423">
        <v>6</v>
      </c>
      <c r="BS10" s="424">
        <f>BO10</f>
        <v>15</v>
      </c>
      <c r="BT10" s="432">
        <f>BR10*BN10</f>
        <v>7560</v>
      </c>
      <c r="BU10" s="424">
        <f t="shared" ref="BU10:BU15" si="13">BT10*BP10*BS10</f>
        <v>187535250</v>
      </c>
      <c r="BV10" s="423">
        <v>24</v>
      </c>
      <c r="BW10" s="424">
        <f>BS10</f>
        <v>15</v>
      </c>
      <c r="BX10" s="432">
        <f t="shared" ref="BX10:BX15" si="14">BV10*BN10*BW10</f>
        <v>453600</v>
      </c>
      <c r="BY10" s="424">
        <f t="shared" ref="BY10:BY15" si="15">BX10*BP10</f>
        <v>750141000</v>
      </c>
      <c r="BZ10" s="423">
        <f t="shared" ref="BZ10:BZ15" si="16">BV10*12</f>
        <v>288</v>
      </c>
      <c r="CA10" s="424">
        <f>BW10</f>
        <v>15</v>
      </c>
      <c r="CB10" s="432">
        <f>BZ10*BN10*CA10</f>
        <v>5443200</v>
      </c>
      <c r="CC10" s="424">
        <f t="shared" ref="CC10:CC15" si="17">CB10*BP10</f>
        <v>9001692000</v>
      </c>
      <c r="CE10" s="424"/>
      <c r="CF10" s="430">
        <v>0.21</v>
      </c>
      <c r="CG10" s="424">
        <f>CF10*CE$9</f>
        <v>1680</v>
      </c>
      <c r="CH10" s="430">
        <v>1</v>
      </c>
      <c r="CI10" s="424">
        <f>CG10*CH10</f>
        <v>1680</v>
      </c>
      <c r="CJ10" s="423">
        <v>1</v>
      </c>
      <c r="CK10" s="424">
        <f>CI10*CJ10</f>
        <v>1680</v>
      </c>
      <c r="CL10" s="431">
        <f>'Parameters and Summary'!E74</f>
        <v>1</v>
      </c>
      <c r="CM10" s="424">
        <f>CK10*CL10</f>
        <v>1680</v>
      </c>
      <c r="CN10" s="424">
        <v>15</v>
      </c>
      <c r="CO10" s="424">
        <f>'Parameters and Summary'!I24</f>
        <v>1736.4375</v>
      </c>
      <c r="CP10" s="424">
        <f t="shared" ref="CP10:CP15" si="18">CO10*CM10*CN10</f>
        <v>43758225</v>
      </c>
      <c r="CQ10" s="423">
        <v>6</v>
      </c>
      <c r="CR10" s="424">
        <f>CN10</f>
        <v>15</v>
      </c>
      <c r="CS10" s="432">
        <f>CQ10*CM10</f>
        <v>10080</v>
      </c>
      <c r="CT10" s="424">
        <f t="shared" ref="CT10:CT15" si="19">CS10*CO10*CR10</f>
        <v>262549350</v>
      </c>
      <c r="CU10" s="423">
        <v>24</v>
      </c>
      <c r="CV10" s="424">
        <f>CR10</f>
        <v>15</v>
      </c>
      <c r="CW10" s="432">
        <f t="shared" ref="CW10:CW15" si="20">CU10*CM10*CV10</f>
        <v>604800</v>
      </c>
      <c r="CX10" s="424">
        <f t="shared" ref="CX10:CX15" si="21">CW10*CO10</f>
        <v>1050197400</v>
      </c>
      <c r="CY10" s="423">
        <f t="shared" ref="CY10:CY15" si="22">CU10*12</f>
        <v>288</v>
      </c>
      <c r="CZ10" s="424">
        <f>CV10</f>
        <v>15</v>
      </c>
      <c r="DA10" s="432">
        <f>CY10*CM10*CZ10</f>
        <v>7257600</v>
      </c>
      <c r="DB10" s="424">
        <f t="shared" ref="DB10:DB15" si="23">DA10*CO10</f>
        <v>12602368800</v>
      </c>
      <c r="DD10" s="424"/>
      <c r="DE10" s="430">
        <v>0.21</v>
      </c>
      <c r="DF10" s="424">
        <f>DE10*DD$9</f>
        <v>2100</v>
      </c>
      <c r="DG10" s="430">
        <v>1</v>
      </c>
      <c r="DH10" s="424">
        <f>DF10*DG10</f>
        <v>2100</v>
      </c>
      <c r="DI10" s="423">
        <v>1</v>
      </c>
      <c r="DJ10" s="424">
        <f>DH10*DI10</f>
        <v>2100</v>
      </c>
      <c r="DK10" s="431">
        <f>'Parameters and Summary'!E74</f>
        <v>1</v>
      </c>
      <c r="DL10" s="424">
        <f>DJ10*DK10</f>
        <v>2100</v>
      </c>
      <c r="DM10" s="424">
        <v>15</v>
      </c>
      <c r="DN10" s="424">
        <f>'Parameters and Summary'!J24</f>
        <v>1823.2593750000001</v>
      </c>
      <c r="DO10" s="424">
        <f t="shared" ref="DO10:DO15" si="24">DN10*DL10*DM10</f>
        <v>57432670.3125</v>
      </c>
      <c r="DP10" s="423">
        <v>6</v>
      </c>
      <c r="DQ10" s="424">
        <f>DM10</f>
        <v>15</v>
      </c>
      <c r="DR10" s="432">
        <f>DP10*DL10</f>
        <v>12600</v>
      </c>
      <c r="DS10" s="424">
        <f t="shared" ref="DS10:DS15" si="25">DR10*DN10*DQ10</f>
        <v>344596021.875</v>
      </c>
      <c r="DT10" s="423">
        <v>24</v>
      </c>
      <c r="DU10" s="424">
        <f>DQ10</f>
        <v>15</v>
      </c>
      <c r="DV10" s="432">
        <f t="shared" ref="DV10:DV15" si="26">DT10*DL10*DU10</f>
        <v>756000</v>
      </c>
      <c r="DW10" s="424">
        <f t="shared" ref="DW10:DW15" si="27">DV10*DN10</f>
        <v>1378384087.5</v>
      </c>
      <c r="DX10" s="423">
        <f t="shared" ref="DX10:DX15" si="28">DT10*12</f>
        <v>288</v>
      </c>
      <c r="DY10" s="424">
        <f>DU10</f>
        <v>15</v>
      </c>
      <c r="DZ10" s="432">
        <f>DX10*DL10*DY10</f>
        <v>9072000</v>
      </c>
      <c r="EA10" s="424">
        <f t="shared" ref="EA10:EA15" si="29">DZ10*DN10</f>
        <v>16540609050</v>
      </c>
      <c r="EC10" s="424"/>
      <c r="ED10" s="430">
        <v>0.21</v>
      </c>
      <c r="EE10" s="424">
        <f>ED10*EC$9</f>
        <v>2100</v>
      </c>
      <c r="EF10" s="430">
        <v>1</v>
      </c>
      <c r="EG10" s="424">
        <f>EE10*EF10</f>
        <v>2100</v>
      </c>
      <c r="EH10" s="423">
        <v>1</v>
      </c>
      <c r="EI10" s="424">
        <f>EG10*EH10</f>
        <v>2100</v>
      </c>
      <c r="EJ10" s="431">
        <f>'Parameters and Summary'!E74</f>
        <v>1</v>
      </c>
      <c r="EK10" s="424">
        <f>EI10*EJ10</f>
        <v>2100</v>
      </c>
      <c r="EL10" s="424">
        <v>15</v>
      </c>
      <c r="EM10" s="424">
        <f>'Parameters and Summary'!K24</f>
        <v>1914.4223437500002</v>
      </c>
      <c r="EN10" s="424">
        <f t="shared" ref="EN10:EN15" si="30">EM10*EK10*EL10</f>
        <v>60304303.828125007</v>
      </c>
      <c r="EO10" s="423">
        <v>6</v>
      </c>
      <c r="EP10" s="424">
        <f>EL10</f>
        <v>15</v>
      </c>
      <c r="EQ10" s="432">
        <f>EO10*EK10</f>
        <v>12600</v>
      </c>
      <c r="ER10" s="424">
        <f t="shared" ref="ER10:ER15" si="31">EQ10*EM10*EP10</f>
        <v>361825822.96875006</v>
      </c>
      <c r="ES10" s="423">
        <v>24</v>
      </c>
      <c r="ET10" s="424">
        <f>EP10</f>
        <v>15</v>
      </c>
      <c r="EU10" s="432">
        <f t="shared" ref="EU10:EU15" si="32">ES10*EK10*ET10</f>
        <v>756000</v>
      </c>
      <c r="EV10" s="424">
        <f t="shared" ref="EV10:EV15" si="33">EU10*EM10</f>
        <v>1447303291.8750002</v>
      </c>
      <c r="EW10" s="423">
        <f t="shared" ref="EW10:EW15" si="34">ES10*12</f>
        <v>288</v>
      </c>
      <c r="EX10" s="424">
        <f>ET10</f>
        <v>15</v>
      </c>
      <c r="EY10" s="432">
        <f>EW10*EK10*EX10</f>
        <v>9072000</v>
      </c>
      <c r="EZ10" s="424">
        <f t="shared" ref="EZ10:EZ15" si="35">EY10*EM10</f>
        <v>17367639502.5</v>
      </c>
      <c r="FB10" s="424"/>
      <c r="FC10" s="430">
        <v>0.21</v>
      </c>
      <c r="FD10" s="424">
        <f>FC10*FB$9</f>
        <v>2100</v>
      </c>
      <c r="FE10" s="430">
        <v>1</v>
      </c>
      <c r="FF10" s="424">
        <f>FD10*FE10</f>
        <v>2100</v>
      </c>
      <c r="FG10" s="423">
        <v>1</v>
      </c>
      <c r="FH10" s="424">
        <f>FF10*FG10</f>
        <v>2100</v>
      </c>
      <c r="FI10" s="431">
        <f>'Parameters and Summary'!E74</f>
        <v>1</v>
      </c>
      <c r="FJ10" s="424">
        <f>FH10*FI10</f>
        <v>2100</v>
      </c>
      <c r="FK10" s="424">
        <v>15</v>
      </c>
      <c r="FL10" s="424">
        <f>'Parameters and Summary'!L24</f>
        <v>2010.1434609375003</v>
      </c>
      <c r="FM10" s="424">
        <f t="shared" ref="FM10:FM15" si="36">FL10*FJ10*FK10</f>
        <v>63319519.019531257</v>
      </c>
      <c r="FN10" s="423">
        <v>6</v>
      </c>
      <c r="FO10" s="424">
        <f>FK10</f>
        <v>15</v>
      </c>
      <c r="FP10" s="432">
        <f>FN10*FJ10</f>
        <v>12600</v>
      </c>
      <c r="FQ10" s="424">
        <f t="shared" ref="FQ10:FQ15" si="37">FP10*FL10*FO10</f>
        <v>379917114.11718756</v>
      </c>
      <c r="FR10" s="423">
        <v>24</v>
      </c>
      <c r="FS10" s="424">
        <f>FO10</f>
        <v>15</v>
      </c>
      <c r="FT10" s="432">
        <f t="shared" ref="FT10:FT15" si="38">FR10*FJ10*FS10</f>
        <v>756000</v>
      </c>
      <c r="FU10" s="424">
        <f t="shared" ref="FU10:FU15" si="39">FT10*FL10</f>
        <v>1519668456.4687502</v>
      </c>
      <c r="FV10" s="423">
        <f t="shared" ref="FV10:FV15" si="40">FR10*12</f>
        <v>288</v>
      </c>
      <c r="FW10" s="424">
        <f>FS10</f>
        <v>15</v>
      </c>
      <c r="FX10" s="432">
        <f>FV10*FJ10*FW10</f>
        <v>9072000</v>
      </c>
      <c r="FY10" s="424">
        <f t="shared" ref="FY10:FY15" si="41">FX10*FL10</f>
        <v>18236021477.625004</v>
      </c>
      <c r="GA10" s="424"/>
      <c r="GB10" s="430">
        <v>0.21</v>
      </c>
      <c r="GC10" s="424">
        <f>GB10*GA$9</f>
        <v>2100</v>
      </c>
      <c r="GD10" s="430">
        <v>1</v>
      </c>
      <c r="GE10" s="424">
        <f>GC10*GD10</f>
        <v>2100</v>
      </c>
      <c r="GF10" s="423">
        <v>1</v>
      </c>
      <c r="GG10" s="424">
        <f>GE10*GF10</f>
        <v>2100</v>
      </c>
      <c r="GH10" s="431">
        <f>'Parameters and Summary'!E74</f>
        <v>1</v>
      </c>
      <c r="GI10" s="424">
        <f>GG10*GH10</f>
        <v>2100</v>
      </c>
      <c r="GJ10" s="424">
        <v>15</v>
      </c>
      <c r="GK10" s="424">
        <f>'Parameters and Summary'!M24</f>
        <v>2110.6506339843754</v>
      </c>
      <c r="GL10" s="424">
        <f t="shared" ref="GL10:GL15" si="42">GK10*GI10*GJ10</f>
        <v>66485494.970507823</v>
      </c>
      <c r="GM10" s="423">
        <v>6</v>
      </c>
      <c r="GN10" s="424">
        <f>GJ10</f>
        <v>15</v>
      </c>
      <c r="GO10" s="432">
        <f>GM10*GI10</f>
        <v>12600</v>
      </c>
      <c r="GP10" s="424">
        <f t="shared" ref="GP10:GP15" si="43">GO10*GK10*GN10</f>
        <v>398912969.82304698</v>
      </c>
      <c r="GQ10" s="423">
        <v>24</v>
      </c>
      <c r="GR10" s="424">
        <f>GN10</f>
        <v>15</v>
      </c>
      <c r="GS10" s="432">
        <f t="shared" ref="GS10:GS15" si="44">GQ10*GI10*GR10</f>
        <v>756000</v>
      </c>
      <c r="GT10" s="424">
        <f t="shared" ref="GT10:GT15" si="45">GS10*GK10</f>
        <v>1595651879.2921879</v>
      </c>
      <c r="GU10" s="423">
        <f t="shared" ref="GU10:GU15" si="46">GQ10*12</f>
        <v>288</v>
      </c>
      <c r="GV10" s="424">
        <f>GR10</f>
        <v>15</v>
      </c>
      <c r="GW10" s="432">
        <f>GU10*GI10*GV10</f>
        <v>9072000</v>
      </c>
      <c r="GX10" s="424">
        <f t="shared" ref="GX10:GX15" si="47">GW10*GK10</f>
        <v>19147822551.506252</v>
      </c>
      <c r="GZ10" s="424"/>
      <c r="HA10" s="430">
        <v>0.21</v>
      </c>
      <c r="HB10" s="424">
        <f>HA10*GZ$9</f>
        <v>2100</v>
      </c>
      <c r="HC10" s="430">
        <v>1</v>
      </c>
      <c r="HD10" s="424">
        <f>HB10*HC10</f>
        <v>2100</v>
      </c>
      <c r="HE10" s="423">
        <v>1</v>
      </c>
      <c r="HF10" s="424">
        <f>HD10*HE10</f>
        <v>2100</v>
      </c>
      <c r="HG10" s="431">
        <f>'Parameters and Summary'!E74</f>
        <v>1</v>
      </c>
      <c r="HH10" s="424">
        <f>HF10*HG10</f>
        <v>2100</v>
      </c>
      <c r="HI10" s="424">
        <v>15</v>
      </c>
      <c r="HJ10" s="424">
        <f>'Parameters and Summary'!N24</f>
        <v>2216.1831656835943</v>
      </c>
      <c r="HK10" s="424">
        <f t="shared" ref="HK10:HK15" si="48">HJ10*HH10*HI10</f>
        <v>69809769.719033211</v>
      </c>
      <c r="HL10" s="423">
        <v>6</v>
      </c>
      <c r="HM10" s="424">
        <f>HI10</f>
        <v>15</v>
      </c>
      <c r="HN10" s="432">
        <f>HL10*HH10</f>
        <v>12600</v>
      </c>
      <c r="HO10" s="424">
        <f t="shared" ref="HO10:HO15" si="49">HN10*HJ10*HM10</f>
        <v>418858618.31419933</v>
      </c>
      <c r="HP10" s="423">
        <v>24</v>
      </c>
      <c r="HQ10" s="424">
        <f>HM10</f>
        <v>15</v>
      </c>
      <c r="HR10" s="432">
        <f t="shared" ref="HR10:HR15" si="50">HP10*HH10*HQ10</f>
        <v>756000</v>
      </c>
      <c r="HS10" s="424">
        <f t="shared" ref="HS10:HS15" si="51">HR10*HJ10</f>
        <v>1675434473.2567973</v>
      </c>
      <c r="HT10" s="423">
        <f t="shared" ref="HT10:HT15" si="52">HP10*12</f>
        <v>288</v>
      </c>
      <c r="HU10" s="424">
        <f>HQ10</f>
        <v>15</v>
      </c>
      <c r="HV10" s="432">
        <f>HT10*HH10*HU10</f>
        <v>9072000</v>
      </c>
      <c r="HW10" s="424">
        <f t="shared" ref="HW10:HW15" si="53">HV10*HJ10</f>
        <v>20105213679.081566</v>
      </c>
      <c r="HY10" s="424"/>
      <c r="HZ10" s="430">
        <v>0.21</v>
      </c>
      <c r="IA10" s="424">
        <f>HZ10*HY$9</f>
        <v>2100</v>
      </c>
      <c r="IB10" s="430">
        <v>1</v>
      </c>
      <c r="IC10" s="424">
        <f>IA10*IB10</f>
        <v>2100</v>
      </c>
      <c r="ID10" s="423">
        <v>1</v>
      </c>
      <c r="IE10" s="424">
        <f>IC10*ID10</f>
        <v>2100</v>
      </c>
      <c r="IF10" s="431">
        <f>'Parameters and Summary'!E74</f>
        <v>1</v>
      </c>
      <c r="IG10" s="424">
        <f>IE10*IF10</f>
        <v>2100</v>
      </c>
      <c r="IH10" s="424">
        <v>15</v>
      </c>
      <c r="II10" s="424">
        <f>'Parameters and Summary'!O24</f>
        <v>2326.9923239677742</v>
      </c>
      <c r="IJ10" s="424">
        <f t="shared" ref="IJ10:IJ15" si="54">II10*IG10*IH10</f>
        <v>73300258.204984888</v>
      </c>
      <c r="IK10" s="423">
        <v>6</v>
      </c>
      <c r="IL10" s="424">
        <f>IH10</f>
        <v>15</v>
      </c>
      <c r="IM10" s="432">
        <f>IK10*IG10</f>
        <v>12600</v>
      </c>
      <c r="IN10" s="424">
        <f t="shared" ref="IN10:IN15" si="55">IM10*II10*IL10</f>
        <v>439801549.2299093</v>
      </c>
      <c r="IO10" s="423">
        <v>24</v>
      </c>
      <c r="IP10" s="424">
        <f>IL10</f>
        <v>15</v>
      </c>
      <c r="IQ10" s="432">
        <f t="shared" ref="IQ10:IQ15" si="56">IO10*IG10*IP10</f>
        <v>756000</v>
      </c>
      <c r="IR10" s="424">
        <f t="shared" ref="IR10:IR15" si="57">IQ10*II10</f>
        <v>1759206196.9196372</v>
      </c>
      <c r="IS10" s="423">
        <f t="shared" ref="IS10:IS15" si="58">IO10*12</f>
        <v>288</v>
      </c>
      <c r="IT10" s="424">
        <f>IP10</f>
        <v>15</v>
      </c>
      <c r="IU10" s="432">
        <f>IS10*IG10*IT10</f>
        <v>9072000</v>
      </c>
      <c r="IV10" s="424">
        <f t="shared" ref="IV10:IV15" si="59">IU10*II10</f>
        <v>21110474363.035648</v>
      </c>
    </row>
    <row r="11" spans="2:256" x14ac:dyDescent="0.25">
      <c r="B11" s="422"/>
      <c r="C11" s="422"/>
      <c r="D11" s="422"/>
      <c r="E11" s="419" t="s">
        <v>144</v>
      </c>
      <c r="F11" s="423"/>
      <c r="G11" s="423"/>
      <c r="H11" s="424"/>
      <c r="I11" s="430">
        <v>0.3</v>
      </c>
      <c r="J11" s="424">
        <f t="shared" ref="J11:J15" si="60">I11*H$9</f>
        <v>600</v>
      </c>
      <c r="K11" s="433">
        <f>K10</f>
        <v>1</v>
      </c>
      <c r="L11" s="424">
        <f t="shared" ref="L11:L15" si="61">J11*K11</f>
        <v>600</v>
      </c>
      <c r="M11" s="423">
        <v>1</v>
      </c>
      <c r="N11" s="424">
        <f t="shared" ref="N11:N15" si="62">L11*M11</f>
        <v>600</v>
      </c>
      <c r="O11" s="431">
        <f>'Parameters and Summary'!E75</f>
        <v>1</v>
      </c>
      <c r="P11" s="424">
        <f t="shared" ref="P11:P15" si="63">N11*O11</f>
        <v>600</v>
      </c>
      <c r="Q11" s="424">
        <f>Q10</f>
        <v>15</v>
      </c>
      <c r="R11" s="424">
        <f>R10</f>
        <v>1500</v>
      </c>
      <c r="S11" s="424">
        <f t="shared" si="0"/>
        <v>13500000</v>
      </c>
      <c r="T11" s="423">
        <v>6</v>
      </c>
      <c r="U11" s="424">
        <f t="shared" ref="U11:U15" si="64">Q11</f>
        <v>15</v>
      </c>
      <c r="V11" s="432">
        <f t="shared" ref="V11:V15" si="65">T11*P11</f>
        <v>3600</v>
      </c>
      <c r="W11" s="424">
        <f t="shared" si="1"/>
        <v>81000000</v>
      </c>
      <c r="X11" s="423">
        <v>24</v>
      </c>
      <c r="Y11" s="424">
        <f t="shared" ref="Y11:Y15" si="66">U11</f>
        <v>15</v>
      </c>
      <c r="Z11" s="432">
        <f t="shared" si="2"/>
        <v>216000</v>
      </c>
      <c r="AA11" s="424">
        <f t="shared" si="3"/>
        <v>324000000</v>
      </c>
      <c r="AB11" s="423">
        <f t="shared" si="4"/>
        <v>288</v>
      </c>
      <c r="AC11" s="424">
        <f t="shared" ref="AC11:AC15" si="67">Y11</f>
        <v>15</v>
      </c>
      <c r="AD11" s="432">
        <f t="shared" ref="AD11:AD15" si="68">AB11*P11*AC11</f>
        <v>2592000</v>
      </c>
      <c r="AE11" s="424">
        <f t="shared" si="5"/>
        <v>3888000000</v>
      </c>
      <c r="AG11" s="424"/>
      <c r="AH11" s="430">
        <v>0.3</v>
      </c>
      <c r="AI11" s="424">
        <f t="shared" ref="AI11:AI15" si="69">AH11*AG$9</f>
        <v>1200</v>
      </c>
      <c r="AJ11" s="433">
        <f>AJ10</f>
        <v>1</v>
      </c>
      <c r="AK11" s="424">
        <f t="shared" ref="AK11:AK15" si="70">AI11*AJ11</f>
        <v>1200</v>
      </c>
      <c r="AL11" s="423">
        <v>1</v>
      </c>
      <c r="AM11" s="424">
        <f t="shared" ref="AM11:AM15" si="71">AK11*AL11</f>
        <v>1200</v>
      </c>
      <c r="AN11" s="431">
        <f>'Parameters and Summary'!E75</f>
        <v>1</v>
      </c>
      <c r="AO11" s="424">
        <f t="shared" ref="AO11:AO15" si="72">AM11*AN11</f>
        <v>1200</v>
      </c>
      <c r="AP11" s="424">
        <f>AP10</f>
        <v>15</v>
      </c>
      <c r="AQ11" s="424">
        <f>AQ10</f>
        <v>1575</v>
      </c>
      <c r="AR11" s="424">
        <f t="shared" si="6"/>
        <v>28350000</v>
      </c>
      <c r="AS11" s="423">
        <v>6</v>
      </c>
      <c r="AT11" s="424">
        <f t="shared" ref="AT11:AT15" si="73">AP11</f>
        <v>15</v>
      </c>
      <c r="AU11" s="432">
        <f t="shared" ref="AU11:AU15" si="74">AS11*AO11</f>
        <v>7200</v>
      </c>
      <c r="AV11" s="424">
        <f t="shared" si="7"/>
        <v>170100000</v>
      </c>
      <c r="AW11" s="423">
        <v>24</v>
      </c>
      <c r="AX11" s="424">
        <f t="shared" ref="AX11:AX15" si="75">AT11</f>
        <v>15</v>
      </c>
      <c r="AY11" s="432">
        <f t="shared" si="8"/>
        <v>432000</v>
      </c>
      <c r="AZ11" s="424">
        <f t="shared" si="9"/>
        <v>680400000</v>
      </c>
      <c r="BA11" s="423">
        <f t="shared" si="10"/>
        <v>288</v>
      </c>
      <c r="BB11" s="424">
        <f t="shared" ref="BB11:BB15" si="76">AX11</f>
        <v>15</v>
      </c>
      <c r="BC11" s="432">
        <f t="shared" ref="BC11:BC15" si="77">BA11*AO11*BB11</f>
        <v>5184000</v>
      </c>
      <c r="BD11" s="424">
        <f t="shared" si="11"/>
        <v>8164800000</v>
      </c>
      <c r="BF11" s="424"/>
      <c r="BG11" s="430">
        <v>0.3</v>
      </c>
      <c r="BH11" s="424">
        <f t="shared" ref="BH11:BH15" si="78">BG11*BF$9</f>
        <v>1800</v>
      </c>
      <c r="BI11" s="433">
        <f>BI10</f>
        <v>1</v>
      </c>
      <c r="BJ11" s="424">
        <f t="shared" ref="BJ11:BJ15" si="79">BH11*BI11</f>
        <v>1800</v>
      </c>
      <c r="BK11" s="423">
        <v>1</v>
      </c>
      <c r="BL11" s="424">
        <f t="shared" ref="BL11:BL15" si="80">BJ11*BK11</f>
        <v>1800</v>
      </c>
      <c r="BM11" s="431">
        <f>'Parameters and Summary'!E75</f>
        <v>1</v>
      </c>
      <c r="BN11" s="424">
        <f t="shared" ref="BN11:BN15" si="81">BL11*BM11</f>
        <v>1800</v>
      </c>
      <c r="BO11" s="424">
        <f>BO10</f>
        <v>15</v>
      </c>
      <c r="BP11" s="424">
        <f>BP10</f>
        <v>1653.75</v>
      </c>
      <c r="BQ11" s="424">
        <f t="shared" si="12"/>
        <v>44651250</v>
      </c>
      <c r="BR11" s="423">
        <v>6</v>
      </c>
      <c r="BS11" s="424">
        <f t="shared" ref="BS11:BS15" si="82">BO11</f>
        <v>15</v>
      </c>
      <c r="BT11" s="432">
        <f t="shared" ref="BT11:BT15" si="83">BR11*BN11</f>
        <v>10800</v>
      </c>
      <c r="BU11" s="424">
        <f t="shared" si="13"/>
        <v>267907500</v>
      </c>
      <c r="BV11" s="423">
        <v>24</v>
      </c>
      <c r="BW11" s="424">
        <f t="shared" ref="BW11:BW15" si="84">BS11</f>
        <v>15</v>
      </c>
      <c r="BX11" s="432">
        <f t="shared" si="14"/>
        <v>648000</v>
      </c>
      <c r="BY11" s="424">
        <f t="shared" si="15"/>
        <v>1071630000</v>
      </c>
      <c r="BZ11" s="423">
        <f t="shared" si="16"/>
        <v>288</v>
      </c>
      <c r="CA11" s="424">
        <f t="shared" ref="CA11:CA15" si="85">BW11</f>
        <v>15</v>
      </c>
      <c r="CB11" s="432">
        <f t="shared" ref="CB11:CB15" si="86">BZ11*BN11*CA11</f>
        <v>7776000</v>
      </c>
      <c r="CC11" s="424">
        <f t="shared" si="17"/>
        <v>12859560000</v>
      </c>
      <c r="CE11" s="424"/>
      <c r="CF11" s="430">
        <v>0.3</v>
      </c>
      <c r="CG11" s="424">
        <f t="shared" ref="CG11:CG15" si="87">CF11*CE$9</f>
        <v>2400</v>
      </c>
      <c r="CH11" s="433">
        <f>CH10</f>
        <v>1</v>
      </c>
      <c r="CI11" s="424">
        <f t="shared" ref="CI11:CI15" si="88">CG11*CH11</f>
        <v>2400</v>
      </c>
      <c r="CJ11" s="423">
        <v>1</v>
      </c>
      <c r="CK11" s="424">
        <f t="shared" ref="CK11:CK15" si="89">CI11*CJ11</f>
        <v>2400</v>
      </c>
      <c r="CL11" s="431">
        <f>CL10</f>
        <v>1</v>
      </c>
      <c r="CM11" s="424">
        <f t="shared" ref="CM11:CM15" si="90">CK11*CL11</f>
        <v>2400</v>
      </c>
      <c r="CN11" s="424">
        <f>CN10</f>
        <v>15</v>
      </c>
      <c r="CO11" s="424">
        <f>CO10</f>
        <v>1736.4375</v>
      </c>
      <c r="CP11" s="424">
        <f t="shared" si="18"/>
        <v>62511750</v>
      </c>
      <c r="CQ11" s="423">
        <v>6</v>
      </c>
      <c r="CR11" s="424">
        <f t="shared" ref="CR11:CR15" si="91">CN11</f>
        <v>15</v>
      </c>
      <c r="CS11" s="432">
        <f t="shared" ref="CS11:CS15" si="92">CQ11*CM11</f>
        <v>14400</v>
      </c>
      <c r="CT11" s="424">
        <f t="shared" si="19"/>
        <v>375070500</v>
      </c>
      <c r="CU11" s="423">
        <v>24</v>
      </c>
      <c r="CV11" s="424">
        <f t="shared" ref="CV11:CV15" si="93">CR11</f>
        <v>15</v>
      </c>
      <c r="CW11" s="432">
        <f t="shared" si="20"/>
        <v>864000</v>
      </c>
      <c r="CX11" s="424">
        <f t="shared" si="21"/>
        <v>1500282000</v>
      </c>
      <c r="CY11" s="423">
        <f t="shared" si="22"/>
        <v>288</v>
      </c>
      <c r="CZ11" s="424">
        <f t="shared" ref="CZ11:CZ15" si="94">CV11</f>
        <v>15</v>
      </c>
      <c r="DA11" s="432">
        <f t="shared" ref="DA11:DA15" si="95">CY11*CM11*CZ11</f>
        <v>10368000</v>
      </c>
      <c r="DB11" s="424">
        <f t="shared" si="23"/>
        <v>18003384000</v>
      </c>
      <c r="DD11" s="424"/>
      <c r="DE11" s="430">
        <v>0.3</v>
      </c>
      <c r="DF11" s="424">
        <f t="shared" ref="DF11:DF15" si="96">DE11*DD$9</f>
        <v>3000</v>
      </c>
      <c r="DG11" s="433">
        <f>DG10</f>
        <v>1</v>
      </c>
      <c r="DH11" s="424">
        <f t="shared" ref="DH11:DH15" si="97">DF11*DG11</f>
        <v>3000</v>
      </c>
      <c r="DI11" s="423">
        <v>1</v>
      </c>
      <c r="DJ11" s="424">
        <f t="shared" ref="DJ11:DJ15" si="98">DH11*DI11</f>
        <v>3000</v>
      </c>
      <c r="DK11" s="431">
        <f>'Parameters and Summary'!E75</f>
        <v>1</v>
      </c>
      <c r="DL11" s="424">
        <f t="shared" ref="DL11:DL15" si="99">DJ11*DK11</f>
        <v>3000</v>
      </c>
      <c r="DM11" s="424">
        <f>DM10</f>
        <v>15</v>
      </c>
      <c r="DN11" s="424">
        <f>DN10</f>
        <v>1823.2593750000001</v>
      </c>
      <c r="DO11" s="424">
        <f t="shared" si="24"/>
        <v>82046671.875</v>
      </c>
      <c r="DP11" s="423">
        <v>6</v>
      </c>
      <c r="DQ11" s="424">
        <f t="shared" ref="DQ11:DQ15" si="100">DM11</f>
        <v>15</v>
      </c>
      <c r="DR11" s="432">
        <f t="shared" ref="DR11:DR15" si="101">DP11*DL11</f>
        <v>18000</v>
      </c>
      <c r="DS11" s="424">
        <f t="shared" si="25"/>
        <v>492280031.25</v>
      </c>
      <c r="DT11" s="423">
        <v>24</v>
      </c>
      <c r="DU11" s="424">
        <f t="shared" ref="DU11:DU15" si="102">DQ11</f>
        <v>15</v>
      </c>
      <c r="DV11" s="432">
        <f t="shared" si="26"/>
        <v>1080000</v>
      </c>
      <c r="DW11" s="424">
        <f t="shared" si="27"/>
        <v>1969120125</v>
      </c>
      <c r="DX11" s="423">
        <f t="shared" si="28"/>
        <v>288</v>
      </c>
      <c r="DY11" s="424">
        <f t="shared" ref="DY11:DY15" si="103">DU11</f>
        <v>15</v>
      </c>
      <c r="DZ11" s="432">
        <f t="shared" ref="DZ11:DZ15" si="104">DX11*DL11*DY11</f>
        <v>12960000</v>
      </c>
      <c r="EA11" s="424">
        <f t="shared" si="29"/>
        <v>23629441500</v>
      </c>
      <c r="EC11" s="424"/>
      <c r="ED11" s="430">
        <v>0.3</v>
      </c>
      <c r="EE11" s="424">
        <f t="shared" ref="EE11:EE15" si="105">ED11*EC$9</f>
        <v>3000</v>
      </c>
      <c r="EF11" s="433">
        <f>EF10</f>
        <v>1</v>
      </c>
      <c r="EG11" s="424">
        <f t="shared" ref="EG11:EG15" si="106">EE11*EF11</f>
        <v>3000</v>
      </c>
      <c r="EH11" s="423">
        <v>1</v>
      </c>
      <c r="EI11" s="424">
        <f t="shared" ref="EI11:EI15" si="107">EG11*EH11</f>
        <v>3000</v>
      </c>
      <c r="EJ11" s="431">
        <f>'Parameters and Summary'!E75</f>
        <v>1</v>
      </c>
      <c r="EK11" s="424">
        <f t="shared" ref="EK11:EK15" si="108">EI11*EJ11</f>
        <v>3000</v>
      </c>
      <c r="EL11" s="424">
        <f>EL10</f>
        <v>15</v>
      </c>
      <c r="EM11" s="424">
        <f>EM10</f>
        <v>1914.4223437500002</v>
      </c>
      <c r="EN11" s="424">
        <f t="shared" si="30"/>
        <v>86149005.468750015</v>
      </c>
      <c r="EO11" s="423">
        <v>6</v>
      </c>
      <c r="EP11" s="424">
        <f t="shared" ref="EP11:EP15" si="109">EL11</f>
        <v>15</v>
      </c>
      <c r="EQ11" s="432">
        <f t="shared" ref="EQ11:EQ15" si="110">EO11*EK11</f>
        <v>18000</v>
      </c>
      <c r="ER11" s="424">
        <f t="shared" si="31"/>
        <v>516894032.81250012</v>
      </c>
      <c r="ES11" s="423">
        <v>24</v>
      </c>
      <c r="ET11" s="424">
        <f t="shared" ref="ET11:ET15" si="111">EP11</f>
        <v>15</v>
      </c>
      <c r="EU11" s="432">
        <f t="shared" si="32"/>
        <v>1080000</v>
      </c>
      <c r="EV11" s="424">
        <f t="shared" si="33"/>
        <v>2067576131.2500002</v>
      </c>
      <c r="EW11" s="423">
        <f t="shared" si="34"/>
        <v>288</v>
      </c>
      <c r="EX11" s="424">
        <f t="shared" ref="EX11:EX15" si="112">ET11</f>
        <v>15</v>
      </c>
      <c r="EY11" s="432">
        <f t="shared" ref="EY11:EY15" si="113">EW11*EK11*EX11</f>
        <v>12960000</v>
      </c>
      <c r="EZ11" s="424">
        <f t="shared" si="35"/>
        <v>24810913575.000004</v>
      </c>
      <c r="FB11" s="424"/>
      <c r="FC11" s="430">
        <v>0.3</v>
      </c>
      <c r="FD11" s="424">
        <f t="shared" ref="FD11:FD15" si="114">FC11*FB$9</f>
        <v>3000</v>
      </c>
      <c r="FE11" s="433">
        <f>FE10</f>
        <v>1</v>
      </c>
      <c r="FF11" s="424">
        <f t="shared" ref="FF11:FF15" si="115">FD11*FE11</f>
        <v>3000</v>
      </c>
      <c r="FG11" s="423">
        <v>1</v>
      </c>
      <c r="FH11" s="424">
        <f t="shared" ref="FH11:FH15" si="116">FF11*FG11</f>
        <v>3000</v>
      </c>
      <c r="FI11" s="431">
        <f>'Parameters and Summary'!E75</f>
        <v>1</v>
      </c>
      <c r="FJ11" s="424">
        <f t="shared" ref="FJ11:FJ15" si="117">FH11*FI11</f>
        <v>3000</v>
      </c>
      <c r="FK11" s="424">
        <f>FK10</f>
        <v>15</v>
      </c>
      <c r="FL11" s="424">
        <f>FL10</f>
        <v>2010.1434609375003</v>
      </c>
      <c r="FM11" s="424">
        <f t="shared" si="36"/>
        <v>90456455.742187515</v>
      </c>
      <c r="FN11" s="423">
        <v>6</v>
      </c>
      <c r="FO11" s="424">
        <f t="shared" ref="FO11:FO15" si="118">FK11</f>
        <v>15</v>
      </c>
      <c r="FP11" s="432">
        <f t="shared" ref="FP11:FP15" si="119">FN11*FJ11</f>
        <v>18000</v>
      </c>
      <c r="FQ11" s="424">
        <f t="shared" si="37"/>
        <v>542738734.45312512</v>
      </c>
      <c r="FR11" s="423">
        <v>24</v>
      </c>
      <c r="FS11" s="424">
        <f t="shared" ref="FS11:FS15" si="120">FO11</f>
        <v>15</v>
      </c>
      <c r="FT11" s="432">
        <f t="shared" si="38"/>
        <v>1080000</v>
      </c>
      <c r="FU11" s="424">
        <f t="shared" si="39"/>
        <v>2170954937.8125005</v>
      </c>
      <c r="FV11" s="423">
        <f t="shared" si="40"/>
        <v>288</v>
      </c>
      <c r="FW11" s="424">
        <f t="shared" ref="FW11:FW15" si="121">FS11</f>
        <v>15</v>
      </c>
      <c r="FX11" s="432">
        <f t="shared" ref="FX11:FX15" si="122">FV11*FJ11*FW11</f>
        <v>12960000</v>
      </c>
      <c r="FY11" s="424">
        <f t="shared" si="41"/>
        <v>26051459253.750004</v>
      </c>
      <c r="GA11" s="424"/>
      <c r="GB11" s="430">
        <v>0.3</v>
      </c>
      <c r="GC11" s="424">
        <f t="shared" ref="GC11:GC15" si="123">GB11*GA$9</f>
        <v>3000</v>
      </c>
      <c r="GD11" s="433">
        <f>GD10</f>
        <v>1</v>
      </c>
      <c r="GE11" s="424">
        <f t="shared" ref="GE11:GE15" si="124">GC11*GD11</f>
        <v>3000</v>
      </c>
      <c r="GF11" s="423">
        <v>1</v>
      </c>
      <c r="GG11" s="424">
        <f t="shared" ref="GG11:GG15" si="125">GE11*GF11</f>
        <v>3000</v>
      </c>
      <c r="GH11" s="431">
        <f>'Parameters and Summary'!E75</f>
        <v>1</v>
      </c>
      <c r="GI11" s="424">
        <f t="shared" ref="GI11:GI15" si="126">GG11*GH11</f>
        <v>3000</v>
      </c>
      <c r="GJ11" s="424">
        <f>GJ10</f>
        <v>15</v>
      </c>
      <c r="GK11" s="424">
        <f>GK10</f>
        <v>2110.6506339843754</v>
      </c>
      <c r="GL11" s="424">
        <f t="shared" si="42"/>
        <v>94979278.52929689</v>
      </c>
      <c r="GM11" s="423">
        <v>6</v>
      </c>
      <c r="GN11" s="424">
        <f t="shared" ref="GN11:GN15" si="127">GJ11</f>
        <v>15</v>
      </c>
      <c r="GO11" s="432">
        <f t="shared" ref="GO11:GO15" si="128">GM11*GI11</f>
        <v>18000</v>
      </c>
      <c r="GP11" s="424">
        <f t="shared" si="43"/>
        <v>569875671.17578137</v>
      </c>
      <c r="GQ11" s="423">
        <v>24</v>
      </c>
      <c r="GR11" s="424">
        <f t="shared" ref="GR11:GR15" si="129">GN11</f>
        <v>15</v>
      </c>
      <c r="GS11" s="432">
        <f t="shared" si="44"/>
        <v>1080000</v>
      </c>
      <c r="GT11" s="424">
        <f t="shared" si="45"/>
        <v>2279502684.7031255</v>
      </c>
      <c r="GU11" s="423">
        <f t="shared" si="46"/>
        <v>288</v>
      </c>
      <c r="GV11" s="424">
        <f t="shared" ref="GV11:GV15" si="130">GR11</f>
        <v>15</v>
      </c>
      <c r="GW11" s="432">
        <f t="shared" ref="GW11:GW15" si="131">GU11*GI11*GV11</f>
        <v>12960000</v>
      </c>
      <c r="GX11" s="424">
        <f t="shared" si="47"/>
        <v>27354032216.437504</v>
      </c>
      <c r="GZ11" s="424"/>
      <c r="HA11" s="430">
        <v>0.3</v>
      </c>
      <c r="HB11" s="424">
        <f t="shared" ref="HB11:HB15" si="132">HA11*GZ$9</f>
        <v>3000</v>
      </c>
      <c r="HC11" s="433">
        <f>HC10</f>
        <v>1</v>
      </c>
      <c r="HD11" s="424">
        <f t="shared" ref="HD11:HD15" si="133">HB11*HC11</f>
        <v>3000</v>
      </c>
      <c r="HE11" s="423">
        <v>1</v>
      </c>
      <c r="HF11" s="424">
        <f t="shared" ref="HF11:HF15" si="134">HD11*HE11</f>
        <v>3000</v>
      </c>
      <c r="HG11" s="431">
        <f>'Parameters and Summary'!E75</f>
        <v>1</v>
      </c>
      <c r="HH11" s="424">
        <f t="shared" ref="HH11:HH15" si="135">HF11*HG11</f>
        <v>3000</v>
      </c>
      <c r="HI11" s="424">
        <f>HI10</f>
        <v>15</v>
      </c>
      <c r="HJ11" s="424">
        <f>HJ10</f>
        <v>2216.1831656835943</v>
      </c>
      <c r="HK11" s="424">
        <f t="shared" si="48"/>
        <v>99728242.455761746</v>
      </c>
      <c r="HL11" s="423">
        <v>6</v>
      </c>
      <c r="HM11" s="424">
        <f t="shared" ref="HM11:HM15" si="136">HI11</f>
        <v>15</v>
      </c>
      <c r="HN11" s="432">
        <f t="shared" ref="HN11:HN15" si="137">HL11*HH11</f>
        <v>18000</v>
      </c>
      <c r="HO11" s="424">
        <f t="shared" si="49"/>
        <v>598369454.7345705</v>
      </c>
      <c r="HP11" s="423">
        <v>24</v>
      </c>
      <c r="HQ11" s="424">
        <f t="shared" ref="HQ11:HQ15" si="138">HM11</f>
        <v>15</v>
      </c>
      <c r="HR11" s="432">
        <f t="shared" si="50"/>
        <v>1080000</v>
      </c>
      <c r="HS11" s="424">
        <f t="shared" si="51"/>
        <v>2393477818.938282</v>
      </c>
      <c r="HT11" s="423">
        <f t="shared" si="52"/>
        <v>288</v>
      </c>
      <c r="HU11" s="424">
        <f t="shared" ref="HU11:HU15" si="139">HQ11</f>
        <v>15</v>
      </c>
      <c r="HV11" s="432">
        <f t="shared" ref="HV11:HV15" si="140">HT11*HH11*HU11</f>
        <v>12960000</v>
      </c>
      <c r="HW11" s="424">
        <f t="shared" si="53"/>
        <v>28721733827.259384</v>
      </c>
      <c r="HY11" s="424"/>
      <c r="HZ11" s="430">
        <v>0.3</v>
      </c>
      <c r="IA11" s="424">
        <f t="shared" ref="IA11:IA15" si="141">HZ11*HY$9</f>
        <v>3000</v>
      </c>
      <c r="IB11" s="433">
        <f>IB10</f>
        <v>1</v>
      </c>
      <c r="IC11" s="424">
        <f t="shared" ref="IC11:IC15" si="142">IA11*IB11</f>
        <v>3000</v>
      </c>
      <c r="ID11" s="423">
        <v>1</v>
      </c>
      <c r="IE11" s="424">
        <f t="shared" ref="IE11:IE15" si="143">IC11*ID11</f>
        <v>3000</v>
      </c>
      <c r="IF11" s="431">
        <f>'Parameters and Summary'!E75</f>
        <v>1</v>
      </c>
      <c r="IG11" s="424">
        <f t="shared" ref="IG11:IG15" si="144">IE11*IF11</f>
        <v>3000</v>
      </c>
      <c r="IH11" s="424">
        <f>IH10</f>
        <v>15</v>
      </c>
      <c r="II11" s="424">
        <f>II10</f>
        <v>2326.9923239677742</v>
      </c>
      <c r="IJ11" s="424">
        <f t="shared" si="54"/>
        <v>104714654.57854983</v>
      </c>
      <c r="IK11" s="423">
        <v>6</v>
      </c>
      <c r="IL11" s="424">
        <f t="shared" ref="IL11:IL15" si="145">IH11</f>
        <v>15</v>
      </c>
      <c r="IM11" s="432">
        <f t="shared" ref="IM11:IM15" si="146">IK11*IG11</f>
        <v>18000</v>
      </c>
      <c r="IN11" s="424">
        <f t="shared" si="55"/>
        <v>628287927.47129905</v>
      </c>
      <c r="IO11" s="423">
        <v>24</v>
      </c>
      <c r="IP11" s="424">
        <f t="shared" ref="IP11:IP15" si="147">IL11</f>
        <v>15</v>
      </c>
      <c r="IQ11" s="432">
        <f t="shared" si="56"/>
        <v>1080000</v>
      </c>
      <c r="IR11" s="424">
        <f t="shared" si="57"/>
        <v>2513151709.8851962</v>
      </c>
      <c r="IS11" s="423">
        <f t="shared" si="58"/>
        <v>288</v>
      </c>
      <c r="IT11" s="424">
        <f t="shared" ref="IT11:IT15" si="148">IP11</f>
        <v>15</v>
      </c>
      <c r="IU11" s="432">
        <f t="shared" ref="IU11:IU15" si="149">IS11*IG11*IT11</f>
        <v>12960000</v>
      </c>
      <c r="IV11" s="424">
        <f t="shared" si="59"/>
        <v>30157820518.622353</v>
      </c>
    </row>
    <row r="12" spans="2:256" x14ac:dyDescent="0.25">
      <c r="B12" s="422"/>
      <c r="C12" s="422"/>
      <c r="D12" s="422"/>
      <c r="E12" s="419" t="s">
        <v>145</v>
      </c>
      <c r="F12" s="423"/>
      <c r="G12" s="423"/>
      <c r="H12" s="424"/>
      <c r="I12" s="430">
        <v>0.14000000000000001</v>
      </c>
      <c r="J12" s="424">
        <f t="shared" si="60"/>
        <v>280</v>
      </c>
      <c r="K12" s="433">
        <f t="shared" ref="K12:K15" si="150">K11</f>
        <v>1</v>
      </c>
      <c r="L12" s="424">
        <f t="shared" si="61"/>
        <v>280</v>
      </c>
      <c r="M12" s="423">
        <v>1</v>
      </c>
      <c r="N12" s="424">
        <f t="shared" si="62"/>
        <v>280</v>
      </c>
      <c r="O12" s="431">
        <f>'Parameters and Summary'!E76</f>
        <v>1</v>
      </c>
      <c r="P12" s="424">
        <f t="shared" si="63"/>
        <v>280</v>
      </c>
      <c r="Q12" s="424">
        <f t="shared" ref="Q12:Q15" si="151">Q11</f>
        <v>15</v>
      </c>
      <c r="R12" s="424">
        <f t="shared" ref="R12:R15" si="152">R11</f>
        <v>1500</v>
      </c>
      <c r="S12" s="424">
        <f t="shared" si="0"/>
        <v>6300000</v>
      </c>
      <c r="T12" s="423">
        <v>6</v>
      </c>
      <c r="U12" s="424">
        <f t="shared" si="64"/>
        <v>15</v>
      </c>
      <c r="V12" s="432">
        <f t="shared" si="65"/>
        <v>1680</v>
      </c>
      <c r="W12" s="424">
        <f t="shared" si="1"/>
        <v>37800000</v>
      </c>
      <c r="X12" s="423">
        <v>24</v>
      </c>
      <c r="Y12" s="424">
        <f t="shared" si="66"/>
        <v>15</v>
      </c>
      <c r="Z12" s="432">
        <f t="shared" si="2"/>
        <v>100800</v>
      </c>
      <c r="AA12" s="424">
        <f t="shared" si="3"/>
        <v>151200000</v>
      </c>
      <c r="AB12" s="423">
        <f t="shared" si="4"/>
        <v>288</v>
      </c>
      <c r="AC12" s="424">
        <f t="shared" si="67"/>
        <v>15</v>
      </c>
      <c r="AD12" s="432">
        <f t="shared" si="68"/>
        <v>1209600</v>
      </c>
      <c r="AE12" s="424">
        <f t="shared" si="5"/>
        <v>1814400000</v>
      </c>
      <c r="AG12" s="424"/>
      <c r="AH12" s="430">
        <v>0.14000000000000001</v>
      </c>
      <c r="AI12" s="424">
        <f t="shared" si="69"/>
        <v>560</v>
      </c>
      <c r="AJ12" s="433">
        <f t="shared" ref="AJ12:AJ15" si="153">AJ11</f>
        <v>1</v>
      </c>
      <c r="AK12" s="424">
        <f t="shared" si="70"/>
        <v>560</v>
      </c>
      <c r="AL12" s="423">
        <v>1</v>
      </c>
      <c r="AM12" s="424">
        <f t="shared" si="71"/>
        <v>560</v>
      </c>
      <c r="AN12" s="431">
        <f>'Parameters and Summary'!E76</f>
        <v>1</v>
      </c>
      <c r="AO12" s="424">
        <f t="shared" si="72"/>
        <v>560</v>
      </c>
      <c r="AP12" s="424">
        <f t="shared" ref="AP12:AQ15" si="154">AP11</f>
        <v>15</v>
      </c>
      <c r="AQ12" s="424">
        <f t="shared" si="154"/>
        <v>1575</v>
      </c>
      <c r="AR12" s="424">
        <f t="shared" si="6"/>
        <v>13230000</v>
      </c>
      <c r="AS12" s="423">
        <v>6</v>
      </c>
      <c r="AT12" s="424">
        <f t="shared" si="73"/>
        <v>15</v>
      </c>
      <c r="AU12" s="432">
        <f t="shared" si="74"/>
        <v>3360</v>
      </c>
      <c r="AV12" s="424">
        <f t="shared" si="7"/>
        <v>79380000</v>
      </c>
      <c r="AW12" s="423">
        <v>24</v>
      </c>
      <c r="AX12" s="424">
        <f t="shared" si="75"/>
        <v>15</v>
      </c>
      <c r="AY12" s="432">
        <f t="shared" si="8"/>
        <v>201600</v>
      </c>
      <c r="AZ12" s="424">
        <f t="shared" si="9"/>
        <v>317520000</v>
      </c>
      <c r="BA12" s="423">
        <f t="shared" si="10"/>
        <v>288</v>
      </c>
      <c r="BB12" s="424">
        <f t="shared" si="76"/>
        <v>15</v>
      </c>
      <c r="BC12" s="432">
        <f t="shared" si="77"/>
        <v>2419200</v>
      </c>
      <c r="BD12" s="424">
        <f t="shared" si="11"/>
        <v>3810240000</v>
      </c>
      <c r="BF12" s="424"/>
      <c r="BG12" s="430">
        <v>0.14000000000000001</v>
      </c>
      <c r="BH12" s="424">
        <f t="shared" si="78"/>
        <v>840.00000000000011</v>
      </c>
      <c r="BI12" s="433">
        <f t="shared" ref="BI12:BI15" si="155">BI11</f>
        <v>1</v>
      </c>
      <c r="BJ12" s="424">
        <f t="shared" si="79"/>
        <v>840.00000000000011</v>
      </c>
      <c r="BK12" s="423">
        <v>1</v>
      </c>
      <c r="BL12" s="424">
        <f t="shared" si="80"/>
        <v>840.00000000000011</v>
      </c>
      <c r="BM12" s="431">
        <f>'Parameters and Summary'!E76</f>
        <v>1</v>
      </c>
      <c r="BN12" s="424">
        <f t="shared" si="81"/>
        <v>840.00000000000011</v>
      </c>
      <c r="BO12" s="424">
        <f t="shared" ref="BO12:BP15" si="156">BO11</f>
        <v>15</v>
      </c>
      <c r="BP12" s="424">
        <f t="shared" si="156"/>
        <v>1653.75</v>
      </c>
      <c r="BQ12" s="424">
        <f t="shared" si="12"/>
        <v>20837250.000000004</v>
      </c>
      <c r="BR12" s="423">
        <v>6</v>
      </c>
      <c r="BS12" s="424">
        <f t="shared" si="82"/>
        <v>15</v>
      </c>
      <c r="BT12" s="432">
        <f t="shared" si="83"/>
        <v>5040.0000000000009</v>
      </c>
      <c r="BU12" s="424">
        <f t="shared" si="13"/>
        <v>125023500.00000003</v>
      </c>
      <c r="BV12" s="423">
        <v>24</v>
      </c>
      <c r="BW12" s="424">
        <f t="shared" si="84"/>
        <v>15</v>
      </c>
      <c r="BX12" s="432">
        <f t="shared" si="14"/>
        <v>302400.00000000006</v>
      </c>
      <c r="BY12" s="424">
        <f t="shared" si="15"/>
        <v>500094000.00000012</v>
      </c>
      <c r="BZ12" s="423">
        <f t="shared" si="16"/>
        <v>288</v>
      </c>
      <c r="CA12" s="424">
        <f t="shared" si="85"/>
        <v>15</v>
      </c>
      <c r="CB12" s="432">
        <f t="shared" si="86"/>
        <v>3628800.0000000005</v>
      </c>
      <c r="CC12" s="424">
        <f t="shared" si="17"/>
        <v>6001128000.000001</v>
      </c>
      <c r="CE12" s="424"/>
      <c r="CF12" s="430">
        <v>0.14000000000000001</v>
      </c>
      <c r="CG12" s="424">
        <f t="shared" si="87"/>
        <v>1120</v>
      </c>
      <c r="CH12" s="433">
        <f t="shared" ref="CH12:CH15" si="157">CH11</f>
        <v>1</v>
      </c>
      <c r="CI12" s="424">
        <f t="shared" si="88"/>
        <v>1120</v>
      </c>
      <c r="CJ12" s="423">
        <v>1</v>
      </c>
      <c r="CK12" s="424">
        <f t="shared" si="89"/>
        <v>1120</v>
      </c>
      <c r="CL12" s="431">
        <f t="shared" ref="CL12:CL15" si="158">CL11</f>
        <v>1</v>
      </c>
      <c r="CM12" s="424">
        <f t="shared" si="90"/>
        <v>1120</v>
      </c>
      <c r="CN12" s="424">
        <f t="shared" ref="CN12:CO15" si="159">CN11</f>
        <v>15</v>
      </c>
      <c r="CO12" s="424">
        <f t="shared" si="159"/>
        <v>1736.4375</v>
      </c>
      <c r="CP12" s="424">
        <f t="shared" si="18"/>
        <v>29172150</v>
      </c>
      <c r="CQ12" s="423">
        <v>6</v>
      </c>
      <c r="CR12" s="424">
        <f t="shared" si="91"/>
        <v>15</v>
      </c>
      <c r="CS12" s="432">
        <f t="shared" si="92"/>
        <v>6720</v>
      </c>
      <c r="CT12" s="424">
        <f t="shared" si="19"/>
        <v>175032900</v>
      </c>
      <c r="CU12" s="423">
        <v>24</v>
      </c>
      <c r="CV12" s="424">
        <f t="shared" si="93"/>
        <v>15</v>
      </c>
      <c r="CW12" s="432">
        <f t="shared" si="20"/>
        <v>403200</v>
      </c>
      <c r="CX12" s="424">
        <f t="shared" si="21"/>
        <v>700131600</v>
      </c>
      <c r="CY12" s="423">
        <f t="shared" si="22"/>
        <v>288</v>
      </c>
      <c r="CZ12" s="424">
        <f t="shared" si="94"/>
        <v>15</v>
      </c>
      <c r="DA12" s="432">
        <f t="shared" si="95"/>
        <v>4838400</v>
      </c>
      <c r="DB12" s="424">
        <f t="shared" si="23"/>
        <v>8401579200</v>
      </c>
      <c r="DD12" s="424"/>
      <c r="DE12" s="430">
        <v>0.14000000000000001</v>
      </c>
      <c r="DF12" s="424">
        <f t="shared" si="96"/>
        <v>1400.0000000000002</v>
      </c>
      <c r="DG12" s="433">
        <f t="shared" ref="DG12:DG15" si="160">DG11</f>
        <v>1</v>
      </c>
      <c r="DH12" s="424">
        <f t="shared" si="97"/>
        <v>1400.0000000000002</v>
      </c>
      <c r="DI12" s="423">
        <v>1</v>
      </c>
      <c r="DJ12" s="424">
        <f t="shared" si="98"/>
        <v>1400.0000000000002</v>
      </c>
      <c r="DK12" s="431">
        <f>'Parameters and Summary'!E76</f>
        <v>1</v>
      </c>
      <c r="DL12" s="424">
        <f t="shared" si="99"/>
        <v>1400.0000000000002</v>
      </c>
      <c r="DM12" s="424">
        <f t="shared" ref="DM12:DN15" si="161">DM11</f>
        <v>15</v>
      </c>
      <c r="DN12" s="424">
        <f t="shared" si="161"/>
        <v>1823.2593750000001</v>
      </c>
      <c r="DO12" s="424">
        <f t="shared" si="24"/>
        <v>38288446.875000007</v>
      </c>
      <c r="DP12" s="423">
        <v>6</v>
      </c>
      <c r="DQ12" s="424">
        <f t="shared" si="100"/>
        <v>15</v>
      </c>
      <c r="DR12" s="432">
        <f t="shared" si="101"/>
        <v>8400.0000000000018</v>
      </c>
      <c r="DS12" s="424">
        <f t="shared" si="25"/>
        <v>229730681.25000006</v>
      </c>
      <c r="DT12" s="423">
        <v>24</v>
      </c>
      <c r="DU12" s="424">
        <f t="shared" si="102"/>
        <v>15</v>
      </c>
      <c r="DV12" s="432">
        <f t="shared" si="26"/>
        <v>504000.00000000012</v>
      </c>
      <c r="DW12" s="424">
        <f t="shared" si="27"/>
        <v>918922725.00000024</v>
      </c>
      <c r="DX12" s="423">
        <f t="shared" si="28"/>
        <v>288</v>
      </c>
      <c r="DY12" s="424">
        <f t="shared" si="103"/>
        <v>15</v>
      </c>
      <c r="DZ12" s="432">
        <f t="shared" si="104"/>
        <v>6048000.0000000009</v>
      </c>
      <c r="EA12" s="424">
        <f t="shared" si="29"/>
        <v>11027072700.000002</v>
      </c>
      <c r="EC12" s="424"/>
      <c r="ED12" s="430">
        <v>0.14000000000000001</v>
      </c>
      <c r="EE12" s="424">
        <f t="shared" si="105"/>
        <v>1400.0000000000002</v>
      </c>
      <c r="EF12" s="433">
        <f t="shared" ref="EF12:EF15" si="162">EF11</f>
        <v>1</v>
      </c>
      <c r="EG12" s="424">
        <f t="shared" si="106"/>
        <v>1400.0000000000002</v>
      </c>
      <c r="EH12" s="423">
        <v>1</v>
      </c>
      <c r="EI12" s="424">
        <f t="shared" si="107"/>
        <v>1400.0000000000002</v>
      </c>
      <c r="EJ12" s="431">
        <f>'Parameters and Summary'!E76</f>
        <v>1</v>
      </c>
      <c r="EK12" s="424">
        <f t="shared" si="108"/>
        <v>1400.0000000000002</v>
      </c>
      <c r="EL12" s="424">
        <f t="shared" ref="EL12:EM15" si="163">EL11</f>
        <v>15</v>
      </c>
      <c r="EM12" s="424">
        <f t="shared" si="163"/>
        <v>1914.4223437500002</v>
      </c>
      <c r="EN12" s="424">
        <f t="shared" si="30"/>
        <v>40202869.218750015</v>
      </c>
      <c r="EO12" s="423">
        <v>6</v>
      </c>
      <c r="EP12" s="424">
        <f t="shared" si="109"/>
        <v>15</v>
      </c>
      <c r="EQ12" s="432">
        <f t="shared" si="110"/>
        <v>8400.0000000000018</v>
      </c>
      <c r="ER12" s="424">
        <f t="shared" si="31"/>
        <v>241217215.31250009</v>
      </c>
      <c r="ES12" s="423">
        <v>24</v>
      </c>
      <c r="ET12" s="424">
        <f t="shared" si="111"/>
        <v>15</v>
      </c>
      <c r="EU12" s="432">
        <f t="shared" si="32"/>
        <v>504000.00000000012</v>
      </c>
      <c r="EV12" s="424">
        <f t="shared" si="33"/>
        <v>964868861.25000036</v>
      </c>
      <c r="EW12" s="423">
        <f t="shared" si="34"/>
        <v>288</v>
      </c>
      <c r="EX12" s="424">
        <f t="shared" si="112"/>
        <v>15</v>
      </c>
      <c r="EY12" s="432">
        <f t="shared" si="113"/>
        <v>6048000.0000000009</v>
      </c>
      <c r="EZ12" s="424">
        <f t="shared" si="35"/>
        <v>11578426335.000004</v>
      </c>
      <c r="FB12" s="424"/>
      <c r="FC12" s="430">
        <v>0.14000000000000001</v>
      </c>
      <c r="FD12" s="424">
        <f t="shared" si="114"/>
        <v>1400.0000000000002</v>
      </c>
      <c r="FE12" s="433">
        <f t="shared" ref="FE12:FE15" si="164">FE11</f>
        <v>1</v>
      </c>
      <c r="FF12" s="424">
        <f t="shared" si="115"/>
        <v>1400.0000000000002</v>
      </c>
      <c r="FG12" s="423">
        <v>1</v>
      </c>
      <c r="FH12" s="424">
        <f t="shared" si="116"/>
        <v>1400.0000000000002</v>
      </c>
      <c r="FI12" s="431">
        <f>'Parameters and Summary'!E76</f>
        <v>1</v>
      </c>
      <c r="FJ12" s="424">
        <f t="shared" si="117"/>
        <v>1400.0000000000002</v>
      </c>
      <c r="FK12" s="424">
        <f t="shared" ref="FK12:FL15" si="165">FK11</f>
        <v>15</v>
      </c>
      <c r="FL12" s="424">
        <f t="shared" si="165"/>
        <v>2010.1434609375003</v>
      </c>
      <c r="FM12" s="424">
        <f t="shared" si="36"/>
        <v>42213012.679687515</v>
      </c>
      <c r="FN12" s="423">
        <v>6</v>
      </c>
      <c r="FO12" s="424">
        <f t="shared" si="118"/>
        <v>15</v>
      </c>
      <c r="FP12" s="432">
        <f t="shared" si="119"/>
        <v>8400.0000000000018</v>
      </c>
      <c r="FQ12" s="424">
        <f t="shared" si="37"/>
        <v>253278076.07812509</v>
      </c>
      <c r="FR12" s="423">
        <v>24</v>
      </c>
      <c r="FS12" s="424">
        <f t="shared" si="120"/>
        <v>15</v>
      </c>
      <c r="FT12" s="432">
        <f t="shared" si="38"/>
        <v>504000.00000000012</v>
      </c>
      <c r="FU12" s="424">
        <f t="shared" si="39"/>
        <v>1013112304.3125004</v>
      </c>
      <c r="FV12" s="423">
        <f t="shared" si="40"/>
        <v>288</v>
      </c>
      <c r="FW12" s="424">
        <f t="shared" si="121"/>
        <v>15</v>
      </c>
      <c r="FX12" s="432">
        <f t="shared" si="122"/>
        <v>6048000.0000000009</v>
      </c>
      <c r="FY12" s="424">
        <f t="shared" si="41"/>
        <v>12157347651.750004</v>
      </c>
      <c r="GA12" s="424"/>
      <c r="GB12" s="430">
        <v>0.14000000000000001</v>
      </c>
      <c r="GC12" s="424">
        <f t="shared" si="123"/>
        <v>1400.0000000000002</v>
      </c>
      <c r="GD12" s="433">
        <f t="shared" ref="GD12:GD15" si="166">GD11</f>
        <v>1</v>
      </c>
      <c r="GE12" s="424">
        <f t="shared" si="124"/>
        <v>1400.0000000000002</v>
      </c>
      <c r="GF12" s="423">
        <v>1</v>
      </c>
      <c r="GG12" s="424">
        <f t="shared" si="125"/>
        <v>1400.0000000000002</v>
      </c>
      <c r="GH12" s="431">
        <f>'Parameters and Summary'!E76</f>
        <v>1</v>
      </c>
      <c r="GI12" s="424">
        <f t="shared" si="126"/>
        <v>1400.0000000000002</v>
      </c>
      <c r="GJ12" s="424">
        <f t="shared" ref="GJ12:GK15" si="167">GJ11</f>
        <v>15</v>
      </c>
      <c r="GK12" s="424">
        <f t="shared" si="167"/>
        <v>2110.6506339843754</v>
      </c>
      <c r="GL12" s="424">
        <f t="shared" si="42"/>
        <v>44323663.313671887</v>
      </c>
      <c r="GM12" s="423">
        <v>6</v>
      </c>
      <c r="GN12" s="424">
        <f t="shared" si="127"/>
        <v>15</v>
      </c>
      <c r="GO12" s="432">
        <f t="shared" si="128"/>
        <v>8400.0000000000018</v>
      </c>
      <c r="GP12" s="424">
        <f t="shared" si="43"/>
        <v>265941979.88203135</v>
      </c>
      <c r="GQ12" s="423">
        <v>24</v>
      </c>
      <c r="GR12" s="424">
        <f t="shared" si="129"/>
        <v>15</v>
      </c>
      <c r="GS12" s="432">
        <f t="shared" si="44"/>
        <v>504000.00000000012</v>
      </c>
      <c r="GT12" s="424">
        <f t="shared" si="45"/>
        <v>1063767919.5281254</v>
      </c>
      <c r="GU12" s="423">
        <f t="shared" si="46"/>
        <v>288</v>
      </c>
      <c r="GV12" s="424">
        <f t="shared" si="130"/>
        <v>15</v>
      </c>
      <c r="GW12" s="432">
        <f t="shared" si="131"/>
        <v>6048000.0000000009</v>
      </c>
      <c r="GX12" s="424">
        <f t="shared" si="47"/>
        <v>12765215034.337505</v>
      </c>
      <c r="GZ12" s="424"/>
      <c r="HA12" s="430">
        <v>0.14000000000000001</v>
      </c>
      <c r="HB12" s="424">
        <f t="shared" si="132"/>
        <v>1400.0000000000002</v>
      </c>
      <c r="HC12" s="433">
        <f t="shared" ref="HC12:HC15" si="168">HC11</f>
        <v>1</v>
      </c>
      <c r="HD12" s="424">
        <f t="shared" si="133"/>
        <v>1400.0000000000002</v>
      </c>
      <c r="HE12" s="423">
        <v>1</v>
      </c>
      <c r="HF12" s="424">
        <f t="shared" si="134"/>
        <v>1400.0000000000002</v>
      </c>
      <c r="HG12" s="431">
        <f>'Parameters and Summary'!E76</f>
        <v>1</v>
      </c>
      <c r="HH12" s="424">
        <f t="shared" si="135"/>
        <v>1400.0000000000002</v>
      </c>
      <c r="HI12" s="424">
        <f t="shared" ref="HI12:HJ15" si="169">HI11</f>
        <v>15</v>
      </c>
      <c r="HJ12" s="424">
        <f t="shared" si="169"/>
        <v>2216.1831656835943</v>
      </c>
      <c r="HK12" s="424">
        <f t="shared" si="48"/>
        <v>46539846.479355484</v>
      </c>
      <c r="HL12" s="423">
        <v>6</v>
      </c>
      <c r="HM12" s="424">
        <f t="shared" si="136"/>
        <v>15</v>
      </c>
      <c r="HN12" s="432">
        <f t="shared" si="137"/>
        <v>8400.0000000000018</v>
      </c>
      <c r="HO12" s="424">
        <f t="shared" si="49"/>
        <v>279239078.87613291</v>
      </c>
      <c r="HP12" s="423">
        <v>24</v>
      </c>
      <c r="HQ12" s="424">
        <f t="shared" si="138"/>
        <v>15</v>
      </c>
      <c r="HR12" s="432">
        <f t="shared" si="50"/>
        <v>504000.00000000012</v>
      </c>
      <c r="HS12" s="424">
        <f t="shared" si="51"/>
        <v>1116956315.5045319</v>
      </c>
      <c r="HT12" s="423">
        <f t="shared" si="52"/>
        <v>288</v>
      </c>
      <c r="HU12" s="424">
        <f t="shared" si="139"/>
        <v>15</v>
      </c>
      <c r="HV12" s="432">
        <f t="shared" si="140"/>
        <v>6048000.0000000009</v>
      </c>
      <c r="HW12" s="424">
        <f t="shared" si="53"/>
        <v>13403475786.05438</v>
      </c>
      <c r="HY12" s="424"/>
      <c r="HZ12" s="430">
        <v>0.14000000000000001</v>
      </c>
      <c r="IA12" s="424">
        <f t="shared" si="141"/>
        <v>1400.0000000000002</v>
      </c>
      <c r="IB12" s="433">
        <f t="shared" ref="IB12:IB15" si="170">IB11</f>
        <v>1</v>
      </c>
      <c r="IC12" s="424">
        <f t="shared" si="142"/>
        <v>1400.0000000000002</v>
      </c>
      <c r="ID12" s="423">
        <v>1</v>
      </c>
      <c r="IE12" s="424">
        <f t="shared" si="143"/>
        <v>1400.0000000000002</v>
      </c>
      <c r="IF12" s="431">
        <f>'Parameters and Summary'!E76</f>
        <v>1</v>
      </c>
      <c r="IG12" s="424">
        <f t="shared" si="144"/>
        <v>1400.0000000000002</v>
      </c>
      <c r="IH12" s="424">
        <f t="shared" ref="IH12:II15" si="171">IH11</f>
        <v>15</v>
      </c>
      <c r="II12" s="424">
        <f t="shared" si="171"/>
        <v>2326.9923239677742</v>
      </c>
      <c r="IJ12" s="424">
        <f t="shared" si="54"/>
        <v>48866838.803323269</v>
      </c>
      <c r="IK12" s="423">
        <v>6</v>
      </c>
      <c r="IL12" s="424">
        <f t="shared" si="145"/>
        <v>15</v>
      </c>
      <c r="IM12" s="432">
        <f t="shared" si="146"/>
        <v>8400.0000000000018</v>
      </c>
      <c r="IN12" s="424">
        <f t="shared" si="55"/>
        <v>293201032.81993961</v>
      </c>
      <c r="IO12" s="423">
        <v>24</v>
      </c>
      <c r="IP12" s="424">
        <f t="shared" si="147"/>
        <v>15</v>
      </c>
      <c r="IQ12" s="432">
        <f t="shared" si="56"/>
        <v>504000.00000000012</v>
      </c>
      <c r="IR12" s="424">
        <f t="shared" si="57"/>
        <v>1172804131.2797585</v>
      </c>
      <c r="IS12" s="423">
        <f t="shared" si="58"/>
        <v>288</v>
      </c>
      <c r="IT12" s="424">
        <f t="shared" si="148"/>
        <v>15</v>
      </c>
      <c r="IU12" s="432">
        <f t="shared" si="149"/>
        <v>6048000.0000000009</v>
      </c>
      <c r="IV12" s="424">
        <f t="shared" si="59"/>
        <v>14073649575.3571</v>
      </c>
    </row>
    <row r="13" spans="2:256" x14ac:dyDescent="0.25">
      <c r="B13" s="422"/>
      <c r="C13" s="422"/>
      <c r="D13" s="422"/>
      <c r="E13" s="419" t="s">
        <v>146</v>
      </c>
      <c r="F13" s="423"/>
      <c r="G13" s="423"/>
      <c r="H13" s="424"/>
      <c r="I13" s="430">
        <v>0.17499999999999999</v>
      </c>
      <c r="J13" s="424">
        <f t="shared" si="60"/>
        <v>350</v>
      </c>
      <c r="K13" s="433">
        <f t="shared" si="150"/>
        <v>1</v>
      </c>
      <c r="L13" s="424">
        <f t="shared" si="61"/>
        <v>350</v>
      </c>
      <c r="M13" s="423">
        <v>1</v>
      </c>
      <c r="N13" s="424">
        <f t="shared" si="62"/>
        <v>350</v>
      </c>
      <c r="O13" s="431">
        <f>'Parameters and Summary'!E77</f>
        <v>1</v>
      </c>
      <c r="P13" s="424">
        <f t="shared" si="63"/>
        <v>350</v>
      </c>
      <c r="Q13" s="424">
        <f t="shared" si="151"/>
        <v>15</v>
      </c>
      <c r="R13" s="424">
        <f t="shared" si="152"/>
        <v>1500</v>
      </c>
      <c r="S13" s="424">
        <f t="shared" si="0"/>
        <v>7875000</v>
      </c>
      <c r="T13" s="423">
        <v>6</v>
      </c>
      <c r="U13" s="424">
        <f t="shared" si="64"/>
        <v>15</v>
      </c>
      <c r="V13" s="432">
        <f t="shared" si="65"/>
        <v>2100</v>
      </c>
      <c r="W13" s="424">
        <f t="shared" si="1"/>
        <v>47250000</v>
      </c>
      <c r="X13" s="423">
        <v>24</v>
      </c>
      <c r="Y13" s="424">
        <f t="shared" si="66"/>
        <v>15</v>
      </c>
      <c r="Z13" s="432">
        <f t="shared" si="2"/>
        <v>126000</v>
      </c>
      <c r="AA13" s="424">
        <f t="shared" si="3"/>
        <v>189000000</v>
      </c>
      <c r="AB13" s="423">
        <f t="shared" si="4"/>
        <v>288</v>
      </c>
      <c r="AC13" s="424">
        <f t="shared" si="67"/>
        <v>15</v>
      </c>
      <c r="AD13" s="432">
        <f t="shared" si="68"/>
        <v>1512000</v>
      </c>
      <c r="AE13" s="424">
        <f t="shared" si="5"/>
        <v>2268000000</v>
      </c>
      <c r="AG13" s="424"/>
      <c r="AH13" s="430">
        <v>0.17499999999999999</v>
      </c>
      <c r="AI13" s="424">
        <f t="shared" si="69"/>
        <v>700</v>
      </c>
      <c r="AJ13" s="433">
        <f t="shared" si="153"/>
        <v>1</v>
      </c>
      <c r="AK13" s="424">
        <f t="shared" si="70"/>
        <v>700</v>
      </c>
      <c r="AL13" s="423">
        <v>1</v>
      </c>
      <c r="AM13" s="424">
        <f t="shared" si="71"/>
        <v>700</v>
      </c>
      <c r="AN13" s="431">
        <f>'Parameters and Summary'!E77</f>
        <v>1</v>
      </c>
      <c r="AO13" s="424">
        <f t="shared" si="72"/>
        <v>700</v>
      </c>
      <c r="AP13" s="424">
        <f t="shared" si="154"/>
        <v>15</v>
      </c>
      <c r="AQ13" s="424">
        <f t="shared" si="154"/>
        <v>1575</v>
      </c>
      <c r="AR13" s="424">
        <f t="shared" si="6"/>
        <v>16537500</v>
      </c>
      <c r="AS13" s="423">
        <v>6</v>
      </c>
      <c r="AT13" s="424">
        <f t="shared" si="73"/>
        <v>15</v>
      </c>
      <c r="AU13" s="432">
        <f t="shared" si="74"/>
        <v>4200</v>
      </c>
      <c r="AV13" s="424">
        <f t="shared" si="7"/>
        <v>99225000</v>
      </c>
      <c r="AW13" s="423">
        <v>24</v>
      </c>
      <c r="AX13" s="424">
        <f t="shared" si="75"/>
        <v>15</v>
      </c>
      <c r="AY13" s="432">
        <f t="shared" si="8"/>
        <v>252000</v>
      </c>
      <c r="AZ13" s="424">
        <f t="shared" si="9"/>
        <v>396900000</v>
      </c>
      <c r="BA13" s="423">
        <f t="shared" si="10"/>
        <v>288</v>
      </c>
      <c r="BB13" s="424">
        <f t="shared" si="76"/>
        <v>15</v>
      </c>
      <c r="BC13" s="432">
        <f t="shared" si="77"/>
        <v>3024000</v>
      </c>
      <c r="BD13" s="424">
        <f t="shared" si="11"/>
        <v>4762800000</v>
      </c>
      <c r="BF13" s="424"/>
      <c r="BG13" s="430">
        <v>0.17499999999999999</v>
      </c>
      <c r="BH13" s="424">
        <f t="shared" si="78"/>
        <v>1050</v>
      </c>
      <c r="BI13" s="433">
        <f t="shared" si="155"/>
        <v>1</v>
      </c>
      <c r="BJ13" s="424">
        <f t="shared" si="79"/>
        <v>1050</v>
      </c>
      <c r="BK13" s="423">
        <v>1</v>
      </c>
      <c r="BL13" s="424">
        <f t="shared" si="80"/>
        <v>1050</v>
      </c>
      <c r="BM13" s="431">
        <f>'Parameters and Summary'!E77</f>
        <v>1</v>
      </c>
      <c r="BN13" s="424">
        <f t="shared" si="81"/>
        <v>1050</v>
      </c>
      <c r="BO13" s="424">
        <f t="shared" si="156"/>
        <v>15</v>
      </c>
      <c r="BP13" s="424">
        <f t="shared" si="156"/>
        <v>1653.75</v>
      </c>
      <c r="BQ13" s="424">
        <f t="shared" si="12"/>
        <v>26046562.5</v>
      </c>
      <c r="BR13" s="423">
        <v>6</v>
      </c>
      <c r="BS13" s="424">
        <f t="shared" si="82"/>
        <v>15</v>
      </c>
      <c r="BT13" s="432">
        <f t="shared" si="83"/>
        <v>6300</v>
      </c>
      <c r="BU13" s="424">
        <f t="shared" si="13"/>
        <v>156279375</v>
      </c>
      <c r="BV13" s="423">
        <v>24</v>
      </c>
      <c r="BW13" s="424">
        <f t="shared" si="84"/>
        <v>15</v>
      </c>
      <c r="BX13" s="432">
        <f t="shared" si="14"/>
        <v>378000</v>
      </c>
      <c r="BY13" s="424">
        <f t="shared" si="15"/>
        <v>625117500</v>
      </c>
      <c r="BZ13" s="423">
        <f t="shared" si="16"/>
        <v>288</v>
      </c>
      <c r="CA13" s="424">
        <f t="shared" si="85"/>
        <v>15</v>
      </c>
      <c r="CB13" s="432">
        <f t="shared" si="86"/>
        <v>4536000</v>
      </c>
      <c r="CC13" s="424">
        <f t="shared" si="17"/>
        <v>7501410000</v>
      </c>
      <c r="CE13" s="424"/>
      <c r="CF13" s="430">
        <v>0.17499999999999999</v>
      </c>
      <c r="CG13" s="424">
        <f t="shared" si="87"/>
        <v>1400</v>
      </c>
      <c r="CH13" s="433">
        <f t="shared" si="157"/>
        <v>1</v>
      </c>
      <c r="CI13" s="424">
        <f t="shared" si="88"/>
        <v>1400</v>
      </c>
      <c r="CJ13" s="423">
        <v>1</v>
      </c>
      <c r="CK13" s="424">
        <f t="shared" si="89"/>
        <v>1400</v>
      </c>
      <c r="CL13" s="431">
        <f t="shared" si="158"/>
        <v>1</v>
      </c>
      <c r="CM13" s="424">
        <f t="shared" si="90"/>
        <v>1400</v>
      </c>
      <c r="CN13" s="424">
        <f t="shared" si="159"/>
        <v>15</v>
      </c>
      <c r="CO13" s="424">
        <f t="shared" si="159"/>
        <v>1736.4375</v>
      </c>
      <c r="CP13" s="424">
        <f t="shared" si="18"/>
        <v>36465187.5</v>
      </c>
      <c r="CQ13" s="423">
        <v>6</v>
      </c>
      <c r="CR13" s="424">
        <f t="shared" si="91"/>
        <v>15</v>
      </c>
      <c r="CS13" s="432">
        <f t="shared" si="92"/>
        <v>8400</v>
      </c>
      <c r="CT13" s="424">
        <f t="shared" si="19"/>
        <v>218791125</v>
      </c>
      <c r="CU13" s="423">
        <v>24</v>
      </c>
      <c r="CV13" s="424">
        <f t="shared" si="93"/>
        <v>15</v>
      </c>
      <c r="CW13" s="432">
        <f t="shared" si="20"/>
        <v>504000</v>
      </c>
      <c r="CX13" s="424">
        <f t="shared" si="21"/>
        <v>875164500</v>
      </c>
      <c r="CY13" s="423">
        <f t="shared" si="22"/>
        <v>288</v>
      </c>
      <c r="CZ13" s="424">
        <f t="shared" si="94"/>
        <v>15</v>
      </c>
      <c r="DA13" s="432">
        <f t="shared" si="95"/>
        <v>6048000</v>
      </c>
      <c r="DB13" s="424">
        <f t="shared" si="23"/>
        <v>10501974000</v>
      </c>
      <c r="DD13" s="424"/>
      <c r="DE13" s="430">
        <v>0.17499999999999999</v>
      </c>
      <c r="DF13" s="424">
        <f t="shared" si="96"/>
        <v>1750</v>
      </c>
      <c r="DG13" s="433">
        <f t="shared" si="160"/>
        <v>1</v>
      </c>
      <c r="DH13" s="424">
        <f t="shared" si="97"/>
        <v>1750</v>
      </c>
      <c r="DI13" s="423">
        <v>1</v>
      </c>
      <c r="DJ13" s="424">
        <f t="shared" si="98"/>
        <v>1750</v>
      </c>
      <c r="DK13" s="431">
        <f>'Parameters and Summary'!E77</f>
        <v>1</v>
      </c>
      <c r="DL13" s="424">
        <f t="shared" si="99"/>
        <v>1750</v>
      </c>
      <c r="DM13" s="424">
        <f t="shared" si="161"/>
        <v>15</v>
      </c>
      <c r="DN13" s="424">
        <f t="shared" si="161"/>
        <v>1823.2593750000001</v>
      </c>
      <c r="DO13" s="424">
        <f t="shared" si="24"/>
        <v>47860558.59375</v>
      </c>
      <c r="DP13" s="423">
        <v>6</v>
      </c>
      <c r="DQ13" s="424">
        <f t="shared" si="100"/>
        <v>15</v>
      </c>
      <c r="DR13" s="432">
        <f t="shared" si="101"/>
        <v>10500</v>
      </c>
      <c r="DS13" s="424">
        <f t="shared" si="25"/>
        <v>287163351.5625</v>
      </c>
      <c r="DT13" s="423">
        <v>24</v>
      </c>
      <c r="DU13" s="424">
        <f t="shared" si="102"/>
        <v>15</v>
      </c>
      <c r="DV13" s="432">
        <f t="shared" si="26"/>
        <v>630000</v>
      </c>
      <c r="DW13" s="424">
        <f t="shared" si="27"/>
        <v>1148653406.25</v>
      </c>
      <c r="DX13" s="423">
        <f t="shared" si="28"/>
        <v>288</v>
      </c>
      <c r="DY13" s="424">
        <f t="shared" si="103"/>
        <v>15</v>
      </c>
      <c r="DZ13" s="432">
        <f t="shared" si="104"/>
        <v>7560000</v>
      </c>
      <c r="EA13" s="424">
        <f t="shared" si="29"/>
        <v>13783840875</v>
      </c>
      <c r="EC13" s="424"/>
      <c r="ED13" s="430">
        <v>0.17499999999999999</v>
      </c>
      <c r="EE13" s="424">
        <f t="shared" si="105"/>
        <v>1750</v>
      </c>
      <c r="EF13" s="433">
        <f t="shared" si="162"/>
        <v>1</v>
      </c>
      <c r="EG13" s="424">
        <f t="shared" si="106"/>
        <v>1750</v>
      </c>
      <c r="EH13" s="423">
        <v>1</v>
      </c>
      <c r="EI13" s="424">
        <f t="shared" si="107"/>
        <v>1750</v>
      </c>
      <c r="EJ13" s="431">
        <f>'Parameters and Summary'!E77</f>
        <v>1</v>
      </c>
      <c r="EK13" s="424">
        <f t="shared" si="108"/>
        <v>1750</v>
      </c>
      <c r="EL13" s="424">
        <f t="shared" si="163"/>
        <v>15</v>
      </c>
      <c r="EM13" s="424">
        <f t="shared" si="163"/>
        <v>1914.4223437500002</v>
      </c>
      <c r="EN13" s="424">
        <f t="shared" si="30"/>
        <v>50253586.523437507</v>
      </c>
      <c r="EO13" s="423">
        <v>6</v>
      </c>
      <c r="EP13" s="424">
        <f t="shared" si="109"/>
        <v>15</v>
      </c>
      <c r="EQ13" s="432">
        <f t="shared" si="110"/>
        <v>10500</v>
      </c>
      <c r="ER13" s="424">
        <f t="shared" si="31"/>
        <v>301521519.14062506</v>
      </c>
      <c r="ES13" s="423">
        <v>24</v>
      </c>
      <c r="ET13" s="424">
        <f t="shared" si="111"/>
        <v>15</v>
      </c>
      <c r="EU13" s="432">
        <f t="shared" si="32"/>
        <v>630000</v>
      </c>
      <c r="EV13" s="424">
        <f t="shared" si="33"/>
        <v>1206086076.5625002</v>
      </c>
      <c r="EW13" s="423">
        <f t="shared" si="34"/>
        <v>288</v>
      </c>
      <c r="EX13" s="424">
        <f t="shared" si="112"/>
        <v>15</v>
      </c>
      <c r="EY13" s="432">
        <f t="shared" si="113"/>
        <v>7560000</v>
      </c>
      <c r="EZ13" s="424">
        <f t="shared" si="35"/>
        <v>14473032918.750002</v>
      </c>
      <c r="FB13" s="424"/>
      <c r="FC13" s="430">
        <v>0.17499999999999999</v>
      </c>
      <c r="FD13" s="424">
        <f t="shared" si="114"/>
        <v>1750</v>
      </c>
      <c r="FE13" s="433">
        <f t="shared" si="164"/>
        <v>1</v>
      </c>
      <c r="FF13" s="424">
        <f t="shared" si="115"/>
        <v>1750</v>
      </c>
      <c r="FG13" s="423">
        <v>1</v>
      </c>
      <c r="FH13" s="424">
        <f t="shared" si="116"/>
        <v>1750</v>
      </c>
      <c r="FI13" s="431">
        <f>'Parameters and Summary'!E77</f>
        <v>1</v>
      </c>
      <c r="FJ13" s="424">
        <f t="shared" si="117"/>
        <v>1750</v>
      </c>
      <c r="FK13" s="424">
        <f t="shared" si="165"/>
        <v>15</v>
      </c>
      <c r="FL13" s="424">
        <f t="shared" si="165"/>
        <v>2010.1434609375003</v>
      </c>
      <c r="FM13" s="424">
        <f t="shared" si="36"/>
        <v>52766265.849609382</v>
      </c>
      <c r="FN13" s="423">
        <v>6</v>
      </c>
      <c r="FO13" s="424">
        <f t="shared" si="118"/>
        <v>15</v>
      </c>
      <c r="FP13" s="432">
        <f t="shared" si="119"/>
        <v>10500</v>
      </c>
      <c r="FQ13" s="424">
        <f t="shared" si="37"/>
        <v>316597595.09765631</v>
      </c>
      <c r="FR13" s="423">
        <v>24</v>
      </c>
      <c r="FS13" s="424">
        <f t="shared" si="120"/>
        <v>15</v>
      </c>
      <c r="FT13" s="432">
        <f t="shared" si="38"/>
        <v>630000</v>
      </c>
      <c r="FU13" s="424">
        <f t="shared" si="39"/>
        <v>1266390380.3906252</v>
      </c>
      <c r="FV13" s="423">
        <f t="shared" si="40"/>
        <v>288</v>
      </c>
      <c r="FW13" s="424">
        <f t="shared" si="121"/>
        <v>15</v>
      </c>
      <c r="FX13" s="432">
        <f t="shared" si="122"/>
        <v>7560000</v>
      </c>
      <c r="FY13" s="424">
        <f t="shared" si="41"/>
        <v>15196684564.687502</v>
      </c>
      <c r="GA13" s="424"/>
      <c r="GB13" s="430">
        <v>0.17499999999999999</v>
      </c>
      <c r="GC13" s="424">
        <f t="shared" si="123"/>
        <v>1750</v>
      </c>
      <c r="GD13" s="433">
        <f t="shared" si="166"/>
        <v>1</v>
      </c>
      <c r="GE13" s="424">
        <f t="shared" si="124"/>
        <v>1750</v>
      </c>
      <c r="GF13" s="423">
        <v>1</v>
      </c>
      <c r="GG13" s="424">
        <f t="shared" si="125"/>
        <v>1750</v>
      </c>
      <c r="GH13" s="431">
        <f>'Parameters and Summary'!E77</f>
        <v>1</v>
      </c>
      <c r="GI13" s="424">
        <f t="shared" si="126"/>
        <v>1750</v>
      </c>
      <c r="GJ13" s="424">
        <f t="shared" si="167"/>
        <v>15</v>
      </c>
      <c r="GK13" s="424">
        <f t="shared" si="167"/>
        <v>2110.6506339843754</v>
      </c>
      <c r="GL13" s="424">
        <f t="shared" si="42"/>
        <v>55404579.142089859</v>
      </c>
      <c r="GM13" s="423">
        <v>6</v>
      </c>
      <c r="GN13" s="424">
        <f t="shared" si="127"/>
        <v>15</v>
      </c>
      <c r="GO13" s="432">
        <f t="shared" si="128"/>
        <v>10500</v>
      </c>
      <c r="GP13" s="424">
        <f t="shared" si="43"/>
        <v>332427474.85253918</v>
      </c>
      <c r="GQ13" s="423">
        <v>24</v>
      </c>
      <c r="GR13" s="424">
        <f t="shared" si="129"/>
        <v>15</v>
      </c>
      <c r="GS13" s="432">
        <f t="shared" si="44"/>
        <v>630000</v>
      </c>
      <c r="GT13" s="424">
        <f t="shared" si="45"/>
        <v>1329709899.4101565</v>
      </c>
      <c r="GU13" s="423">
        <f t="shared" si="46"/>
        <v>288</v>
      </c>
      <c r="GV13" s="424">
        <f t="shared" si="130"/>
        <v>15</v>
      </c>
      <c r="GW13" s="432">
        <f t="shared" si="131"/>
        <v>7560000</v>
      </c>
      <c r="GX13" s="424">
        <f t="shared" si="47"/>
        <v>15956518792.921879</v>
      </c>
      <c r="GZ13" s="424"/>
      <c r="HA13" s="430">
        <v>0.17499999999999999</v>
      </c>
      <c r="HB13" s="424">
        <f t="shared" si="132"/>
        <v>1750</v>
      </c>
      <c r="HC13" s="433">
        <f t="shared" si="168"/>
        <v>1</v>
      </c>
      <c r="HD13" s="424">
        <f t="shared" si="133"/>
        <v>1750</v>
      </c>
      <c r="HE13" s="423">
        <v>1</v>
      </c>
      <c r="HF13" s="424">
        <f t="shared" si="134"/>
        <v>1750</v>
      </c>
      <c r="HG13" s="431">
        <f>'Parameters and Summary'!E77</f>
        <v>1</v>
      </c>
      <c r="HH13" s="424">
        <f t="shared" si="135"/>
        <v>1750</v>
      </c>
      <c r="HI13" s="424">
        <f t="shared" si="169"/>
        <v>15</v>
      </c>
      <c r="HJ13" s="424">
        <f t="shared" si="169"/>
        <v>2216.1831656835943</v>
      </c>
      <c r="HK13" s="424">
        <f t="shared" si="48"/>
        <v>58174808.099194355</v>
      </c>
      <c r="HL13" s="423">
        <v>6</v>
      </c>
      <c r="HM13" s="424">
        <f t="shared" si="136"/>
        <v>15</v>
      </c>
      <c r="HN13" s="432">
        <f t="shared" si="137"/>
        <v>10500</v>
      </c>
      <c r="HO13" s="424">
        <f t="shared" si="49"/>
        <v>349048848.59516615</v>
      </c>
      <c r="HP13" s="423">
        <v>24</v>
      </c>
      <c r="HQ13" s="424">
        <f t="shared" si="138"/>
        <v>15</v>
      </c>
      <c r="HR13" s="432">
        <f t="shared" si="50"/>
        <v>630000</v>
      </c>
      <c r="HS13" s="424">
        <f t="shared" si="51"/>
        <v>1396195394.3806643</v>
      </c>
      <c r="HT13" s="423">
        <f t="shared" si="52"/>
        <v>288</v>
      </c>
      <c r="HU13" s="424">
        <f t="shared" si="139"/>
        <v>15</v>
      </c>
      <c r="HV13" s="432">
        <f t="shared" si="140"/>
        <v>7560000</v>
      </c>
      <c r="HW13" s="424">
        <f t="shared" si="53"/>
        <v>16754344732.567972</v>
      </c>
      <c r="HY13" s="424"/>
      <c r="HZ13" s="430">
        <v>0.17499999999999999</v>
      </c>
      <c r="IA13" s="424">
        <f t="shared" si="141"/>
        <v>1750</v>
      </c>
      <c r="IB13" s="433">
        <f t="shared" si="170"/>
        <v>1</v>
      </c>
      <c r="IC13" s="424">
        <f t="shared" si="142"/>
        <v>1750</v>
      </c>
      <c r="ID13" s="423">
        <v>1</v>
      </c>
      <c r="IE13" s="424">
        <f t="shared" si="143"/>
        <v>1750</v>
      </c>
      <c r="IF13" s="431">
        <f>'Parameters and Summary'!E77</f>
        <v>1</v>
      </c>
      <c r="IG13" s="424">
        <f t="shared" si="144"/>
        <v>1750</v>
      </c>
      <c r="IH13" s="424">
        <f t="shared" si="171"/>
        <v>15</v>
      </c>
      <c r="II13" s="424">
        <f t="shared" si="171"/>
        <v>2326.9923239677742</v>
      </c>
      <c r="IJ13" s="424">
        <f t="shared" si="54"/>
        <v>61083548.504154071</v>
      </c>
      <c r="IK13" s="423">
        <v>6</v>
      </c>
      <c r="IL13" s="424">
        <f t="shared" si="145"/>
        <v>15</v>
      </c>
      <c r="IM13" s="432">
        <f t="shared" si="146"/>
        <v>10500</v>
      </c>
      <c r="IN13" s="424">
        <f t="shared" si="55"/>
        <v>366501291.0249244</v>
      </c>
      <c r="IO13" s="423">
        <v>24</v>
      </c>
      <c r="IP13" s="424">
        <f t="shared" si="147"/>
        <v>15</v>
      </c>
      <c r="IQ13" s="432">
        <f t="shared" si="56"/>
        <v>630000</v>
      </c>
      <c r="IR13" s="424">
        <f t="shared" si="57"/>
        <v>1466005164.0996978</v>
      </c>
      <c r="IS13" s="423">
        <f t="shared" si="58"/>
        <v>288</v>
      </c>
      <c r="IT13" s="424">
        <f t="shared" si="148"/>
        <v>15</v>
      </c>
      <c r="IU13" s="432">
        <f t="shared" si="149"/>
        <v>7560000</v>
      </c>
      <c r="IV13" s="424">
        <f t="shared" si="59"/>
        <v>17592061969.196373</v>
      </c>
    </row>
    <row r="14" spans="2:256" x14ac:dyDescent="0.25">
      <c r="B14" s="422"/>
      <c r="C14" s="422"/>
      <c r="D14" s="422"/>
      <c r="E14" s="419" t="s">
        <v>147</v>
      </c>
      <c r="F14" s="423"/>
      <c r="G14" s="423"/>
      <c r="H14" s="424"/>
      <c r="I14" s="430">
        <v>0.105</v>
      </c>
      <c r="J14" s="424">
        <f t="shared" si="60"/>
        <v>210</v>
      </c>
      <c r="K14" s="433">
        <f t="shared" si="150"/>
        <v>1</v>
      </c>
      <c r="L14" s="424">
        <f t="shared" si="61"/>
        <v>210</v>
      </c>
      <c r="M14" s="423">
        <v>1</v>
      </c>
      <c r="N14" s="424">
        <f t="shared" si="62"/>
        <v>210</v>
      </c>
      <c r="O14" s="431">
        <f>'Parameters and Summary'!E78</f>
        <v>1</v>
      </c>
      <c r="P14" s="424">
        <f t="shared" si="63"/>
        <v>210</v>
      </c>
      <c r="Q14" s="424">
        <f t="shared" si="151"/>
        <v>15</v>
      </c>
      <c r="R14" s="424">
        <f t="shared" si="152"/>
        <v>1500</v>
      </c>
      <c r="S14" s="424">
        <f t="shared" si="0"/>
        <v>4725000</v>
      </c>
      <c r="T14" s="423">
        <v>6</v>
      </c>
      <c r="U14" s="424">
        <f t="shared" si="64"/>
        <v>15</v>
      </c>
      <c r="V14" s="432">
        <f t="shared" si="65"/>
        <v>1260</v>
      </c>
      <c r="W14" s="424">
        <f t="shared" si="1"/>
        <v>28350000</v>
      </c>
      <c r="X14" s="423">
        <v>24</v>
      </c>
      <c r="Y14" s="424">
        <f t="shared" si="66"/>
        <v>15</v>
      </c>
      <c r="Z14" s="432">
        <f t="shared" si="2"/>
        <v>75600</v>
      </c>
      <c r="AA14" s="424">
        <f t="shared" si="3"/>
        <v>113400000</v>
      </c>
      <c r="AB14" s="423">
        <f t="shared" si="4"/>
        <v>288</v>
      </c>
      <c r="AC14" s="424">
        <f t="shared" si="67"/>
        <v>15</v>
      </c>
      <c r="AD14" s="432">
        <f t="shared" si="68"/>
        <v>907200</v>
      </c>
      <c r="AE14" s="424">
        <f t="shared" si="5"/>
        <v>1360800000</v>
      </c>
      <c r="AG14" s="424"/>
      <c r="AH14" s="430">
        <v>0.105</v>
      </c>
      <c r="AI14" s="424">
        <f t="shared" si="69"/>
        <v>420</v>
      </c>
      <c r="AJ14" s="433">
        <f t="shared" si="153"/>
        <v>1</v>
      </c>
      <c r="AK14" s="424">
        <f t="shared" si="70"/>
        <v>420</v>
      </c>
      <c r="AL14" s="423">
        <v>1</v>
      </c>
      <c r="AM14" s="424">
        <f t="shared" si="71"/>
        <v>420</v>
      </c>
      <c r="AN14" s="431">
        <f>'Parameters and Summary'!E78</f>
        <v>1</v>
      </c>
      <c r="AO14" s="424">
        <f t="shared" si="72"/>
        <v>420</v>
      </c>
      <c r="AP14" s="424">
        <f t="shared" si="154"/>
        <v>15</v>
      </c>
      <c r="AQ14" s="424">
        <f t="shared" si="154"/>
        <v>1575</v>
      </c>
      <c r="AR14" s="424">
        <f t="shared" si="6"/>
        <v>9922500</v>
      </c>
      <c r="AS14" s="423">
        <v>6</v>
      </c>
      <c r="AT14" s="424">
        <f t="shared" si="73"/>
        <v>15</v>
      </c>
      <c r="AU14" s="432">
        <f t="shared" si="74"/>
        <v>2520</v>
      </c>
      <c r="AV14" s="424">
        <f t="shared" si="7"/>
        <v>59535000</v>
      </c>
      <c r="AW14" s="423">
        <v>24</v>
      </c>
      <c r="AX14" s="424">
        <f t="shared" si="75"/>
        <v>15</v>
      </c>
      <c r="AY14" s="432">
        <f t="shared" si="8"/>
        <v>151200</v>
      </c>
      <c r="AZ14" s="424">
        <f t="shared" si="9"/>
        <v>238140000</v>
      </c>
      <c r="BA14" s="423">
        <f t="shared" si="10"/>
        <v>288</v>
      </c>
      <c r="BB14" s="424">
        <f t="shared" si="76"/>
        <v>15</v>
      </c>
      <c r="BC14" s="432">
        <f t="shared" si="77"/>
        <v>1814400</v>
      </c>
      <c r="BD14" s="424">
        <f t="shared" si="11"/>
        <v>2857680000</v>
      </c>
      <c r="BF14" s="424"/>
      <c r="BG14" s="430">
        <v>0.105</v>
      </c>
      <c r="BH14" s="424">
        <f t="shared" si="78"/>
        <v>630</v>
      </c>
      <c r="BI14" s="433">
        <f t="shared" si="155"/>
        <v>1</v>
      </c>
      <c r="BJ14" s="424">
        <f t="shared" si="79"/>
        <v>630</v>
      </c>
      <c r="BK14" s="423">
        <v>1</v>
      </c>
      <c r="BL14" s="424">
        <f t="shared" si="80"/>
        <v>630</v>
      </c>
      <c r="BM14" s="431">
        <f>'Parameters and Summary'!E78</f>
        <v>1</v>
      </c>
      <c r="BN14" s="424">
        <f t="shared" si="81"/>
        <v>630</v>
      </c>
      <c r="BO14" s="424">
        <f t="shared" si="156"/>
        <v>15</v>
      </c>
      <c r="BP14" s="424">
        <f t="shared" si="156"/>
        <v>1653.75</v>
      </c>
      <c r="BQ14" s="424">
        <f t="shared" si="12"/>
        <v>15627937.5</v>
      </c>
      <c r="BR14" s="423">
        <v>6</v>
      </c>
      <c r="BS14" s="424">
        <f t="shared" si="82"/>
        <v>15</v>
      </c>
      <c r="BT14" s="432">
        <f t="shared" si="83"/>
        <v>3780</v>
      </c>
      <c r="BU14" s="424">
        <f t="shared" si="13"/>
        <v>93767625</v>
      </c>
      <c r="BV14" s="423">
        <v>24</v>
      </c>
      <c r="BW14" s="424">
        <f t="shared" si="84"/>
        <v>15</v>
      </c>
      <c r="BX14" s="432">
        <f t="shared" si="14"/>
        <v>226800</v>
      </c>
      <c r="BY14" s="424">
        <f t="shared" si="15"/>
        <v>375070500</v>
      </c>
      <c r="BZ14" s="423">
        <f t="shared" si="16"/>
        <v>288</v>
      </c>
      <c r="CA14" s="424">
        <f t="shared" si="85"/>
        <v>15</v>
      </c>
      <c r="CB14" s="432">
        <f t="shared" si="86"/>
        <v>2721600</v>
      </c>
      <c r="CC14" s="424">
        <f t="shared" si="17"/>
        <v>4500846000</v>
      </c>
      <c r="CE14" s="424"/>
      <c r="CF14" s="430">
        <v>0.105</v>
      </c>
      <c r="CG14" s="424">
        <f t="shared" si="87"/>
        <v>840</v>
      </c>
      <c r="CH14" s="433">
        <f t="shared" si="157"/>
        <v>1</v>
      </c>
      <c r="CI14" s="424">
        <f t="shared" si="88"/>
        <v>840</v>
      </c>
      <c r="CJ14" s="423">
        <v>1</v>
      </c>
      <c r="CK14" s="424">
        <f t="shared" si="89"/>
        <v>840</v>
      </c>
      <c r="CL14" s="431">
        <f t="shared" si="158"/>
        <v>1</v>
      </c>
      <c r="CM14" s="424">
        <f t="shared" si="90"/>
        <v>840</v>
      </c>
      <c r="CN14" s="424">
        <f t="shared" si="159"/>
        <v>15</v>
      </c>
      <c r="CO14" s="424">
        <f t="shared" si="159"/>
        <v>1736.4375</v>
      </c>
      <c r="CP14" s="424">
        <f t="shared" si="18"/>
        <v>21879112.5</v>
      </c>
      <c r="CQ14" s="423">
        <v>6</v>
      </c>
      <c r="CR14" s="424">
        <f t="shared" si="91"/>
        <v>15</v>
      </c>
      <c r="CS14" s="432">
        <f t="shared" si="92"/>
        <v>5040</v>
      </c>
      <c r="CT14" s="424">
        <f t="shared" si="19"/>
        <v>131274675</v>
      </c>
      <c r="CU14" s="423">
        <v>24</v>
      </c>
      <c r="CV14" s="424">
        <f t="shared" si="93"/>
        <v>15</v>
      </c>
      <c r="CW14" s="432">
        <f t="shared" si="20"/>
        <v>302400</v>
      </c>
      <c r="CX14" s="424">
        <f t="shared" si="21"/>
        <v>525098700</v>
      </c>
      <c r="CY14" s="423">
        <f t="shared" si="22"/>
        <v>288</v>
      </c>
      <c r="CZ14" s="424">
        <f t="shared" si="94"/>
        <v>15</v>
      </c>
      <c r="DA14" s="432">
        <f t="shared" si="95"/>
        <v>3628800</v>
      </c>
      <c r="DB14" s="424">
        <f t="shared" si="23"/>
        <v>6301184400</v>
      </c>
      <c r="DD14" s="424"/>
      <c r="DE14" s="430">
        <v>0.105</v>
      </c>
      <c r="DF14" s="424">
        <f t="shared" si="96"/>
        <v>1050</v>
      </c>
      <c r="DG14" s="433">
        <f t="shared" si="160"/>
        <v>1</v>
      </c>
      <c r="DH14" s="424">
        <f t="shared" si="97"/>
        <v>1050</v>
      </c>
      <c r="DI14" s="423">
        <v>1</v>
      </c>
      <c r="DJ14" s="424">
        <f t="shared" si="98"/>
        <v>1050</v>
      </c>
      <c r="DK14" s="431">
        <f>'Parameters and Summary'!E78</f>
        <v>1</v>
      </c>
      <c r="DL14" s="424">
        <f t="shared" si="99"/>
        <v>1050</v>
      </c>
      <c r="DM14" s="424">
        <f t="shared" si="161"/>
        <v>15</v>
      </c>
      <c r="DN14" s="424">
        <f t="shared" si="161"/>
        <v>1823.2593750000001</v>
      </c>
      <c r="DO14" s="424">
        <f t="shared" si="24"/>
        <v>28716335.15625</v>
      </c>
      <c r="DP14" s="423">
        <v>6</v>
      </c>
      <c r="DQ14" s="424">
        <f t="shared" si="100"/>
        <v>15</v>
      </c>
      <c r="DR14" s="432">
        <f t="shared" si="101"/>
        <v>6300</v>
      </c>
      <c r="DS14" s="424">
        <f t="shared" si="25"/>
        <v>172298010.9375</v>
      </c>
      <c r="DT14" s="423">
        <v>24</v>
      </c>
      <c r="DU14" s="424">
        <f t="shared" si="102"/>
        <v>15</v>
      </c>
      <c r="DV14" s="432">
        <f t="shared" si="26"/>
        <v>378000</v>
      </c>
      <c r="DW14" s="424">
        <f t="shared" si="27"/>
        <v>689192043.75</v>
      </c>
      <c r="DX14" s="423">
        <f t="shared" si="28"/>
        <v>288</v>
      </c>
      <c r="DY14" s="424">
        <f t="shared" si="103"/>
        <v>15</v>
      </c>
      <c r="DZ14" s="432">
        <f t="shared" si="104"/>
        <v>4536000</v>
      </c>
      <c r="EA14" s="424">
        <f t="shared" si="29"/>
        <v>8270304525</v>
      </c>
      <c r="EC14" s="424"/>
      <c r="ED14" s="430">
        <v>0.105</v>
      </c>
      <c r="EE14" s="424">
        <f t="shared" si="105"/>
        <v>1050</v>
      </c>
      <c r="EF14" s="433">
        <f t="shared" si="162"/>
        <v>1</v>
      </c>
      <c r="EG14" s="424">
        <f t="shared" si="106"/>
        <v>1050</v>
      </c>
      <c r="EH14" s="423">
        <v>1</v>
      </c>
      <c r="EI14" s="424">
        <f t="shared" si="107"/>
        <v>1050</v>
      </c>
      <c r="EJ14" s="431">
        <f>'Parameters and Summary'!E78</f>
        <v>1</v>
      </c>
      <c r="EK14" s="424">
        <f t="shared" si="108"/>
        <v>1050</v>
      </c>
      <c r="EL14" s="424">
        <f t="shared" si="163"/>
        <v>15</v>
      </c>
      <c r="EM14" s="424">
        <f t="shared" si="163"/>
        <v>1914.4223437500002</v>
      </c>
      <c r="EN14" s="424">
        <f t="shared" si="30"/>
        <v>30152151.914062504</v>
      </c>
      <c r="EO14" s="423">
        <v>6</v>
      </c>
      <c r="EP14" s="424">
        <f t="shared" si="109"/>
        <v>15</v>
      </c>
      <c r="EQ14" s="432">
        <f t="shared" si="110"/>
        <v>6300</v>
      </c>
      <c r="ER14" s="424">
        <f t="shared" si="31"/>
        <v>180912911.48437503</v>
      </c>
      <c r="ES14" s="423">
        <v>24</v>
      </c>
      <c r="ET14" s="424">
        <f t="shared" si="111"/>
        <v>15</v>
      </c>
      <c r="EU14" s="432">
        <f t="shared" si="32"/>
        <v>378000</v>
      </c>
      <c r="EV14" s="424">
        <f t="shared" si="33"/>
        <v>723651645.93750012</v>
      </c>
      <c r="EW14" s="423">
        <f t="shared" si="34"/>
        <v>288</v>
      </c>
      <c r="EX14" s="424">
        <f t="shared" si="112"/>
        <v>15</v>
      </c>
      <c r="EY14" s="432">
        <f t="shared" si="113"/>
        <v>4536000</v>
      </c>
      <c r="EZ14" s="424">
        <f t="shared" si="35"/>
        <v>8683819751.25</v>
      </c>
      <c r="FB14" s="424"/>
      <c r="FC14" s="430">
        <v>0.105</v>
      </c>
      <c r="FD14" s="424">
        <f t="shared" si="114"/>
        <v>1050</v>
      </c>
      <c r="FE14" s="433">
        <f t="shared" si="164"/>
        <v>1</v>
      </c>
      <c r="FF14" s="424">
        <f t="shared" si="115"/>
        <v>1050</v>
      </c>
      <c r="FG14" s="423">
        <v>1</v>
      </c>
      <c r="FH14" s="424">
        <f t="shared" si="116"/>
        <v>1050</v>
      </c>
      <c r="FI14" s="431">
        <f>'Parameters and Summary'!E78</f>
        <v>1</v>
      </c>
      <c r="FJ14" s="424">
        <f t="shared" si="117"/>
        <v>1050</v>
      </c>
      <c r="FK14" s="424">
        <f t="shared" si="165"/>
        <v>15</v>
      </c>
      <c r="FL14" s="424">
        <f t="shared" si="165"/>
        <v>2010.1434609375003</v>
      </c>
      <c r="FM14" s="424">
        <f t="shared" si="36"/>
        <v>31659759.509765629</v>
      </c>
      <c r="FN14" s="423">
        <v>6</v>
      </c>
      <c r="FO14" s="424">
        <f t="shared" si="118"/>
        <v>15</v>
      </c>
      <c r="FP14" s="432">
        <f t="shared" si="119"/>
        <v>6300</v>
      </c>
      <c r="FQ14" s="424">
        <f t="shared" si="37"/>
        <v>189958557.05859378</v>
      </c>
      <c r="FR14" s="423">
        <v>24</v>
      </c>
      <c r="FS14" s="424">
        <f t="shared" si="120"/>
        <v>15</v>
      </c>
      <c r="FT14" s="432">
        <f t="shared" si="38"/>
        <v>378000</v>
      </c>
      <c r="FU14" s="424">
        <f t="shared" si="39"/>
        <v>759834228.23437512</v>
      </c>
      <c r="FV14" s="423">
        <f t="shared" si="40"/>
        <v>288</v>
      </c>
      <c r="FW14" s="424">
        <f t="shared" si="121"/>
        <v>15</v>
      </c>
      <c r="FX14" s="432">
        <f t="shared" si="122"/>
        <v>4536000</v>
      </c>
      <c r="FY14" s="424">
        <f t="shared" si="41"/>
        <v>9118010738.8125019</v>
      </c>
      <c r="GA14" s="424"/>
      <c r="GB14" s="430">
        <v>0.105</v>
      </c>
      <c r="GC14" s="424">
        <f t="shared" si="123"/>
        <v>1050</v>
      </c>
      <c r="GD14" s="433">
        <f t="shared" si="166"/>
        <v>1</v>
      </c>
      <c r="GE14" s="424">
        <f t="shared" si="124"/>
        <v>1050</v>
      </c>
      <c r="GF14" s="423">
        <v>1</v>
      </c>
      <c r="GG14" s="424">
        <f t="shared" si="125"/>
        <v>1050</v>
      </c>
      <c r="GH14" s="431">
        <f>'Parameters and Summary'!E78</f>
        <v>1</v>
      </c>
      <c r="GI14" s="424">
        <f t="shared" si="126"/>
        <v>1050</v>
      </c>
      <c r="GJ14" s="424">
        <f t="shared" si="167"/>
        <v>15</v>
      </c>
      <c r="GK14" s="424">
        <f t="shared" si="167"/>
        <v>2110.6506339843754</v>
      </c>
      <c r="GL14" s="424">
        <f t="shared" si="42"/>
        <v>33242747.485253911</v>
      </c>
      <c r="GM14" s="423">
        <v>6</v>
      </c>
      <c r="GN14" s="424">
        <f t="shared" si="127"/>
        <v>15</v>
      </c>
      <c r="GO14" s="432">
        <f t="shared" si="128"/>
        <v>6300</v>
      </c>
      <c r="GP14" s="424">
        <f t="shared" si="43"/>
        <v>199456484.91152349</v>
      </c>
      <c r="GQ14" s="423">
        <v>24</v>
      </c>
      <c r="GR14" s="424">
        <f t="shared" si="129"/>
        <v>15</v>
      </c>
      <c r="GS14" s="432">
        <f t="shared" si="44"/>
        <v>378000</v>
      </c>
      <c r="GT14" s="424">
        <f t="shared" si="45"/>
        <v>797825939.64609396</v>
      </c>
      <c r="GU14" s="423">
        <f t="shared" si="46"/>
        <v>288</v>
      </c>
      <c r="GV14" s="424">
        <f t="shared" si="130"/>
        <v>15</v>
      </c>
      <c r="GW14" s="432">
        <f t="shared" si="131"/>
        <v>4536000</v>
      </c>
      <c r="GX14" s="424">
        <f t="shared" si="47"/>
        <v>9573911275.7531261</v>
      </c>
      <c r="GZ14" s="424"/>
      <c r="HA14" s="430">
        <v>0.105</v>
      </c>
      <c r="HB14" s="424">
        <f t="shared" si="132"/>
        <v>1050</v>
      </c>
      <c r="HC14" s="433">
        <f t="shared" si="168"/>
        <v>1</v>
      </c>
      <c r="HD14" s="424">
        <f t="shared" si="133"/>
        <v>1050</v>
      </c>
      <c r="HE14" s="423">
        <v>1</v>
      </c>
      <c r="HF14" s="424">
        <f t="shared" si="134"/>
        <v>1050</v>
      </c>
      <c r="HG14" s="431">
        <f>'Parameters and Summary'!E78</f>
        <v>1</v>
      </c>
      <c r="HH14" s="424">
        <f t="shared" si="135"/>
        <v>1050</v>
      </c>
      <c r="HI14" s="424">
        <f t="shared" si="169"/>
        <v>15</v>
      </c>
      <c r="HJ14" s="424">
        <f t="shared" si="169"/>
        <v>2216.1831656835943</v>
      </c>
      <c r="HK14" s="424">
        <f t="shared" si="48"/>
        <v>34904884.859516606</v>
      </c>
      <c r="HL14" s="423">
        <v>6</v>
      </c>
      <c r="HM14" s="424">
        <f t="shared" si="136"/>
        <v>15</v>
      </c>
      <c r="HN14" s="432">
        <f t="shared" si="137"/>
        <v>6300</v>
      </c>
      <c r="HO14" s="424">
        <f t="shared" si="49"/>
        <v>209429309.15709966</v>
      </c>
      <c r="HP14" s="423">
        <v>24</v>
      </c>
      <c r="HQ14" s="424">
        <f t="shared" si="138"/>
        <v>15</v>
      </c>
      <c r="HR14" s="432">
        <f t="shared" si="50"/>
        <v>378000</v>
      </c>
      <c r="HS14" s="424">
        <f t="shared" si="51"/>
        <v>837717236.62839866</v>
      </c>
      <c r="HT14" s="423">
        <f t="shared" si="52"/>
        <v>288</v>
      </c>
      <c r="HU14" s="424">
        <f t="shared" si="139"/>
        <v>15</v>
      </c>
      <c r="HV14" s="432">
        <f t="shared" si="140"/>
        <v>4536000</v>
      </c>
      <c r="HW14" s="424">
        <f t="shared" si="53"/>
        <v>10052606839.540783</v>
      </c>
      <c r="HY14" s="424"/>
      <c r="HZ14" s="430">
        <v>0.105</v>
      </c>
      <c r="IA14" s="424">
        <f t="shared" si="141"/>
        <v>1050</v>
      </c>
      <c r="IB14" s="433">
        <f t="shared" si="170"/>
        <v>1</v>
      </c>
      <c r="IC14" s="424">
        <f t="shared" si="142"/>
        <v>1050</v>
      </c>
      <c r="ID14" s="423">
        <v>1</v>
      </c>
      <c r="IE14" s="424">
        <f t="shared" si="143"/>
        <v>1050</v>
      </c>
      <c r="IF14" s="431">
        <f>'Parameters and Summary'!E78</f>
        <v>1</v>
      </c>
      <c r="IG14" s="424">
        <f t="shared" si="144"/>
        <v>1050</v>
      </c>
      <c r="IH14" s="424">
        <f t="shared" si="171"/>
        <v>15</v>
      </c>
      <c r="II14" s="424">
        <f t="shared" si="171"/>
        <v>2326.9923239677742</v>
      </c>
      <c r="IJ14" s="424">
        <f t="shared" si="54"/>
        <v>36650129.102492444</v>
      </c>
      <c r="IK14" s="423">
        <v>6</v>
      </c>
      <c r="IL14" s="424">
        <f t="shared" si="145"/>
        <v>15</v>
      </c>
      <c r="IM14" s="432">
        <f t="shared" si="146"/>
        <v>6300</v>
      </c>
      <c r="IN14" s="424">
        <f t="shared" si="55"/>
        <v>219900774.61495465</v>
      </c>
      <c r="IO14" s="423">
        <v>24</v>
      </c>
      <c r="IP14" s="424">
        <f t="shared" si="147"/>
        <v>15</v>
      </c>
      <c r="IQ14" s="432">
        <f t="shared" si="56"/>
        <v>378000</v>
      </c>
      <c r="IR14" s="424">
        <f t="shared" si="57"/>
        <v>879603098.4598186</v>
      </c>
      <c r="IS14" s="423">
        <f t="shared" si="58"/>
        <v>288</v>
      </c>
      <c r="IT14" s="424">
        <f t="shared" si="148"/>
        <v>15</v>
      </c>
      <c r="IU14" s="432">
        <f t="shared" si="149"/>
        <v>4536000</v>
      </c>
      <c r="IV14" s="424">
        <f t="shared" si="59"/>
        <v>10555237181.517824</v>
      </c>
    </row>
    <row r="15" spans="2:256" x14ac:dyDescent="0.25">
      <c r="B15" s="422"/>
      <c r="C15" s="422"/>
      <c r="D15" s="422"/>
      <c r="E15" s="419" t="s">
        <v>148</v>
      </c>
      <c r="F15" s="423"/>
      <c r="G15" s="423"/>
      <c r="H15" s="424"/>
      <c r="I15" s="430">
        <v>7.0000000000000007E-2</v>
      </c>
      <c r="J15" s="424">
        <f t="shared" si="60"/>
        <v>140</v>
      </c>
      <c r="K15" s="433">
        <f t="shared" si="150"/>
        <v>1</v>
      </c>
      <c r="L15" s="424">
        <f t="shared" si="61"/>
        <v>140</v>
      </c>
      <c r="M15" s="423">
        <v>1</v>
      </c>
      <c r="N15" s="424">
        <f t="shared" si="62"/>
        <v>140</v>
      </c>
      <c r="O15" s="431">
        <f>'Parameters and Summary'!E79</f>
        <v>1</v>
      </c>
      <c r="P15" s="424">
        <f t="shared" si="63"/>
        <v>140</v>
      </c>
      <c r="Q15" s="424">
        <f t="shared" si="151"/>
        <v>15</v>
      </c>
      <c r="R15" s="424">
        <f t="shared" si="152"/>
        <v>1500</v>
      </c>
      <c r="S15" s="424">
        <f t="shared" si="0"/>
        <v>3150000</v>
      </c>
      <c r="T15" s="423">
        <v>6</v>
      </c>
      <c r="U15" s="424">
        <f t="shared" si="64"/>
        <v>15</v>
      </c>
      <c r="V15" s="432">
        <f t="shared" si="65"/>
        <v>840</v>
      </c>
      <c r="W15" s="424">
        <f t="shared" si="1"/>
        <v>18900000</v>
      </c>
      <c r="X15" s="423">
        <v>24</v>
      </c>
      <c r="Y15" s="424">
        <f t="shared" si="66"/>
        <v>15</v>
      </c>
      <c r="Z15" s="432">
        <f t="shared" si="2"/>
        <v>50400</v>
      </c>
      <c r="AA15" s="424">
        <f t="shared" si="3"/>
        <v>75600000</v>
      </c>
      <c r="AB15" s="423">
        <f t="shared" si="4"/>
        <v>288</v>
      </c>
      <c r="AC15" s="424">
        <f t="shared" si="67"/>
        <v>15</v>
      </c>
      <c r="AD15" s="432">
        <f t="shared" si="68"/>
        <v>604800</v>
      </c>
      <c r="AE15" s="424">
        <f t="shared" si="5"/>
        <v>907200000</v>
      </c>
      <c r="AG15" s="424"/>
      <c r="AH15" s="430">
        <v>7.0000000000000007E-2</v>
      </c>
      <c r="AI15" s="424">
        <f t="shared" si="69"/>
        <v>280</v>
      </c>
      <c r="AJ15" s="433">
        <f t="shared" si="153"/>
        <v>1</v>
      </c>
      <c r="AK15" s="424">
        <f t="shared" si="70"/>
        <v>280</v>
      </c>
      <c r="AL15" s="423">
        <v>1</v>
      </c>
      <c r="AM15" s="424">
        <f t="shared" si="71"/>
        <v>280</v>
      </c>
      <c r="AN15" s="431">
        <f>'Parameters and Summary'!E79</f>
        <v>1</v>
      </c>
      <c r="AO15" s="424">
        <f t="shared" si="72"/>
        <v>280</v>
      </c>
      <c r="AP15" s="424">
        <f t="shared" si="154"/>
        <v>15</v>
      </c>
      <c r="AQ15" s="424">
        <f t="shared" si="154"/>
        <v>1575</v>
      </c>
      <c r="AR15" s="424">
        <f t="shared" si="6"/>
        <v>6615000</v>
      </c>
      <c r="AS15" s="423">
        <v>6</v>
      </c>
      <c r="AT15" s="424">
        <f t="shared" si="73"/>
        <v>15</v>
      </c>
      <c r="AU15" s="432">
        <f t="shared" si="74"/>
        <v>1680</v>
      </c>
      <c r="AV15" s="424">
        <f t="shared" si="7"/>
        <v>39690000</v>
      </c>
      <c r="AW15" s="423">
        <v>24</v>
      </c>
      <c r="AX15" s="424">
        <f t="shared" si="75"/>
        <v>15</v>
      </c>
      <c r="AY15" s="432">
        <f t="shared" si="8"/>
        <v>100800</v>
      </c>
      <c r="AZ15" s="424">
        <f t="shared" si="9"/>
        <v>158760000</v>
      </c>
      <c r="BA15" s="423">
        <f t="shared" si="10"/>
        <v>288</v>
      </c>
      <c r="BB15" s="424">
        <f t="shared" si="76"/>
        <v>15</v>
      </c>
      <c r="BC15" s="432">
        <f t="shared" si="77"/>
        <v>1209600</v>
      </c>
      <c r="BD15" s="424">
        <f t="shared" si="11"/>
        <v>1905120000</v>
      </c>
      <c r="BF15" s="424"/>
      <c r="BG15" s="430">
        <v>7.0000000000000007E-2</v>
      </c>
      <c r="BH15" s="424">
        <f t="shared" si="78"/>
        <v>420.00000000000006</v>
      </c>
      <c r="BI15" s="433">
        <f t="shared" si="155"/>
        <v>1</v>
      </c>
      <c r="BJ15" s="424">
        <f t="shared" si="79"/>
        <v>420.00000000000006</v>
      </c>
      <c r="BK15" s="423">
        <v>1</v>
      </c>
      <c r="BL15" s="424">
        <f t="shared" si="80"/>
        <v>420.00000000000006</v>
      </c>
      <c r="BM15" s="431">
        <f>'Parameters and Summary'!E79</f>
        <v>1</v>
      </c>
      <c r="BN15" s="424">
        <f t="shared" si="81"/>
        <v>420.00000000000006</v>
      </c>
      <c r="BO15" s="424">
        <f t="shared" si="156"/>
        <v>15</v>
      </c>
      <c r="BP15" s="424">
        <f t="shared" si="156"/>
        <v>1653.75</v>
      </c>
      <c r="BQ15" s="424">
        <f t="shared" si="12"/>
        <v>10418625.000000002</v>
      </c>
      <c r="BR15" s="423">
        <v>6</v>
      </c>
      <c r="BS15" s="424">
        <f t="shared" si="82"/>
        <v>15</v>
      </c>
      <c r="BT15" s="432">
        <f t="shared" si="83"/>
        <v>2520.0000000000005</v>
      </c>
      <c r="BU15" s="424">
        <f t="shared" si="13"/>
        <v>62511750.000000015</v>
      </c>
      <c r="BV15" s="423">
        <v>24</v>
      </c>
      <c r="BW15" s="424">
        <f t="shared" si="84"/>
        <v>15</v>
      </c>
      <c r="BX15" s="432">
        <f t="shared" si="14"/>
        <v>151200.00000000003</v>
      </c>
      <c r="BY15" s="424">
        <f t="shared" si="15"/>
        <v>250047000.00000006</v>
      </c>
      <c r="BZ15" s="423">
        <f t="shared" si="16"/>
        <v>288</v>
      </c>
      <c r="CA15" s="424">
        <f t="shared" si="85"/>
        <v>15</v>
      </c>
      <c r="CB15" s="432">
        <f t="shared" si="86"/>
        <v>1814400.0000000002</v>
      </c>
      <c r="CC15" s="424">
        <f t="shared" si="17"/>
        <v>3000564000.0000005</v>
      </c>
      <c r="CE15" s="424"/>
      <c r="CF15" s="430">
        <v>7.0000000000000007E-2</v>
      </c>
      <c r="CG15" s="424">
        <f t="shared" si="87"/>
        <v>560</v>
      </c>
      <c r="CH15" s="433">
        <f t="shared" si="157"/>
        <v>1</v>
      </c>
      <c r="CI15" s="424">
        <f t="shared" si="88"/>
        <v>560</v>
      </c>
      <c r="CJ15" s="423">
        <v>1</v>
      </c>
      <c r="CK15" s="424">
        <f t="shared" si="89"/>
        <v>560</v>
      </c>
      <c r="CL15" s="431">
        <f t="shared" si="158"/>
        <v>1</v>
      </c>
      <c r="CM15" s="424">
        <f t="shared" si="90"/>
        <v>560</v>
      </c>
      <c r="CN15" s="424">
        <f t="shared" si="159"/>
        <v>15</v>
      </c>
      <c r="CO15" s="424">
        <f t="shared" si="159"/>
        <v>1736.4375</v>
      </c>
      <c r="CP15" s="424">
        <f t="shared" si="18"/>
        <v>14586075</v>
      </c>
      <c r="CQ15" s="423">
        <v>6</v>
      </c>
      <c r="CR15" s="424">
        <f t="shared" si="91"/>
        <v>15</v>
      </c>
      <c r="CS15" s="432">
        <f t="shared" si="92"/>
        <v>3360</v>
      </c>
      <c r="CT15" s="424">
        <f t="shared" si="19"/>
        <v>87516450</v>
      </c>
      <c r="CU15" s="423">
        <v>24</v>
      </c>
      <c r="CV15" s="424">
        <f t="shared" si="93"/>
        <v>15</v>
      </c>
      <c r="CW15" s="432">
        <f t="shared" si="20"/>
        <v>201600</v>
      </c>
      <c r="CX15" s="424">
        <f t="shared" si="21"/>
        <v>350065800</v>
      </c>
      <c r="CY15" s="423">
        <f t="shared" si="22"/>
        <v>288</v>
      </c>
      <c r="CZ15" s="424">
        <f t="shared" si="94"/>
        <v>15</v>
      </c>
      <c r="DA15" s="432">
        <f t="shared" si="95"/>
        <v>2419200</v>
      </c>
      <c r="DB15" s="424">
        <f t="shared" si="23"/>
        <v>4200789600</v>
      </c>
      <c r="DD15" s="424"/>
      <c r="DE15" s="430">
        <v>7.0000000000000007E-2</v>
      </c>
      <c r="DF15" s="424">
        <f t="shared" si="96"/>
        <v>700.00000000000011</v>
      </c>
      <c r="DG15" s="433">
        <f t="shared" si="160"/>
        <v>1</v>
      </c>
      <c r="DH15" s="424">
        <f t="shared" si="97"/>
        <v>700.00000000000011</v>
      </c>
      <c r="DI15" s="423">
        <v>1</v>
      </c>
      <c r="DJ15" s="424">
        <f t="shared" si="98"/>
        <v>700.00000000000011</v>
      </c>
      <c r="DK15" s="431">
        <f>'Parameters and Summary'!E79</f>
        <v>1</v>
      </c>
      <c r="DL15" s="424">
        <f t="shared" si="99"/>
        <v>700.00000000000011</v>
      </c>
      <c r="DM15" s="424">
        <f t="shared" si="161"/>
        <v>15</v>
      </c>
      <c r="DN15" s="424">
        <f t="shared" si="161"/>
        <v>1823.2593750000001</v>
      </c>
      <c r="DO15" s="424">
        <f t="shared" si="24"/>
        <v>19144223.437500004</v>
      </c>
      <c r="DP15" s="423">
        <v>6</v>
      </c>
      <c r="DQ15" s="424">
        <f t="shared" si="100"/>
        <v>15</v>
      </c>
      <c r="DR15" s="432">
        <f t="shared" si="101"/>
        <v>4200.0000000000009</v>
      </c>
      <c r="DS15" s="424">
        <f t="shared" si="25"/>
        <v>114865340.62500003</v>
      </c>
      <c r="DT15" s="423">
        <v>24</v>
      </c>
      <c r="DU15" s="424">
        <f t="shared" si="102"/>
        <v>15</v>
      </c>
      <c r="DV15" s="432">
        <f t="shared" si="26"/>
        <v>252000.00000000006</v>
      </c>
      <c r="DW15" s="424">
        <f t="shared" si="27"/>
        <v>459461362.50000012</v>
      </c>
      <c r="DX15" s="423">
        <f t="shared" si="28"/>
        <v>288</v>
      </c>
      <c r="DY15" s="424">
        <f t="shared" si="103"/>
        <v>15</v>
      </c>
      <c r="DZ15" s="432">
        <f t="shared" si="104"/>
        <v>3024000.0000000005</v>
      </c>
      <c r="EA15" s="424">
        <f t="shared" si="29"/>
        <v>5513536350.000001</v>
      </c>
      <c r="EC15" s="424"/>
      <c r="ED15" s="430">
        <v>7.0000000000000007E-2</v>
      </c>
      <c r="EE15" s="424">
        <f t="shared" si="105"/>
        <v>700.00000000000011</v>
      </c>
      <c r="EF15" s="433">
        <f t="shared" si="162"/>
        <v>1</v>
      </c>
      <c r="EG15" s="424">
        <f t="shared" si="106"/>
        <v>700.00000000000011</v>
      </c>
      <c r="EH15" s="423">
        <v>1</v>
      </c>
      <c r="EI15" s="424">
        <f t="shared" si="107"/>
        <v>700.00000000000011</v>
      </c>
      <c r="EJ15" s="431">
        <f>'Parameters and Summary'!E79</f>
        <v>1</v>
      </c>
      <c r="EK15" s="424">
        <f t="shared" si="108"/>
        <v>700.00000000000011</v>
      </c>
      <c r="EL15" s="424">
        <f t="shared" si="163"/>
        <v>15</v>
      </c>
      <c r="EM15" s="424">
        <f t="shared" si="163"/>
        <v>1914.4223437500002</v>
      </c>
      <c r="EN15" s="424">
        <f t="shared" si="30"/>
        <v>20101434.609375007</v>
      </c>
      <c r="EO15" s="423">
        <v>6</v>
      </c>
      <c r="EP15" s="424">
        <f t="shared" si="109"/>
        <v>15</v>
      </c>
      <c r="EQ15" s="432">
        <f t="shared" si="110"/>
        <v>4200.0000000000009</v>
      </c>
      <c r="ER15" s="424">
        <f t="shared" si="31"/>
        <v>120608607.65625004</v>
      </c>
      <c r="ES15" s="423">
        <v>24</v>
      </c>
      <c r="ET15" s="424">
        <f t="shared" si="111"/>
        <v>15</v>
      </c>
      <c r="EU15" s="432">
        <f t="shared" si="32"/>
        <v>252000.00000000006</v>
      </c>
      <c r="EV15" s="424">
        <f t="shared" si="33"/>
        <v>482434430.62500018</v>
      </c>
      <c r="EW15" s="423">
        <f t="shared" si="34"/>
        <v>288</v>
      </c>
      <c r="EX15" s="424">
        <f t="shared" si="112"/>
        <v>15</v>
      </c>
      <c r="EY15" s="432">
        <f t="shared" si="113"/>
        <v>3024000.0000000005</v>
      </c>
      <c r="EZ15" s="424">
        <f t="shared" si="35"/>
        <v>5789213167.5000019</v>
      </c>
      <c r="FB15" s="424"/>
      <c r="FC15" s="430">
        <v>7.0000000000000007E-2</v>
      </c>
      <c r="FD15" s="424">
        <f t="shared" si="114"/>
        <v>700.00000000000011</v>
      </c>
      <c r="FE15" s="433">
        <f t="shared" si="164"/>
        <v>1</v>
      </c>
      <c r="FF15" s="424">
        <f t="shared" si="115"/>
        <v>700.00000000000011</v>
      </c>
      <c r="FG15" s="423">
        <v>1</v>
      </c>
      <c r="FH15" s="424">
        <f t="shared" si="116"/>
        <v>700.00000000000011</v>
      </c>
      <c r="FI15" s="431">
        <f>'Parameters and Summary'!E79</f>
        <v>1</v>
      </c>
      <c r="FJ15" s="424">
        <f t="shared" si="117"/>
        <v>700.00000000000011</v>
      </c>
      <c r="FK15" s="424">
        <f t="shared" si="165"/>
        <v>15</v>
      </c>
      <c r="FL15" s="424">
        <f t="shared" si="165"/>
        <v>2010.1434609375003</v>
      </c>
      <c r="FM15" s="424">
        <f t="shared" si="36"/>
        <v>21106506.339843757</v>
      </c>
      <c r="FN15" s="423">
        <v>6</v>
      </c>
      <c r="FO15" s="424">
        <f t="shared" si="118"/>
        <v>15</v>
      </c>
      <c r="FP15" s="432">
        <f t="shared" si="119"/>
        <v>4200.0000000000009</v>
      </c>
      <c r="FQ15" s="424">
        <f t="shared" si="37"/>
        <v>126639038.03906254</v>
      </c>
      <c r="FR15" s="423">
        <v>24</v>
      </c>
      <c r="FS15" s="424">
        <f t="shared" si="120"/>
        <v>15</v>
      </c>
      <c r="FT15" s="432">
        <f t="shared" si="38"/>
        <v>252000.00000000006</v>
      </c>
      <c r="FU15" s="424">
        <f t="shared" si="39"/>
        <v>506556152.15625018</v>
      </c>
      <c r="FV15" s="423">
        <f t="shared" si="40"/>
        <v>288</v>
      </c>
      <c r="FW15" s="424">
        <f t="shared" si="121"/>
        <v>15</v>
      </c>
      <c r="FX15" s="432">
        <f t="shared" si="122"/>
        <v>3024000.0000000005</v>
      </c>
      <c r="FY15" s="424">
        <f t="shared" si="41"/>
        <v>6078673825.8750019</v>
      </c>
      <c r="GA15" s="424"/>
      <c r="GB15" s="430">
        <v>7.0000000000000007E-2</v>
      </c>
      <c r="GC15" s="424">
        <f t="shared" si="123"/>
        <v>700.00000000000011</v>
      </c>
      <c r="GD15" s="433">
        <f t="shared" si="166"/>
        <v>1</v>
      </c>
      <c r="GE15" s="424">
        <f t="shared" si="124"/>
        <v>700.00000000000011</v>
      </c>
      <c r="GF15" s="423">
        <v>1</v>
      </c>
      <c r="GG15" s="424">
        <f t="shared" si="125"/>
        <v>700.00000000000011</v>
      </c>
      <c r="GH15" s="431">
        <f>'Parameters and Summary'!E79</f>
        <v>1</v>
      </c>
      <c r="GI15" s="424">
        <f t="shared" si="126"/>
        <v>700.00000000000011</v>
      </c>
      <c r="GJ15" s="424">
        <f t="shared" si="167"/>
        <v>15</v>
      </c>
      <c r="GK15" s="424">
        <f t="shared" si="167"/>
        <v>2110.6506339843754</v>
      </c>
      <c r="GL15" s="424">
        <f t="shared" si="42"/>
        <v>22161831.656835943</v>
      </c>
      <c r="GM15" s="423">
        <v>6</v>
      </c>
      <c r="GN15" s="424">
        <f t="shared" si="127"/>
        <v>15</v>
      </c>
      <c r="GO15" s="432">
        <f t="shared" si="128"/>
        <v>4200.0000000000009</v>
      </c>
      <c r="GP15" s="424">
        <f t="shared" si="43"/>
        <v>132970989.94101568</v>
      </c>
      <c r="GQ15" s="423">
        <v>24</v>
      </c>
      <c r="GR15" s="424">
        <f t="shared" si="129"/>
        <v>15</v>
      </c>
      <c r="GS15" s="432">
        <f t="shared" si="44"/>
        <v>252000.00000000006</v>
      </c>
      <c r="GT15" s="424">
        <f t="shared" si="45"/>
        <v>531883959.7640627</v>
      </c>
      <c r="GU15" s="423">
        <f t="shared" si="46"/>
        <v>288</v>
      </c>
      <c r="GV15" s="424">
        <f t="shared" si="130"/>
        <v>15</v>
      </c>
      <c r="GW15" s="432">
        <f t="shared" si="131"/>
        <v>3024000.0000000005</v>
      </c>
      <c r="GX15" s="424">
        <f t="shared" si="47"/>
        <v>6382607517.1687527</v>
      </c>
      <c r="GZ15" s="424"/>
      <c r="HA15" s="430">
        <v>7.0000000000000007E-2</v>
      </c>
      <c r="HB15" s="424">
        <f t="shared" si="132"/>
        <v>700.00000000000011</v>
      </c>
      <c r="HC15" s="433">
        <f t="shared" si="168"/>
        <v>1</v>
      </c>
      <c r="HD15" s="424">
        <f t="shared" si="133"/>
        <v>700.00000000000011</v>
      </c>
      <c r="HE15" s="423">
        <v>1</v>
      </c>
      <c r="HF15" s="424">
        <f t="shared" si="134"/>
        <v>700.00000000000011</v>
      </c>
      <c r="HG15" s="431">
        <f>'Parameters and Summary'!E79</f>
        <v>1</v>
      </c>
      <c r="HH15" s="424">
        <f t="shared" si="135"/>
        <v>700.00000000000011</v>
      </c>
      <c r="HI15" s="424">
        <f t="shared" si="169"/>
        <v>15</v>
      </c>
      <c r="HJ15" s="424">
        <f t="shared" si="169"/>
        <v>2216.1831656835943</v>
      </c>
      <c r="HK15" s="424">
        <f t="shared" si="48"/>
        <v>23269923.239677742</v>
      </c>
      <c r="HL15" s="423">
        <v>6</v>
      </c>
      <c r="HM15" s="424">
        <f t="shared" si="136"/>
        <v>15</v>
      </c>
      <c r="HN15" s="432">
        <f t="shared" si="137"/>
        <v>4200.0000000000009</v>
      </c>
      <c r="HO15" s="424">
        <f t="shared" si="49"/>
        <v>139619539.43806645</v>
      </c>
      <c r="HP15" s="423">
        <v>24</v>
      </c>
      <c r="HQ15" s="424">
        <f t="shared" si="138"/>
        <v>15</v>
      </c>
      <c r="HR15" s="432">
        <f t="shared" si="50"/>
        <v>252000.00000000006</v>
      </c>
      <c r="HS15" s="424">
        <f t="shared" si="51"/>
        <v>558478157.75226593</v>
      </c>
      <c r="HT15" s="423">
        <f t="shared" si="52"/>
        <v>288</v>
      </c>
      <c r="HU15" s="424">
        <f t="shared" si="139"/>
        <v>15</v>
      </c>
      <c r="HV15" s="432">
        <f t="shared" si="140"/>
        <v>3024000.0000000005</v>
      </c>
      <c r="HW15" s="424">
        <f t="shared" si="53"/>
        <v>6701737893.0271902</v>
      </c>
      <c r="HY15" s="424"/>
      <c r="HZ15" s="430">
        <v>7.0000000000000007E-2</v>
      </c>
      <c r="IA15" s="424">
        <f t="shared" si="141"/>
        <v>700.00000000000011</v>
      </c>
      <c r="IB15" s="433">
        <f t="shared" si="170"/>
        <v>1</v>
      </c>
      <c r="IC15" s="424">
        <f t="shared" si="142"/>
        <v>700.00000000000011</v>
      </c>
      <c r="ID15" s="423">
        <v>1</v>
      </c>
      <c r="IE15" s="424">
        <f t="shared" si="143"/>
        <v>700.00000000000011</v>
      </c>
      <c r="IF15" s="431">
        <f>'Parameters and Summary'!E79</f>
        <v>1</v>
      </c>
      <c r="IG15" s="424">
        <f t="shared" si="144"/>
        <v>700.00000000000011</v>
      </c>
      <c r="IH15" s="424">
        <f t="shared" si="171"/>
        <v>15</v>
      </c>
      <c r="II15" s="424">
        <f t="shared" si="171"/>
        <v>2326.9923239677742</v>
      </c>
      <c r="IJ15" s="424">
        <f t="shared" si="54"/>
        <v>24433419.401661634</v>
      </c>
      <c r="IK15" s="423">
        <v>6</v>
      </c>
      <c r="IL15" s="424">
        <f t="shared" si="145"/>
        <v>15</v>
      </c>
      <c r="IM15" s="432">
        <f t="shared" si="146"/>
        <v>4200.0000000000009</v>
      </c>
      <c r="IN15" s="424">
        <f t="shared" si="55"/>
        <v>146600516.40996981</v>
      </c>
      <c r="IO15" s="423">
        <v>24</v>
      </c>
      <c r="IP15" s="424">
        <f t="shared" si="147"/>
        <v>15</v>
      </c>
      <c r="IQ15" s="432">
        <f t="shared" si="56"/>
        <v>252000.00000000006</v>
      </c>
      <c r="IR15" s="424">
        <f t="shared" si="57"/>
        <v>586402065.63987923</v>
      </c>
      <c r="IS15" s="423">
        <f t="shared" si="58"/>
        <v>288</v>
      </c>
      <c r="IT15" s="424">
        <f t="shared" si="148"/>
        <v>15</v>
      </c>
      <c r="IU15" s="432">
        <f t="shared" si="149"/>
        <v>3024000.0000000005</v>
      </c>
      <c r="IV15" s="424">
        <f t="shared" si="59"/>
        <v>7036824787.6785498</v>
      </c>
    </row>
    <row r="16" spans="2:256" x14ac:dyDescent="0.25">
      <c r="B16" s="422">
        <v>2</v>
      </c>
      <c r="C16" s="422">
        <v>8</v>
      </c>
      <c r="D16" s="422" t="s">
        <v>293</v>
      </c>
      <c r="E16" s="419"/>
      <c r="F16" s="423" t="s">
        <v>97</v>
      </c>
      <c r="G16" s="423" t="str">
        <f>D16</f>
        <v>6pm - 9pm</v>
      </c>
      <c r="H16" s="424">
        <f>H9</f>
        <v>2000</v>
      </c>
      <c r="I16" s="425">
        <v>0.75</v>
      </c>
      <c r="J16" s="426">
        <f>H16*I16</f>
        <v>1500</v>
      </c>
      <c r="K16" s="425"/>
      <c r="L16" s="426"/>
      <c r="M16" s="427">
        <v>1</v>
      </c>
      <c r="N16" s="426">
        <f t="shared" ref="N16:N23" si="172">J16*M16</f>
        <v>1500</v>
      </c>
      <c r="O16" s="428"/>
      <c r="P16" s="426"/>
      <c r="Q16" s="426"/>
      <c r="R16" s="426"/>
      <c r="S16" s="426">
        <f>SUM(S10:S15)/N9</f>
        <v>22500</v>
      </c>
      <c r="T16" s="427"/>
      <c r="U16" s="426"/>
      <c r="V16" s="429"/>
      <c r="W16" s="426"/>
      <c r="X16" s="427"/>
      <c r="Y16" s="426"/>
      <c r="Z16" s="429"/>
      <c r="AA16" s="426"/>
      <c r="AB16" s="427"/>
      <c r="AC16" s="426"/>
      <c r="AD16" s="429"/>
      <c r="AE16" s="426"/>
      <c r="AG16" s="424">
        <f>AG9</f>
        <v>4000</v>
      </c>
      <c r="AH16" s="425">
        <v>0.75</v>
      </c>
      <c r="AI16" s="426">
        <f>AG16*AH16</f>
        <v>3000</v>
      </c>
      <c r="AJ16" s="425"/>
      <c r="AK16" s="426"/>
      <c r="AL16" s="427">
        <v>1</v>
      </c>
      <c r="AM16" s="426">
        <f t="shared" ref="AM16" si="173">AI16*AL16</f>
        <v>3000</v>
      </c>
      <c r="AN16" s="428"/>
      <c r="AO16" s="426"/>
      <c r="AP16" s="426"/>
      <c r="AQ16" s="426"/>
      <c r="AR16" s="426">
        <f>SUM(AR10:AR15)/4000</f>
        <v>23625</v>
      </c>
      <c r="AS16" s="427"/>
      <c r="AT16" s="426"/>
      <c r="AU16" s="429"/>
      <c r="AV16" s="426"/>
      <c r="AW16" s="427"/>
      <c r="AX16" s="426"/>
      <c r="AY16" s="429"/>
      <c r="AZ16" s="426"/>
      <c r="BA16" s="427"/>
      <c r="BB16" s="426"/>
      <c r="BC16" s="429"/>
      <c r="BD16" s="426"/>
      <c r="BF16" s="424">
        <f>BF9</f>
        <v>6000</v>
      </c>
      <c r="BG16" s="425">
        <v>0.75</v>
      </c>
      <c r="BH16" s="426">
        <f>BF16*BG16</f>
        <v>4500</v>
      </c>
      <c r="BI16" s="425"/>
      <c r="BJ16" s="426"/>
      <c r="BK16" s="427">
        <v>1</v>
      </c>
      <c r="BL16" s="426">
        <f t="shared" ref="BL16" si="174">BH16*BK16</f>
        <v>4500</v>
      </c>
      <c r="BM16" s="428"/>
      <c r="BN16" s="426"/>
      <c r="BO16" s="426"/>
      <c r="BP16" s="426"/>
      <c r="BQ16" s="426">
        <f>SUM(BQ10:BQ15)/BL9</f>
        <v>24806.25</v>
      </c>
      <c r="BR16" s="427"/>
      <c r="BS16" s="426"/>
      <c r="BT16" s="429"/>
      <c r="BU16" s="426"/>
      <c r="BV16" s="427"/>
      <c r="BW16" s="426"/>
      <c r="BX16" s="429"/>
      <c r="BY16" s="426"/>
      <c r="BZ16" s="427"/>
      <c r="CA16" s="426"/>
      <c r="CB16" s="429"/>
      <c r="CC16" s="426"/>
      <c r="CE16" s="424">
        <f>CE9</f>
        <v>8000</v>
      </c>
      <c r="CF16" s="425">
        <v>0.75</v>
      </c>
      <c r="CG16" s="426">
        <f>CE16*CF16</f>
        <v>6000</v>
      </c>
      <c r="CH16" s="425"/>
      <c r="CI16" s="426"/>
      <c r="CJ16" s="427">
        <v>1</v>
      </c>
      <c r="CK16" s="426">
        <f t="shared" ref="CK16" si="175">CG16*CJ16</f>
        <v>6000</v>
      </c>
      <c r="CL16" s="428"/>
      <c r="CM16" s="426"/>
      <c r="CN16" s="426"/>
      <c r="CO16" s="426"/>
      <c r="CP16" s="426"/>
      <c r="CQ16" s="427"/>
      <c r="CR16" s="426"/>
      <c r="CS16" s="429"/>
      <c r="CT16" s="426"/>
      <c r="CU16" s="427"/>
      <c r="CV16" s="426"/>
      <c r="CW16" s="429"/>
      <c r="CX16" s="426"/>
      <c r="CY16" s="427"/>
      <c r="CZ16" s="426"/>
      <c r="DA16" s="429"/>
      <c r="DB16" s="426"/>
      <c r="DD16" s="424">
        <f>DD9</f>
        <v>10000</v>
      </c>
      <c r="DE16" s="425">
        <v>0.75</v>
      </c>
      <c r="DF16" s="426">
        <f>DD16*DE16</f>
        <v>7500</v>
      </c>
      <c r="DG16" s="425"/>
      <c r="DH16" s="426"/>
      <c r="DI16" s="427">
        <v>1</v>
      </c>
      <c r="DJ16" s="426">
        <f t="shared" ref="DJ16" si="176">DF16*DI16</f>
        <v>7500</v>
      </c>
      <c r="DK16" s="428"/>
      <c r="DL16" s="426"/>
      <c r="DM16" s="426"/>
      <c r="DN16" s="426"/>
      <c r="DO16" s="426"/>
      <c r="DP16" s="427"/>
      <c r="DQ16" s="426"/>
      <c r="DR16" s="429"/>
      <c r="DS16" s="426"/>
      <c r="DT16" s="427"/>
      <c r="DU16" s="426"/>
      <c r="DV16" s="429"/>
      <c r="DW16" s="426"/>
      <c r="DX16" s="427"/>
      <c r="DY16" s="426"/>
      <c r="DZ16" s="429"/>
      <c r="EA16" s="426"/>
      <c r="EC16" s="424">
        <f>EC9</f>
        <v>10000</v>
      </c>
      <c r="ED16" s="425">
        <v>0.75</v>
      </c>
      <c r="EE16" s="426">
        <f>EC16*ED16</f>
        <v>7500</v>
      </c>
      <c r="EF16" s="425"/>
      <c r="EG16" s="426"/>
      <c r="EH16" s="427">
        <v>1</v>
      </c>
      <c r="EI16" s="426">
        <f t="shared" ref="EI16" si="177">EE16*EH16</f>
        <v>7500</v>
      </c>
      <c r="EJ16" s="428"/>
      <c r="EK16" s="426"/>
      <c r="EL16" s="426"/>
      <c r="EM16" s="426"/>
      <c r="EN16" s="426"/>
      <c r="EO16" s="427"/>
      <c r="EP16" s="426"/>
      <c r="EQ16" s="429"/>
      <c r="ER16" s="426"/>
      <c r="ES16" s="427"/>
      <c r="ET16" s="426"/>
      <c r="EU16" s="429"/>
      <c r="EV16" s="426"/>
      <c r="EW16" s="427"/>
      <c r="EX16" s="426"/>
      <c r="EY16" s="429"/>
      <c r="EZ16" s="426"/>
      <c r="FB16" s="424">
        <f>FB9</f>
        <v>10000</v>
      </c>
      <c r="FC16" s="425">
        <v>0.75</v>
      </c>
      <c r="FD16" s="426">
        <f>FB16*FC16</f>
        <v>7500</v>
      </c>
      <c r="FE16" s="425"/>
      <c r="FF16" s="426"/>
      <c r="FG16" s="427">
        <v>1</v>
      </c>
      <c r="FH16" s="426">
        <f t="shared" ref="FH16" si="178">FD16*FG16</f>
        <v>7500</v>
      </c>
      <c r="FI16" s="428"/>
      <c r="FJ16" s="426"/>
      <c r="FK16" s="426"/>
      <c r="FL16" s="426"/>
      <c r="FM16" s="426"/>
      <c r="FN16" s="427"/>
      <c r="FO16" s="426"/>
      <c r="FP16" s="429"/>
      <c r="FQ16" s="426"/>
      <c r="FR16" s="427"/>
      <c r="FS16" s="426"/>
      <c r="FT16" s="429"/>
      <c r="FU16" s="426"/>
      <c r="FV16" s="427"/>
      <c r="FW16" s="426"/>
      <c r="FX16" s="429"/>
      <c r="FY16" s="426"/>
      <c r="GA16" s="424">
        <f>GA9</f>
        <v>10000</v>
      </c>
      <c r="GB16" s="425">
        <v>0.75</v>
      </c>
      <c r="GC16" s="426">
        <f>GA16*GB16</f>
        <v>7500</v>
      </c>
      <c r="GD16" s="425"/>
      <c r="GE16" s="426"/>
      <c r="GF16" s="427">
        <v>1</v>
      </c>
      <c r="GG16" s="426">
        <f t="shared" ref="GG16" si="179">GC16*GF16</f>
        <v>7500</v>
      </c>
      <c r="GH16" s="428"/>
      <c r="GI16" s="426"/>
      <c r="GJ16" s="426"/>
      <c r="GK16" s="426"/>
      <c r="GL16" s="426"/>
      <c r="GM16" s="427"/>
      <c r="GN16" s="426"/>
      <c r="GO16" s="429"/>
      <c r="GP16" s="426"/>
      <c r="GQ16" s="427"/>
      <c r="GR16" s="426"/>
      <c r="GS16" s="429"/>
      <c r="GT16" s="426"/>
      <c r="GU16" s="427"/>
      <c r="GV16" s="426"/>
      <c r="GW16" s="429"/>
      <c r="GX16" s="426"/>
      <c r="GZ16" s="424">
        <f>GZ9</f>
        <v>10000</v>
      </c>
      <c r="HA16" s="425">
        <v>0.75</v>
      </c>
      <c r="HB16" s="426">
        <f>GZ16*HA16</f>
        <v>7500</v>
      </c>
      <c r="HC16" s="425"/>
      <c r="HD16" s="426"/>
      <c r="HE16" s="427">
        <v>1</v>
      </c>
      <c r="HF16" s="426">
        <f t="shared" ref="HF16" si="180">HB16*HE16</f>
        <v>7500</v>
      </c>
      <c r="HG16" s="428"/>
      <c r="HH16" s="426"/>
      <c r="HI16" s="426"/>
      <c r="HJ16" s="426"/>
      <c r="HK16" s="426"/>
      <c r="HL16" s="427"/>
      <c r="HM16" s="426"/>
      <c r="HN16" s="429"/>
      <c r="HO16" s="426"/>
      <c r="HP16" s="427"/>
      <c r="HQ16" s="426"/>
      <c r="HR16" s="429"/>
      <c r="HS16" s="426"/>
      <c r="HT16" s="427"/>
      <c r="HU16" s="426"/>
      <c r="HV16" s="429"/>
      <c r="HW16" s="426"/>
      <c r="HY16" s="424">
        <f>HY9</f>
        <v>10000</v>
      </c>
      <c r="HZ16" s="425">
        <v>0.75</v>
      </c>
      <c r="IA16" s="426">
        <f>HY16*HZ16</f>
        <v>7500</v>
      </c>
      <c r="IB16" s="425"/>
      <c r="IC16" s="426"/>
      <c r="ID16" s="427">
        <v>1</v>
      </c>
      <c r="IE16" s="426">
        <f t="shared" ref="IE16" si="181">IA16*ID16</f>
        <v>7500</v>
      </c>
      <c r="IF16" s="428"/>
      <c r="IG16" s="426"/>
      <c r="IH16" s="426"/>
      <c r="II16" s="426"/>
      <c r="IJ16" s="426"/>
      <c r="IK16" s="427"/>
      <c r="IL16" s="426"/>
      <c r="IM16" s="429"/>
      <c r="IN16" s="426"/>
      <c r="IO16" s="427"/>
      <c r="IP16" s="426"/>
      <c r="IQ16" s="429"/>
      <c r="IR16" s="426"/>
      <c r="IS16" s="427"/>
      <c r="IT16" s="426"/>
      <c r="IU16" s="429"/>
      <c r="IV16" s="426"/>
    </row>
    <row r="17" spans="2:256" x14ac:dyDescent="0.25">
      <c r="B17" s="422"/>
      <c r="C17" s="422"/>
      <c r="D17" s="422"/>
      <c r="E17" s="419" t="s">
        <v>143</v>
      </c>
      <c r="F17" s="423"/>
      <c r="G17" s="423"/>
      <c r="H17" s="424"/>
      <c r="I17" s="430">
        <v>0.21</v>
      </c>
      <c r="J17" s="424">
        <f>I17*H$16</f>
        <v>420</v>
      </c>
      <c r="K17" s="430">
        <v>0.75</v>
      </c>
      <c r="L17" s="424">
        <f>J17*K17</f>
        <v>315</v>
      </c>
      <c r="M17" s="423">
        <v>1</v>
      </c>
      <c r="N17" s="424">
        <f t="shared" ref="N17:N22" si="182">L17*M17</f>
        <v>315</v>
      </c>
      <c r="O17" s="431">
        <f>'Parameters and Summary'!E74</f>
        <v>1</v>
      </c>
      <c r="P17" s="424">
        <f t="shared" ref="P17:P22" si="183">N17*O17</f>
        <v>315</v>
      </c>
      <c r="Q17" s="424">
        <v>3</v>
      </c>
      <c r="R17" s="424">
        <f>R10</f>
        <v>1500</v>
      </c>
      <c r="S17" s="424">
        <f t="shared" ref="S17:S22" si="184">R17*P17*Q17</f>
        <v>1417500</v>
      </c>
      <c r="T17" s="423">
        <f t="shared" ref="T17:T22" si="185">T10</f>
        <v>6</v>
      </c>
      <c r="U17" s="424">
        <f t="shared" ref="U17:U22" si="186">Q17</f>
        <v>3</v>
      </c>
      <c r="V17" s="432">
        <f t="shared" ref="V17:V22" si="187">T17*P17</f>
        <v>1890</v>
      </c>
      <c r="W17" s="424">
        <f t="shared" ref="W17:W22" si="188">V17*R17*U17</f>
        <v>8505000</v>
      </c>
      <c r="X17" s="423">
        <f t="shared" ref="X17:X22" si="189">X10</f>
        <v>24</v>
      </c>
      <c r="Y17" s="424">
        <f t="shared" ref="Y17:Y22" si="190">U17</f>
        <v>3</v>
      </c>
      <c r="Z17" s="432">
        <f t="shared" ref="Z17:Z22" si="191">X17*P17*Y17</f>
        <v>22680</v>
      </c>
      <c r="AA17" s="424">
        <f t="shared" ref="AA17:AA22" si="192">Z17*R17</f>
        <v>34020000</v>
      </c>
      <c r="AB17" s="423">
        <f t="shared" ref="AB17:AB22" si="193">AB10</f>
        <v>288</v>
      </c>
      <c r="AC17" s="424">
        <f t="shared" ref="AC17:AC22" si="194">Y17</f>
        <v>3</v>
      </c>
      <c r="AD17" s="432">
        <f t="shared" ref="AD17:AD22" si="195">AB17*P17*AC17</f>
        <v>272160</v>
      </c>
      <c r="AE17" s="424">
        <f t="shared" ref="AE17:AE22" si="196">AD17*R17</f>
        <v>408240000</v>
      </c>
      <c r="AG17" s="424"/>
      <c r="AH17" s="430">
        <v>0.21</v>
      </c>
      <c r="AI17" s="424">
        <f>AH17*AG$16</f>
        <v>840</v>
      </c>
      <c r="AJ17" s="430">
        <v>0.75</v>
      </c>
      <c r="AK17" s="424">
        <f>AI17*AJ17</f>
        <v>630</v>
      </c>
      <c r="AL17" s="423">
        <v>1</v>
      </c>
      <c r="AM17" s="424">
        <f t="shared" ref="AM17:AM22" si="197">AK17*AL17</f>
        <v>630</v>
      </c>
      <c r="AN17" s="431">
        <f>AN10</f>
        <v>1</v>
      </c>
      <c r="AO17" s="424">
        <f t="shared" ref="AO17:AO22" si="198">AM17*AN17</f>
        <v>630</v>
      </c>
      <c r="AP17" s="424">
        <v>3</v>
      </c>
      <c r="AQ17" s="424">
        <f>AQ10</f>
        <v>1575</v>
      </c>
      <c r="AR17" s="424">
        <f t="shared" ref="AR17:AR22" si="199">AQ17*AO17*AP17</f>
        <v>2976750</v>
      </c>
      <c r="AS17" s="423">
        <f t="shared" ref="AS17:AS22" si="200">AS10</f>
        <v>6</v>
      </c>
      <c r="AT17" s="424">
        <f t="shared" ref="AT17:AT22" si="201">AP17</f>
        <v>3</v>
      </c>
      <c r="AU17" s="432">
        <f t="shared" ref="AU17:AU22" si="202">AS17*AO17</f>
        <v>3780</v>
      </c>
      <c r="AV17" s="424">
        <f t="shared" ref="AV17:AV22" si="203">AU17*AQ17*AT17</f>
        <v>17860500</v>
      </c>
      <c r="AW17" s="423">
        <f t="shared" ref="AW17:AW22" si="204">AW10</f>
        <v>24</v>
      </c>
      <c r="AX17" s="424">
        <f t="shared" ref="AX17:AX22" si="205">AT17</f>
        <v>3</v>
      </c>
      <c r="AY17" s="432">
        <f t="shared" ref="AY17:AY22" si="206">AW17*AO17*AX17</f>
        <v>45360</v>
      </c>
      <c r="AZ17" s="424">
        <f t="shared" ref="AZ17:AZ22" si="207">AY17*AQ17</f>
        <v>71442000</v>
      </c>
      <c r="BA17" s="423">
        <f t="shared" ref="BA17:BA22" si="208">BA10</f>
        <v>288</v>
      </c>
      <c r="BB17" s="424">
        <f t="shared" ref="BB17:BB22" si="209">AX17</f>
        <v>3</v>
      </c>
      <c r="BC17" s="432">
        <f t="shared" ref="BC17:BC22" si="210">BA17*AO17*BB17</f>
        <v>544320</v>
      </c>
      <c r="BD17" s="424">
        <f t="shared" ref="BD17:BD22" si="211">BC17*AQ17</f>
        <v>857304000</v>
      </c>
      <c r="BF17" s="424"/>
      <c r="BG17" s="430">
        <v>0.21</v>
      </c>
      <c r="BH17" s="424">
        <f>BG17*BF$16</f>
        <v>1260</v>
      </c>
      <c r="BI17" s="430">
        <v>0.75</v>
      </c>
      <c r="BJ17" s="424">
        <f>BH17*BI17</f>
        <v>945</v>
      </c>
      <c r="BK17" s="423">
        <v>1</v>
      </c>
      <c r="BL17" s="424">
        <f t="shared" ref="BL17:BL22" si="212">BJ17*BK17</f>
        <v>945</v>
      </c>
      <c r="BM17" s="431">
        <f>BM10</f>
        <v>1</v>
      </c>
      <c r="BN17" s="424">
        <f t="shared" ref="BN17:BN22" si="213">BL17*BM17</f>
        <v>945</v>
      </c>
      <c r="BO17" s="424">
        <v>3</v>
      </c>
      <c r="BP17" s="424">
        <f>BP10</f>
        <v>1653.75</v>
      </c>
      <c r="BQ17" s="424">
        <f t="shared" ref="BQ17:BQ22" si="214">BP17*BN17*BO17</f>
        <v>4688381.25</v>
      </c>
      <c r="BR17" s="423">
        <f t="shared" ref="BR17:BR22" si="215">BR10</f>
        <v>6</v>
      </c>
      <c r="BS17" s="424">
        <f t="shared" ref="BS17:BS22" si="216">BO17</f>
        <v>3</v>
      </c>
      <c r="BT17" s="432">
        <f t="shared" ref="BT17:BT22" si="217">BR17*BN17</f>
        <v>5670</v>
      </c>
      <c r="BU17" s="424">
        <f t="shared" ref="BU17:BU22" si="218">BT17*BP17*BS17</f>
        <v>28130287.5</v>
      </c>
      <c r="BV17" s="423">
        <f t="shared" ref="BV17:BV22" si="219">BV10</f>
        <v>24</v>
      </c>
      <c r="BW17" s="424">
        <f t="shared" ref="BW17:BW22" si="220">BS17</f>
        <v>3</v>
      </c>
      <c r="BX17" s="432">
        <f t="shared" ref="BX17:BX22" si="221">BV17*BN17*BW17</f>
        <v>68040</v>
      </c>
      <c r="BY17" s="424">
        <f t="shared" ref="BY17:BY22" si="222">BX17*BP17</f>
        <v>112521150</v>
      </c>
      <c r="BZ17" s="423">
        <f t="shared" ref="BZ17:BZ22" si="223">BZ10</f>
        <v>288</v>
      </c>
      <c r="CA17" s="424">
        <f t="shared" ref="CA17:CA22" si="224">BW17</f>
        <v>3</v>
      </c>
      <c r="CB17" s="432">
        <f t="shared" ref="CB17:CB22" si="225">BZ17*BN17*CA17</f>
        <v>816480</v>
      </c>
      <c r="CC17" s="424">
        <f t="shared" ref="CC17:CC22" si="226">CB17*BP17</f>
        <v>1350253800</v>
      </c>
      <c r="CE17" s="424"/>
      <c r="CF17" s="430">
        <v>0.21</v>
      </c>
      <c r="CG17" s="424">
        <f>CF17*CE$16</f>
        <v>1680</v>
      </c>
      <c r="CH17" s="430">
        <v>0.75</v>
      </c>
      <c r="CI17" s="424">
        <f>CG17*CH17</f>
        <v>1260</v>
      </c>
      <c r="CJ17" s="423">
        <v>1</v>
      </c>
      <c r="CK17" s="424">
        <f t="shared" ref="CK17:CK22" si="227">CI17*CJ17</f>
        <v>1260</v>
      </c>
      <c r="CL17" s="431">
        <f>CL10</f>
        <v>1</v>
      </c>
      <c r="CM17" s="424">
        <f t="shared" ref="CM17:CM22" si="228">CK17*CL17</f>
        <v>1260</v>
      </c>
      <c r="CN17" s="424">
        <v>3</v>
      </c>
      <c r="CO17" s="424">
        <f>CO10</f>
        <v>1736.4375</v>
      </c>
      <c r="CP17" s="424">
        <f t="shared" ref="CP17:CP22" si="229">CO17*CM17*CN17</f>
        <v>6563733.75</v>
      </c>
      <c r="CQ17" s="423">
        <f t="shared" ref="CQ17:CQ22" si="230">CQ10</f>
        <v>6</v>
      </c>
      <c r="CR17" s="424">
        <f t="shared" ref="CR17:CR22" si="231">CN17</f>
        <v>3</v>
      </c>
      <c r="CS17" s="432">
        <f t="shared" ref="CS17:CS22" si="232">CQ17*CM17</f>
        <v>7560</v>
      </c>
      <c r="CT17" s="424">
        <f t="shared" ref="CT17:CT22" si="233">CS17*CO17*CR17</f>
        <v>39382402.5</v>
      </c>
      <c r="CU17" s="423">
        <f t="shared" ref="CU17:CU22" si="234">CU10</f>
        <v>24</v>
      </c>
      <c r="CV17" s="424">
        <f t="shared" ref="CV17:CV22" si="235">CR17</f>
        <v>3</v>
      </c>
      <c r="CW17" s="432">
        <f t="shared" ref="CW17:CW22" si="236">CU17*CM17*CV17</f>
        <v>90720</v>
      </c>
      <c r="CX17" s="424">
        <f t="shared" ref="CX17:CX22" si="237">CW17*CO17</f>
        <v>157529610</v>
      </c>
      <c r="CY17" s="423">
        <f t="shared" ref="CY17:CY22" si="238">CY10</f>
        <v>288</v>
      </c>
      <c r="CZ17" s="424">
        <f t="shared" ref="CZ17:CZ22" si="239">CV17</f>
        <v>3</v>
      </c>
      <c r="DA17" s="432">
        <f t="shared" ref="DA17:DA22" si="240">CY17*CM17*CZ17</f>
        <v>1088640</v>
      </c>
      <c r="DB17" s="424">
        <f t="shared" ref="DB17:DB22" si="241">DA17*CO17</f>
        <v>1890355320</v>
      </c>
      <c r="DD17" s="424"/>
      <c r="DE17" s="430">
        <v>0.21</v>
      </c>
      <c r="DF17" s="424">
        <f>DE17*DD$16</f>
        <v>2100</v>
      </c>
      <c r="DG17" s="430">
        <v>0.75</v>
      </c>
      <c r="DH17" s="424">
        <f>DF17*DG17</f>
        <v>1575</v>
      </c>
      <c r="DI17" s="423">
        <v>1</v>
      </c>
      <c r="DJ17" s="424">
        <f t="shared" ref="DJ17:DJ22" si="242">DH17*DI17</f>
        <v>1575</v>
      </c>
      <c r="DK17" s="431">
        <f>DK10</f>
        <v>1</v>
      </c>
      <c r="DL17" s="424">
        <f t="shared" ref="DL17:DL22" si="243">DJ17*DK17</f>
        <v>1575</v>
      </c>
      <c r="DM17" s="424">
        <v>3</v>
      </c>
      <c r="DN17" s="424">
        <f>DN10</f>
        <v>1823.2593750000001</v>
      </c>
      <c r="DO17" s="424">
        <f t="shared" ref="DO17:DO22" si="244">DN17*DL17*DM17</f>
        <v>8614900.546875</v>
      </c>
      <c r="DP17" s="423">
        <f t="shared" ref="DP17:DP22" si="245">DP10</f>
        <v>6</v>
      </c>
      <c r="DQ17" s="424">
        <f t="shared" ref="DQ17:DQ22" si="246">DM17</f>
        <v>3</v>
      </c>
      <c r="DR17" s="432">
        <f t="shared" ref="DR17:DR22" si="247">DP17*DL17</f>
        <v>9450</v>
      </c>
      <c r="DS17" s="424">
        <f t="shared" ref="DS17:DS22" si="248">DR17*DN17*DQ17</f>
        <v>51689403.28125</v>
      </c>
      <c r="DT17" s="423">
        <f t="shared" ref="DT17:DT22" si="249">DT10</f>
        <v>24</v>
      </c>
      <c r="DU17" s="424">
        <f t="shared" ref="DU17:DU22" si="250">DQ17</f>
        <v>3</v>
      </c>
      <c r="DV17" s="432">
        <f t="shared" ref="DV17:DV22" si="251">DT17*DL17*DU17</f>
        <v>113400</v>
      </c>
      <c r="DW17" s="424">
        <f t="shared" ref="DW17:DW22" si="252">DV17*DN17</f>
        <v>206757613.125</v>
      </c>
      <c r="DX17" s="423">
        <f t="shared" ref="DX17:DX22" si="253">DX10</f>
        <v>288</v>
      </c>
      <c r="DY17" s="424">
        <f t="shared" ref="DY17:DY22" si="254">DU17</f>
        <v>3</v>
      </c>
      <c r="DZ17" s="432">
        <f t="shared" ref="DZ17:DZ22" si="255">DX17*DL17*DY17</f>
        <v>1360800</v>
      </c>
      <c r="EA17" s="424">
        <f t="shared" ref="EA17:EA22" si="256">DZ17*DN17</f>
        <v>2481091357.5</v>
      </c>
      <c r="EC17" s="424"/>
      <c r="ED17" s="430">
        <v>0.21</v>
      </c>
      <c r="EE17" s="424">
        <f>ED17*EC$16</f>
        <v>2100</v>
      </c>
      <c r="EF17" s="430">
        <v>0.75</v>
      </c>
      <c r="EG17" s="424">
        <f>EE17*EF17</f>
        <v>1575</v>
      </c>
      <c r="EH17" s="423">
        <v>1</v>
      </c>
      <c r="EI17" s="424">
        <f t="shared" ref="EI17:EI22" si="257">EG17*EH17</f>
        <v>1575</v>
      </c>
      <c r="EJ17" s="431">
        <f>EJ10</f>
        <v>1</v>
      </c>
      <c r="EK17" s="424">
        <f t="shared" ref="EK17:EK22" si="258">EI17*EJ17</f>
        <v>1575</v>
      </c>
      <c r="EL17" s="424">
        <v>3</v>
      </c>
      <c r="EM17" s="424">
        <f>EM10</f>
        <v>1914.4223437500002</v>
      </c>
      <c r="EN17" s="424">
        <f t="shared" ref="EN17:EN22" si="259">EM17*EK17*EL17</f>
        <v>9045645.5742187519</v>
      </c>
      <c r="EO17" s="423">
        <f t="shared" ref="EO17:EO22" si="260">EO10</f>
        <v>6</v>
      </c>
      <c r="EP17" s="424">
        <f t="shared" ref="EP17:EP22" si="261">EL17</f>
        <v>3</v>
      </c>
      <c r="EQ17" s="432">
        <f t="shared" ref="EQ17:EQ22" si="262">EO17*EK17</f>
        <v>9450</v>
      </c>
      <c r="ER17" s="424">
        <f t="shared" ref="ER17:ER22" si="263">EQ17*EM17*EP17</f>
        <v>54273873.445312515</v>
      </c>
      <c r="ES17" s="423">
        <f t="shared" ref="ES17:ES22" si="264">ES10</f>
        <v>24</v>
      </c>
      <c r="ET17" s="424">
        <f t="shared" ref="ET17:ET22" si="265">EP17</f>
        <v>3</v>
      </c>
      <c r="EU17" s="432">
        <f t="shared" ref="EU17:EU22" si="266">ES17*EK17*ET17</f>
        <v>113400</v>
      </c>
      <c r="EV17" s="424">
        <f t="shared" ref="EV17:EV22" si="267">EU17*EM17</f>
        <v>217095493.78125003</v>
      </c>
      <c r="EW17" s="423">
        <f t="shared" ref="EW17:EW22" si="268">EW10</f>
        <v>288</v>
      </c>
      <c r="EX17" s="424">
        <f t="shared" ref="EX17:EX22" si="269">ET17</f>
        <v>3</v>
      </c>
      <c r="EY17" s="432">
        <f t="shared" ref="EY17:EY22" si="270">EW17*EK17*EX17</f>
        <v>1360800</v>
      </c>
      <c r="EZ17" s="424">
        <f t="shared" ref="EZ17:EZ22" si="271">EY17*EM17</f>
        <v>2605145925.3750005</v>
      </c>
      <c r="FB17" s="424"/>
      <c r="FC17" s="430">
        <v>0.21</v>
      </c>
      <c r="FD17" s="424">
        <f>FC17*FB$16</f>
        <v>2100</v>
      </c>
      <c r="FE17" s="430">
        <v>0.75</v>
      </c>
      <c r="FF17" s="424">
        <f>FD17*FE17</f>
        <v>1575</v>
      </c>
      <c r="FG17" s="423">
        <v>1</v>
      </c>
      <c r="FH17" s="424">
        <f t="shared" ref="FH17:FH22" si="272">FF17*FG17</f>
        <v>1575</v>
      </c>
      <c r="FI17" s="431">
        <f>FI10</f>
        <v>1</v>
      </c>
      <c r="FJ17" s="424">
        <f t="shared" ref="FJ17:FJ22" si="273">FH17*FI17</f>
        <v>1575</v>
      </c>
      <c r="FK17" s="424">
        <v>3</v>
      </c>
      <c r="FL17" s="424">
        <f>FL10</f>
        <v>2010.1434609375003</v>
      </c>
      <c r="FM17" s="424">
        <f t="shared" ref="FM17:FM22" si="274">FL17*FJ17*FK17</f>
        <v>9497927.852929689</v>
      </c>
      <c r="FN17" s="423">
        <f t="shared" ref="FN17:FN22" si="275">FN10</f>
        <v>6</v>
      </c>
      <c r="FO17" s="424">
        <f t="shared" ref="FO17:FO22" si="276">FK17</f>
        <v>3</v>
      </c>
      <c r="FP17" s="432">
        <f t="shared" ref="FP17:FP22" si="277">FN17*FJ17</f>
        <v>9450</v>
      </c>
      <c r="FQ17" s="424">
        <f t="shared" ref="FQ17:FQ22" si="278">FP17*FL17*FO17</f>
        <v>56987567.117578134</v>
      </c>
      <c r="FR17" s="423">
        <f t="shared" ref="FR17:FR22" si="279">FR10</f>
        <v>24</v>
      </c>
      <c r="FS17" s="424">
        <f t="shared" ref="FS17:FS22" si="280">FO17</f>
        <v>3</v>
      </c>
      <c r="FT17" s="432">
        <f t="shared" ref="FT17:FT22" si="281">FR17*FJ17*FS17</f>
        <v>113400</v>
      </c>
      <c r="FU17" s="424">
        <f t="shared" ref="FU17:FU22" si="282">FT17*FL17</f>
        <v>227950268.47031254</v>
      </c>
      <c r="FV17" s="423">
        <f t="shared" ref="FV17:FV22" si="283">FV10</f>
        <v>288</v>
      </c>
      <c r="FW17" s="424">
        <f t="shared" ref="FW17:FW22" si="284">FS17</f>
        <v>3</v>
      </c>
      <c r="FX17" s="432">
        <f t="shared" ref="FX17:FX22" si="285">FV17*FJ17*FW17</f>
        <v>1360800</v>
      </c>
      <c r="FY17" s="424">
        <f t="shared" ref="FY17:FY22" si="286">FX17*FL17</f>
        <v>2735403221.6437507</v>
      </c>
      <c r="GA17" s="424"/>
      <c r="GB17" s="430">
        <v>0.21</v>
      </c>
      <c r="GC17" s="424">
        <f>GB17*GA$16</f>
        <v>2100</v>
      </c>
      <c r="GD17" s="430">
        <v>0.75</v>
      </c>
      <c r="GE17" s="424">
        <f>GC17*GD17</f>
        <v>1575</v>
      </c>
      <c r="GF17" s="423">
        <v>1</v>
      </c>
      <c r="GG17" s="424">
        <f t="shared" ref="GG17:GG22" si="287">GE17*GF17</f>
        <v>1575</v>
      </c>
      <c r="GH17" s="431">
        <f>GH10</f>
        <v>1</v>
      </c>
      <c r="GI17" s="424">
        <f t="shared" ref="GI17:GI22" si="288">GG17*GH17</f>
        <v>1575</v>
      </c>
      <c r="GJ17" s="424">
        <v>3</v>
      </c>
      <c r="GK17" s="424">
        <f>GK10</f>
        <v>2110.6506339843754</v>
      </c>
      <c r="GL17" s="424">
        <f t="shared" ref="GL17:GL22" si="289">GK17*GI17*GJ17</f>
        <v>9972824.2455761731</v>
      </c>
      <c r="GM17" s="423">
        <f t="shared" ref="GM17:GM22" si="290">GM10</f>
        <v>6</v>
      </c>
      <c r="GN17" s="424">
        <f t="shared" ref="GN17:GN22" si="291">GJ17</f>
        <v>3</v>
      </c>
      <c r="GO17" s="432">
        <f t="shared" ref="GO17:GO22" si="292">GM17*GI17</f>
        <v>9450</v>
      </c>
      <c r="GP17" s="424">
        <f t="shared" ref="GP17:GP22" si="293">GO17*GK17*GN17</f>
        <v>59836945.473457038</v>
      </c>
      <c r="GQ17" s="423">
        <f t="shared" ref="GQ17:GQ22" si="294">GQ10</f>
        <v>24</v>
      </c>
      <c r="GR17" s="424">
        <f t="shared" ref="GR17:GR22" si="295">GN17</f>
        <v>3</v>
      </c>
      <c r="GS17" s="432">
        <f t="shared" ref="GS17:GS22" si="296">GQ17*GI17*GR17</f>
        <v>113400</v>
      </c>
      <c r="GT17" s="424">
        <f t="shared" ref="GT17:GT22" si="297">GS17*GK17</f>
        <v>239347781.89382818</v>
      </c>
      <c r="GU17" s="423">
        <f t="shared" ref="GU17:GU22" si="298">GU10</f>
        <v>288</v>
      </c>
      <c r="GV17" s="424">
        <f t="shared" ref="GV17:GV22" si="299">GR17</f>
        <v>3</v>
      </c>
      <c r="GW17" s="432">
        <f t="shared" ref="GW17:GW22" si="300">GU17*GI17*GV17</f>
        <v>1360800</v>
      </c>
      <c r="GX17" s="424">
        <f t="shared" ref="GX17:GX22" si="301">GW17*GK17</f>
        <v>2872173382.7259378</v>
      </c>
      <c r="GZ17" s="424"/>
      <c r="HA17" s="430">
        <v>0.21</v>
      </c>
      <c r="HB17" s="424">
        <f>HA17*GZ$16</f>
        <v>2100</v>
      </c>
      <c r="HC17" s="430">
        <v>0.75</v>
      </c>
      <c r="HD17" s="424">
        <f>HB17*HC17</f>
        <v>1575</v>
      </c>
      <c r="HE17" s="423">
        <v>1</v>
      </c>
      <c r="HF17" s="424">
        <f t="shared" ref="HF17:HF22" si="302">HD17*HE17</f>
        <v>1575</v>
      </c>
      <c r="HG17" s="431">
        <f>HG10</f>
        <v>1</v>
      </c>
      <c r="HH17" s="424">
        <f t="shared" ref="HH17:HH22" si="303">HF17*HG17</f>
        <v>1575</v>
      </c>
      <c r="HI17" s="424">
        <v>3</v>
      </c>
      <c r="HJ17" s="424">
        <f>HJ10</f>
        <v>2216.1831656835943</v>
      </c>
      <c r="HK17" s="424">
        <f t="shared" ref="HK17:HK22" si="304">HJ17*HH17*HI17</f>
        <v>10471465.457854982</v>
      </c>
      <c r="HL17" s="423">
        <f t="shared" ref="HL17:HL22" si="305">HL10</f>
        <v>6</v>
      </c>
      <c r="HM17" s="424">
        <f t="shared" ref="HM17:HM22" si="306">HI17</f>
        <v>3</v>
      </c>
      <c r="HN17" s="432">
        <f t="shared" ref="HN17:HN22" si="307">HL17*HH17</f>
        <v>9450</v>
      </c>
      <c r="HO17" s="424">
        <f t="shared" ref="HO17:HO22" si="308">HN17*HJ17*HM17</f>
        <v>62828792.747129895</v>
      </c>
      <c r="HP17" s="423">
        <f t="shared" ref="HP17:HP22" si="309">HP10</f>
        <v>24</v>
      </c>
      <c r="HQ17" s="424">
        <f t="shared" ref="HQ17:HQ22" si="310">HM17</f>
        <v>3</v>
      </c>
      <c r="HR17" s="432">
        <f t="shared" ref="HR17:HR22" si="311">HP17*HH17*HQ17</f>
        <v>113400</v>
      </c>
      <c r="HS17" s="424">
        <f t="shared" ref="HS17:HS22" si="312">HR17*HJ17</f>
        <v>251315170.98851961</v>
      </c>
      <c r="HT17" s="423">
        <f t="shared" ref="HT17:HT22" si="313">HT10</f>
        <v>288</v>
      </c>
      <c r="HU17" s="424">
        <f t="shared" ref="HU17:HU22" si="314">HQ17</f>
        <v>3</v>
      </c>
      <c r="HV17" s="432">
        <f t="shared" ref="HV17:HV22" si="315">HT17*HH17*HU17</f>
        <v>1360800</v>
      </c>
      <c r="HW17" s="424">
        <f t="shared" ref="HW17:HW22" si="316">HV17*HJ17</f>
        <v>3015782051.8622351</v>
      </c>
      <c r="HY17" s="424"/>
      <c r="HZ17" s="430">
        <v>0.21</v>
      </c>
      <c r="IA17" s="424">
        <f>HZ17*HY$16</f>
        <v>2100</v>
      </c>
      <c r="IB17" s="430">
        <v>0.75</v>
      </c>
      <c r="IC17" s="424">
        <f>IA17*IB17</f>
        <v>1575</v>
      </c>
      <c r="ID17" s="423">
        <v>1</v>
      </c>
      <c r="IE17" s="424">
        <f t="shared" ref="IE17:IE22" si="317">IC17*ID17</f>
        <v>1575</v>
      </c>
      <c r="IF17" s="431">
        <f>IF10</f>
        <v>1</v>
      </c>
      <c r="IG17" s="424">
        <f t="shared" ref="IG17:IG22" si="318">IE17*IF17</f>
        <v>1575</v>
      </c>
      <c r="IH17" s="424">
        <v>3</v>
      </c>
      <c r="II17" s="424">
        <f>II10</f>
        <v>2326.9923239677742</v>
      </c>
      <c r="IJ17" s="424">
        <f t="shared" ref="IJ17:IJ22" si="319">II17*IG17*IH17</f>
        <v>10995038.730747733</v>
      </c>
      <c r="IK17" s="423">
        <f t="shared" ref="IK17:IK22" si="320">IK10</f>
        <v>6</v>
      </c>
      <c r="IL17" s="424">
        <f t="shared" ref="IL17:IL22" si="321">IH17</f>
        <v>3</v>
      </c>
      <c r="IM17" s="432">
        <f t="shared" ref="IM17:IM22" si="322">IK17*IG17</f>
        <v>9450</v>
      </c>
      <c r="IN17" s="424">
        <f t="shared" ref="IN17:IN22" si="323">IM17*II17*IL17</f>
        <v>65970232.3844864</v>
      </c>
      <c r="IO17" s="423">
        <f t="shared" ref="IO17:IO22" si="324">IO10</f>
        <v>24</v>
      </c>
      <c r="IP17" s="424">
        <f t="shared" ref="IP17:IP22" si="325">IL17</f>
        <v>3</v>
      </c>
      <c r="IQ17" s="432">
        <f t="shared" ref="IQ17:IQ22" si="326">IO17*IG17*IP17</f>
        <v>113400</v>
      </c>
      <c r="IR17" s="424">
        <f t="shared" ref="IR17:IR22" si="327">IQ17*II17</f>
        <v>263880929.5379456</v>
      </c>
      <c r="IS17" s="423">
        <f t="shared" ref="IS17:IS22" si="328">IS10</f>
        <v>288</v>
      </c>
      <c r="IT17" s="424">
        <f t="shared" ref="IT17:IT22" si="329">IP17</f>
        <v>3</v>
      </c>
      <c r="IU17" s="432">
        <f t="shared" ref="IU17:IU22" si="330">IS17*IG17*IT17</f>
        <v>1360800</v>
      </c>
      <c r="IV17" s="424">
        <f t="shared" ref="IV17:IV22" si="331">IU17*II17</f>
        <v>3166571154.4553471</v>
      </c>
    </row>
    <row r="18" spans="2:256" x14ac:dyDescent="0.25">
      <c r="B18" s="422"/>
      <c r="C18" s="422"/>
      <c r="D18" s="422"/>
      <c r="E18" s="419" t="s">
        <v>144</v>
      </c>
      <c r="F18" s="423"/>
      <c r="G18" s="423"/>
      <c r="H18" s="424"/>
      <c r="I18" s="430">
        <v>0.3</v>
      </c>
      <c r="J18" s="424">
        <f t="shared" ref="J18:J22" si="332">I18*H$16</f>
        <v>600</v>
      </c>
      <c r="K18" s="433">
        <f>K17</f>
        <v>0.75</v>
      </c>
      <c r="L18" s="424">
        <f t="shared" ref="L18:L22" si="333">J18*K18</f>
        <v>450</v>
      </c>
      <c r="M18" s="423">
        <v>1</v>
      </c>
      <c r="N18" s="424">
        <f t="shared" si="182"/>
        <v>450</v>
      </c>
      <c r="O18" s="431">
        <f>'Parameters and Summary'!E75</f>
        <v>1</v>
      </c>
      <c r="P18" s="424">
        <f t="shared" si="183"/>
        <v>450</v>
      </c>
      <c r="Q18" s="424">
        <f>Q17</f>
        <v>3</v>
      </c>
      <c r="R18" s="424">
        <f t="shared" ref="R18:R22" si="334">R11</f>
        <v>1500</v>
      </c>
      <c r="S18" s="424">
        <f t="shared" si="184"/>
        <v>2025000</v>
      </c>
      <c r="T18" s="423">
        <f t="shared" si="185"/>
        <v>6</v>
      </c>
      <c r="U18" s="424">
        <f t="shared" si="186"/>
        <v>3</v>
      </c>
      <c r="V18" s="432">
        <f t="shared" si="187"/>
        <v>2700</v>
      </c>
      <c r="W18" s="424">
        <f t="shared" si="188"/>
        <v>12150000</v>
      </c>
      <c r="X18" s="423">
        <f t="shared" si="189"/>
        <v>24</v>
      </c>
      <c r="Y18" s="424">
        <f t="shared" si="190"/>
        <v>3</v>
      </c>
      <c r="Z18" s="432">
        <f t="shared" si="191"/>
        <v>32400</v>
      </c>
      <c r="AA18" s="424">
        <f t="shared" si="192"/>
        <v>48600000</v>
      </c>
      <c r="AB18" s="423">
        <f t="shared" si="193"/>
        <v>288</v>
      </c>
      <c r="AC18" s="424">
        <f t="shared" si="194"/>
        <v>3</v>
      </c>
      <c r="AD18" s="432">
        <f t="shared" si="195"/>
        <v>388800</v>
      </c>
      <c r="AE18" s="424">
        <f t="shared" si="196"/>
        <v>583200000</v>
      </c>
      <c r="AG18" s="424"/>
      <c r="AH18" s="430">
        <v>0.3</v>
      </c>
      <c r="AI18" s="424">
        <f t="shared" ref="AI18:AI22" si="335">AH18*AG$16</f>
        <v>1200</v>
      </c>
      <c r="AJ18" s="433">
        <f>AJ17</f>
        <v>0.75</v>
      </c>
      <c r="AK18" s="424">
        <f t="shared" ref="AK18:AK22" si="336">AI18*AJ18</f>
        <v>900</v>
      </c>
      <c r="AL18" s="423">
        <v>1</v>
      </c>
      <c r="AM18" s="424">
        <f t="shared" si="197"/>
        <v>900</v>
      </c>
      <c r="AN18" s="431">
        <f t="shared" ref="AN18:AN22" si="337">AN11</f>
        <v>1</v>
      </c>
      <c r="AO18" s="424">
        <f t="shared" si="198"/>
        <v>900</v>
      </c>
      <c r="AP18" s="424">
        <f>AP17</f>
        <v>3</v>
      </c>
      <c r="AQ18" s="424">
        <f t="shared" ref="AQ18:AQ22" si="338">AQ11</f>
        <v>1575</v>
      </c>
      <c r="AR18" s="424">
        <f t="shared" si="199"/>
        <v>4252500</v>
      </c>
      <c r="AS18" s="423">
        <f t="shared" si="200"/>
        <v>6</v>
      </c>
      <c r="AT18" s="424">
        <f t="shared" si="201"/>
        <v>3</v>
      </c>
      <c r="AU18" s="432">
        <f t="shared" si="202"/>
        <v>5400</v>
      </c>
      <c r="AV18" s="424">
        <f t="shared" si="203"/>
        <v>25515000</v>
      </c>
      <c r="AW18" s="423">
        <f t="shared" si="204"/>
        <v>24</v>
      </c>
      <c r="AX18" s="424">
        <f t="shared" si="205"/>
        <v>3</v>
      </c>
      <c r="AY18" s="432">
        <f t="shared" si="206"/>
        <v>64800</v>
      </c>
      <c r="AZ18" s="424">
        <f t="shared" si="207"/>
        <v>102060000</v>
      </c>
      <c r="BA18" s="423">
        <f t="shared" si="208"/>
        <v>288</v>
      </c>
      <c r="BB18" s="424">
        <f t="shared" si="209"/>
        <v>3</v>
      </c>
      <c r="BC18" s="432">
        <f t="shared" si="210"/>
        <v>777600</v>
      </c>
      <c r="BD18" s="424">
        <f t="shared" si="211"/>
        <v>1224720000</v>
      </c>
      <c r="BF18" s="424"/>
      <c r="BG18" s="430">
        <v>0.3</v>
      </c>
      <c r="BH18" s="424">
        <f t="shared" ref="BH18:BH22" si="339">BG18*BF$16</f>
        <v>1800</v>
      </c>
      <c r="BI18" s="433">
        <f>BI17</f>
        <v>0.75</v>
      </c>
      <c r="BJ18" s="424">
        <f t="shared" ref="BJ18:BJ22" si="340">BH18*BI18</f>
        <v>1350</v>
      </c>
      <c r="BK18" s="423">
        <v>1</v>
      </c>
      <c r="BL18" s="424">
        <f t="shared" si="212"/>
        <v>1350</v>
      </c>
      <c r="BM18" s="431">
        <f t="shared" ref="BM18:BM22" si="341">BM11</f>
        <v>1</v>
      </c>
      <c r="BN18" s="424">
        <f t="shared" si="213"/>
        <v>1350</v>
      </c>
      <c r="BO18" s="424">
        <f>BO17</f>
        <v>3</v>
      </c>
      <c r="BP18" s="424">
        <f t="shared" ref="BP18:BP22" si="342">BP11</f>
        <v>1653.75</v>
      </c>
      <c r="BQ18" s="424">
        <f t="shared" si="214"/>
        <v>6697687.5</v>
      </c>
      <c r="BR18" s="423">
        <f t="shared" si="215"/>
        <v>6</v>
      </c>
      <c r="BS18" s="424">
        <f t="shared" si="216"/>
        <v>3</v>
      </c>
      <c r="BT18" s="432">
        <f t="shared" si="217"/>
        <v>8100</v>
      </c>
      <c r="BU18" s="424">
        <f t="shared" si="218"/>
        <v>40186125</v>
      </c>
      <c r="BV18" s="423">
        <f t="shared" si="219"/>
        <v>24</v>
      </c>
      <c r="BW18" s="424">
        <f t="shared" si="220"/>
        <v>3</v>
      </c>
      <c r="BX18" s="432">
        <f t="shared" si="221"/>
        <v>97200</v>
      </c>
      <c r="BY18" s="424">
        <f t="shared" si="222"/>
        <v>160744500</v>
      </c>
      <c r="BZ18" s="423">
        <f t="shared" si="223"/>
        <v>288</v>
      </c>
      <c r="CA18" s="424">
        <f t="shared" si="224"/>
        <v>3</v>
      </c>
      <c r="CB18" s="432">
        <f t="shared" si="225"/>
        <v>1166400</v>
      </c>
      <c r="CC18" s="424">
        <f t="shared" si="226"/>
        <v>1928934000</v>
      </c>
      <c r="CE18" s="424"/>
      <c r="CF18" s="430">
        <v>0.3</v>
      </c>
      <c r="CG18" s="424">
        <f t="shared" ref="CG18:CG22" si="343">CF18*CE$16</f>
        <v>2400</v>
      </c>
      <c r="CH18" s="433">
        <f>CH17</f>
        <v>0.75</v>
      </c>
      <c r="CI18" s="424">
        <f t="shared" ref="CI18:CI22" si="344">CG18*CH18</f>
        <v>1800</v>
      </c>
      <c r="CJ18" s="423">
        <v>1</v>
      </c>
      <c r="CK18" s="424">
        <f t="shared" si="227"/>
        <v>1800</v>
      </c>
      <c r="CL18" s="431">
        <f t="shared" ref="CL18:CL22" si="345">CL11</f>
        <v>1</v>
      </c>
      <c r="CM18" s="424">
        <f t="shared" si="228"/>
        <v>1800</v>
      </c>
      <c r="CN18" s="424">
        <f>CN17</f>
        <v>3</v>
      </c>
      <c r="CO18" s="424">
        <f t="shared" ref="CO18:CO22" si="346">CO11</f>
        <v>1736.4375</v>
      </c>
      <c r="CP18" s="424">
        <f t="shared" si="229"/>
        <v>9376762.5</v>
      </c>
      <c r="CQ18" s="423">
        <f t="shared" si="230"/>
        <v>6</v>
      </c>
      <c r="CR18" s="424">
        <f t="shared" si="231"/>
        <v>3</v>
      </c>
      <c r="CS18" s="432">
        <f t="shared" si="232"/>
        <v>10800</v>
      </c>
      <c r="CT18" s="424">
        <f t="shared" si="233"/>
        <v>56260575</v>
      </c>
      <c r="CU18" s="423">
        <f t="shared" si="234"/>
        <v>24</v>
      </c>
      <c r="CV18" s="424">
        <f t="shared" si="235"/>
        <v>3</v>
      </c>
      <c r="CW18" s="432">
        <f t="shared" si="236"/>
        <v>129600</v>
      </c>
      <c r="CX18" s="424">
        <f t="shared" si="237"/>
        <v>225042300</v>
      </c>
      <c r="CY18" s="423">
        <f t="shared" si="238"/>
        <v>288</v>
      </c>
      <c r="CZ18" s="424">
        <f t="shared" si="239"/>
        <v>3</v>
      </c>
      <c r="DA18" s="432">
        <f t="shared" si="240"/>
        <v>1555200</v>
      </c>
      <c r="DB18" s="424">
        <f t="shared" si="241"/>
        <v>2700507600</v>
      </c>
      <c r="DD18" s="424"/>
      <c r="DE18" s="430">
        <v>0.3</v>
      </c>
      <c r="DF18" s="424">
        <f t="shared" ref="DF18:DF22" si="347">DE18*DD$16</f>
        <v>3000</v>
      </c>
      <c r="DG18" s="433">
        <f>DG17</f>
        <v>0.75</v>
      </c>
      <c r="DH18" s="424">
        <f t="shared" ref="DH18:DH22" si="348">DF18*DG18</f>
        <v>2250</v>
      </c>
      <c r="DI18" s="423">
        <v>1</v>
      </c>
      <c r="DJ18" s="424">
        <f t="shared" si="242"/>
        <v>2250</v>
      </c>
      <c r="DK18" s="431">
        <f t="shared" ref="DK18:DK22" si="349">DK11</f>
        <v>1</v>
      </c>
      <c r="DL18" s="424">
        <f t="shared" si="243"/>
        <v>2250</v>
      </c>
      <c r="DM18" s="424">
        <f>DM17</f>
        <v>3</v>
      </c>
      <c r="DN18" s="424">
        <f t="shared" ref="DN18:DN22" si="350">DN11</f>
        <v>1823.2593750000001</v>
      </c>
      <c r="DO18" s="424">
        <f t="shared" si="244"/>
        <v>12307000.78125</v>
      </c>
      <c r="DP18" s="423">
        <f t="shared" si="245"/>
        <v>6</v>
      </c>
      <c r="DQ18" s="424">
        <f t="shared" si="246"/>
        <v>3</v>
      </c>
      <c r="DR18" s="432">
        <f t="shared" si="247"/>
        <v>13500</v>
      </c>
      <c r="DS18" s="424">
        <f t="shared" si="248"/>
        <v>73842004.6875</v>
      </c>
      <c r="DT18" s="423">
        <f t="shared" si="249"/>
        <v>24</v>
      </c>
      <c r="DU18" s="424">
        <f t="shared" si="250"/>
        <v>3</v>
      </c>
      <c r="DV18" s="432">
        <f t="shared" si="251"/>
        <v>162000</v>
      </c>
      <c r="DW18" s="424">
        <f t="shared" si="252"/>
        <v>295368018.75</v>
      </c>
      <c r="DX18" s="423">
        <f t="shared" si="253"/>
        <v>288</v>
      </c>
      <c r="DY18" s="424">
        <f t="shared" si="254"/>
        <v>3</v>
      </c>
      <c r="DZ18" s="432">
        <f t="shared" si="255"/>
        <v>1944000</v>
      </c>
      <c r="EA18" s="424">
        <f t="shared" si="256"/>
        <v>3544416225</v>
      </c>
      <c r="EC18" s="424"/>
      <c r="ED18" s="430">
        <v>0.3</v>
      </c>
      <c r="EE18" s="424">
        <f t="shared" ref="EE18:EE22" si="351">ED18*EC$16</f>
        <v>3000</v>
      </c>
      <c r="EF18" s="433">
        <f>EF17</f>
        <v>0.75</v>
      </c>
      <c r="EG18" s="424">
        <f t="shared" ref="EG18:EG22" si="352">EE18*EF18</f>
        <v>2250</v>
      </c>
      <c r="EH18" s="423">
        <v>1</v>
      </c>
      <c r="EI18" s="424">
        <f t="shared" si="257"/>
        <v>2250</v>
      </c>
      <c r="EJ18" s="431">
        <f t="shared" ref="EJ18:EJ22" si="353">EJ11</f>
        <v>1</v>
      </c>
      <c r="EK18" s="424">
        <f t="shared" si="258"/>
        <v>2250</v>
      </c>
      <c r="EL18" s="424">
        <f>EL17</f>
        <v>3</v>
      </c>
      <c r="EM18" s="424">
        <f t="shared" ref="EM18:EM22" si="354">EM11</f>
        <v>1914.4223437500002</v>
      </c>
      <c r="EN18" s="424">
        <f t="shared" si="259"/>
        <v>12922350.820312504</v>
      </c>
      <c r="EO18" s="423">
        <f t="shared" si="260"/>
        <v>6</v>
      </c>
      <c r="EP18" s="424">
        <f t="shared" si="261"/>
        <v>3</v>
      </c>
      <c r="EQ18" s="432">
        <f t="shared" si="262"/>
        <v>13500</v>
      </c>
      <c r="ER18" s="424">
        <f t="shared" si="263"/>
        <v>77534104.921875015</v>
      </c>
      <c r="ES18" s="423">
        <f t="shared" si="264"/>
        <v>24</v>
      </c>
      <c r="ET18" s="424">
        <f t="shared" si="265"/>
        <v>3</v>
      </c>
      <c r="EU18" s="432">
        <f t="shared" si="266"/>
        <v>162000</v>
      </c>
      <c r="EV18" s="424">
        <f t="shared" si="267"/>
        <v>310136419.68750006</v>
      </c>
      <c r="EW18" s="423">
        <f t="shared" si="268"/>
        <v>288</v>
      </c>
      <c r="EX18" s="424">
        <f t="shared" si="269"/>
        <v>3</v>
      </c>
      <c r="EY18" s="432">
        <f t="shared" si="270"/>
        <v>1944000</v>
      </c>
      <c r="EZ18" s="424">
        <f t="shared" si="271"/>
        <v>3721637036.2500005</v>
      </c>
      <c r="FB18" s="424"/>
      <c r="FC18" s="430">
        <v>0.3</v>
      </c>
      <c r="FD18" s="424">
        <f t="shared" ref="FD18:FD22" si="355">FC18*FB$16</f>
        <v>3000</v>
      </c>
      <c r="FE18" s="433">
        <f>FE17</f>
        <v>0.75</v>
      </c>
      <c r="FF18" s="424">
        <f t="shared" ref="FF18:FF22" si="356">FD18*FE18</f>
        <v>2250</v>
      </c>
      <c r="FG18" s="423">
        <v>1</v>
      </c>
      <c r="FH18" s="424">
        <f t="shared" si="272"/>
        <v>2250</v>
      </c>
      <c r="FI18" s="431">
        <f t="shared" ref="FI18:FI22" si="357">FI11</f>
        <v>1</v>
      </c>
      <c r="FJ18" s="424">
        <f t="shared" si="273"/>
        <v>2250</v>
      </c>
      <c r="FK18" s="424">
        <f>FK17</f>
        <v>3</v>
      </c>
      <c r="FL18" s="424">
        <f t="shared" ref="FL18:FL22" si="358">FL11</f>
        <v>2010.1434609375003</v>
      </c>
      <c r="FM18" s="424">
        <f t="shared" si="274"/>
        <v>13568468.361328129</v>
      </c>
      <c r="FN18" s="423">
        <f t="shared" si="275"/>
        <v>6</v>
      </c>
      <c r="FO18" s="424">
        <f t="shared" si="276"/>
        <v>3</v>
      </c>
      <c r="FP18" s="432">
        <f t="shared" si="277"/>
        <v>13500</v>
      </c>
      <c r="FQ18" s="424">
        <f t="shared" si="278"/>
        <v>81410810.167968765</v>
      </c>
      <c r="FR18" s="423">
        <f t="shared" si="279"/>
        <v>24</v>
      </c>
      <c r="FS18" s="424">
        <f t="shared" si="280"/>
        <v>3</v>
      </c>
      <c r="FT18" s="432">
        <f t="shared" si="281"/>
        <v>162000</v>
      </c>
      <c r="FU18" s="424">
        <f t="shared" si="282"/>
        <v>325643240.67187506</v>
      </c>
      <c r="FV18" s="423">
        <f t="shared" si="283"/>
        <v>288</v>
      </c>
      <c r="FW18" s="424">
        <f t="shared" si="284"/>
        <v>3</v>
      </c>
      <c r="FX18" s="432">
        <f t="shared" si="285"/>
        <v>1944000</v>
      </c>
      <c r="FY18" s="424">
        <f t="shared" si="286"/>
        <v>3907718888.0625005</v>
      </c>
      <c r="GA18" s="424"/>
      <c r="GB18" s="430">
        <v>0.3</v>
      </c>
      <c r="GC18" s="424">
        <f t="shared" ref="GC18:GC22" si="359">GB18*GA$16</f>
        <v>3000</v>
      </c>
      <c r="GD18" s="433">
        <f>GD17</f>
        <v>0.75</v>
      </c>
      <c r="GE18" s="424">
        <f t="shared" ref="GE18:GE22" si="360">GC18*GD18</f>
        <v>2250</v>
      </c>
      <c r="GF18" s="423">
        <v>1</v>
      </c>
      <c r="GG18" s="424">
        <f t="shared" si="287"/>
        <v>2250</v>
      </c>
      <c r="GH18" s="431">
        <f t="shared" ref="GH18:GH22" si="361">GH11</f>
        <v>1</v>
      </c>
      <c r="GI18" s="424">
        <f t="shared" si="288"/>
        <v>2250</v>
      </c>
      <c r="GJ18" s="424">
        <f>GJ17</f>
        <v>3</v>
      </c>
      <c r="GK18" s="424">
        <f t="shared" ref="GK18:GK22" si="362">GK11</f>
        <v>2110.6506339843754</v>
      </c>
      <c r="GL18" s="424">
        <f t="shared" si="289"/>
        <v>14246891.779394533</v>
      </c>
      <c r="GM18" s="423">
        <f t="shared" si="290"/>
        <v>6</v>
      </c>
      <c r="GN18" s="424">
        <f t="shared" si="291"/>
        <v>3</v>
      </c>
      <c r="GO18" s="432">
        <f t="shared" si="292"/>
        <v>13500</v>
      </c>
      <c r="GP18" s="424">
        <f t="shared" si="293"/>
        <v>85481350.676367193</v>
      </c>
      <c r="GQ18" s="423">
        <f t="shared" si="294"/>
        <v>24</v>
      </c>
      <c r="GR18" s="424">
        <f t="shared" si="295"/>
        <v>3</v>
      </c>
      <c r="GS18" s="432">
        <f t="shared" si="296"/>
        <v>162000</v>
      </c>
      <c r="GT18" s="424">
        <f t="shared" si="297"/>
        <v>341925402.70546883</v>
      </c>
      <c r="GU18" s="423">
        <f t="shared" si="298"/>
        <v>288</v>
      </c>
      <c r="GV18" s="424">
        <f t="shared" si="299"/>
        <v>3</v>
      </c>
      <c r="GW18" s="432">
        <f t="shared" si="300"/>
        <v>1944000</v>
      </c>
      <c r="GX18" s="424">
        <f t="shared" si="301"/>
        <v>4103104832.4656258</v>
      </c>
      <c r="GZ18" s="424"/>
      <c r="HA18" s="430">
        <v>0.3</v>
      </c>
      <c r="HB18" s="424">
        <f t="shared" ref="HB18:HB22" si="363">HA18*GZ$16</f>
        <v>3000</v>
      </c>
      <c r="HC18" s="433">
        <f>HC17</f>
        <v>0.75</v>
      </c>
      <c r="HD18" s="424">
        <f t="shared" ref="HD18:HD22" si="364">HB18*HC18</f>
        <v>2250</v>
      </c>
      <c r="HE18" s="423">
        <v>1</v>
      </c>
      <c r="HF18" s="424">
        <f t="shared" si="302"/>
        <v>2250</v>
      </c>
      <c r="HG18" s="431">
        <f t="shared" ref="HG18:HG22" si="365">HG11</f>
        <v>1</v>
      </c>
      <c r="HH18" s="424">
        <f t="shared" si="303"/>
        <v>2250</v>
      </c>
      <c r="HI18" s="424">
        <f>HI17</f>
        <v>3</v>
      </c>
      <c r="HJ18" s="424">
        <f t="shared" ref="HJ18:HJ22" si="366">HJ11</f>
        <v>2216.1831656835943</v>
      </c>
      <c r="HK18" s="424">
        <f t="shared" si="304"/>
        <v>14959236.368364263</v>
      </c>
      <c r="HL18" s="423">
        <f t="shared" si="305"/>
        <v>6</v>
      </c>
      <c r="HM18" s="424">
        <f t="shared" si="306"/>
        <v>3</v>
      </c>
      <c r="HN18" s="432">
        <f t="shared" si="307"/>
        <v>13500</v>
      </c>
      <c r="HO18" s="424">
        <f t="shared" si="308"/>
        <v>89755418.210185573</v>
      </c>
      <c r="HP18" s="423">
        <f t="shared" si="309"/>
        <v>24</v>
      </c>
      <c r="HQ18" s="424">
        <f t="shared" si="310"/>
        <v>3</v>
      </c>
      <c r="HR18" s="432">
        <f t="shared" si="311"/>
        <v>162000</v>
      </c>
      <c r="HS18" s="424">
        <f t="shared" si="312"/>
        <v>359021672.84074229</v>
      </c>
      <c r="HT18" s="423">
        <f t="shared" si="313"/>
        <v>288</v>
      </c>
      <c r="HU18" s="424">
        <f t="shared" si="314"/>
        <v>3</v>
      </c>
      <c r="HV18" s="432">
        <f t="shared" si="315"/>
        <v>1944000</v>
      </c>
      <c r="HW18" s="424">
        <f t="shared" si="316"/>
        <v>4308260074.0889072</v>
      </c>
      <c r="HY18" s="424"/>
      <c r="HZ18" s="430">
        <v>0.3</v>
      </c>
      <c r="IA18" s="424">
        <f t="shared" ref="IA18:IA22" si="367">HZ18*HY$16</f>
        <v>3000</v>
      </c>
      <c r="IB18" s="433">
        <f>IB17</f>
        <v>0.75</v>
      </c>
      <c r="IC18" s="424">
        <f t="shared" ref="IC18:IC22" si="368">IA18*IB18</f>
        <v>2250</v>
      </c>
      <c r="ID18" s="423">
        <v>1</v>
      </c>
      <c r="IE18" s="424">
        <f t="shared" si="317"/>
        <v>2250</v>
      </c>
      <c r="IF18" s="431">
        <f t="shared" ref="IF18:IF22" si="369">IF11</f>
        <v>1</v>
      </c>
      <c r="IG18" s="424">
        <f t="shared" si="318"/>
        <v>2250</v>
      </c>
      <c r="IH18" s="424">
        <f>IH17</f>
        <v>3</v>
      </c>
      <c r="II18" s="424">
        <f t="shared" ref="II18:II22" si="370">II11</f>
        <v>2326.9923239677742</v>
      </c>
      <c r="IJ18" s="424">
        <f t="shared" si="319"/>
        <v>15707198.186782476</v>
      </c>
      <c r="IK18" s="423">
        <f t="shared" si="320"/>
        <v>6</v>
      </c>
      <c r="IL18" s="424">
        <f t="shared" si="321"/>
        <v>3</v>
      </c>
      <c r="IM18" s="432">
        <f t="shared" si="322"/>
        <v>13500</v>
      </c>
      <c r="IN18" s="424">
        <f t="shared" si="323"/>
        <v>94243189.120694846</v>
      </c>
      <c r="IO18" s="423">
        <f t="shared" si="324"/>
        <v>24</v>
      </c>
      <c r="IP18" s="424">
        <f t="shared" si="325"/>
        <v>3</v>
      </c>
      <c r="IQ18" s="432">
        <f t="shared" si="326"/>
        <v>162000</v>
      </c>
      <c r="IR18" s="424">
        <f t="shared" si="327"/>
        <v>376972756.48277938</v>
      </c>
      <c r="IS18" s="423">
        <f t="shared" si="328"/>
        <v>288</v>
      </c>
      <c r="IT18" s="424">
        <f t="shared" si="329"/>
        <v>3</v>
      </c>
      <c r="IU18" s="432">
        <f t="shared" si="330"/>
        <v>1944000</v>
      </c>
      <c r="IV18" s="424">
        <f t="shared" si="331"/>
        <v>4523673077.7933531</v>
      </c>
    </row>
    <row r="19" spans="2:256" x14ac:dyDescent="0.25">
      <c r="B19" s="422"/>
      <c r="C19" s="422"/>
      <c r="D19" s="422"/>
      <c r="E19" s="419" t="s">
        <v>145</v>
      </c>
      <c r="F19" s="423"/>
      <c r="G19" s="423"/>
      <c r="H19" s="424"/>
      <c r="I19" s="430">
        <v>0.14000000000000001</v>
      </c>
      <c r="J19" s="424">
        <f t="shared" si="332"/>
        <v>280</v>
      </c>
      <c r="K19" s="433">
        <f t="shared" ref="K19:K22" si="371">K18</f>
        <v>0.75</v>
      </c>
      <c r="L19" s="424">
        <f t="shared" si="333"/>
        <v>210</v>
      </c>
      <c r="M19" s="423">
        <v>1</v>
      </c>
      <c r="N19" s="424">
        <f t="shared" si="182"/>
        <v>210</v>
      </c>
      <c r="O19" s="431">
        <f>'Parameters and Summary'!E76</f>
        <v>1</v>
      </c>
      <c r="P19" s="424">
        <f t="shared" si="183"/>
        <v>210</v>
      </c>
      <c r="Q19" s="424">
        <f t="shared" ref="Q19:Q22" si="372">Q18</f>
        <v>3</v>
      </c>
      <c r="R19" s="424">
        <f t="shared" si="334"/>
        <v>1500</v>
      </c>
      <c r="S19" s="424">
        <f t="shared" si="184"/>
        <v>945000</v>
      </c>
      <c r="T19" s="423">
        <f t="shared" si="185"/>
        <v>6</v>
      </c>
      <c r="U19" s="424">
        <f t="shared" si="186"/>
        <v>3</v>
      </c>
      <c r="V19" s="432">
        <f t="shared" si="187"/>
        <v>1260</v>
      </c>
      <c r="W19" s="424">
        <f t="shared" si="188"/>
        <v>5670000</v>
      </c>
      <c r="X19" s="423">
        <f t="shared" si="189"/>
        <v>24</v>
      </c>
      <c r="Y19" s="424">
        <f t="shared" si="190"/>
        <v>3</v>
      </c>
      <c r="Z19" s="432">
        <f t="shared" si="191"/>
        <v>15120</v>
      </c>
      <c r="AA19" s="424">
        <f t="shared" si="192"/>
        <v>22680000</v>
      </c>
      <c r="AB19" s="423">
        <f t="shared" si="193"/>
        <v>288</v>
      </c>
      <c r="AC19" s="424">
        <f t="shared" si="194"/>
        <v>3</v>
      </c>
      <c r="AD19" s="432">
        <f t="shared" si="195"/>
        <v>181440</v>
      </c>
      <c r="AE19" s="424">
        <f t="shared" si="196"/>
        <v>272160000</v>
      </c>
      <c r="AG19" s="424"/>
      <c r="AH19" s="430">
        <v>0.14000000000000001</v>
      </c>
      <c r="AI19" s="424">
        <f t="shared" si="335"/>
        <v>560</v>
      </c>
      <c r="AJ19" s="433">
        <f t="shared" ref="AJ19:AJ22" si="373">AJ18</f>
        <v>0.75</v>
      </c>
      <c r="AK19" s="424">
        <f t="shared" si="336"/>
        <v>420</v>
      </c>
      <c r="AL19" s="423">
        <v>1</v>
      </c>
      <c r="AM19" s="424">
        <f t="shared" si="197"/>
        <v>420</v>
      </c>
      <c r="AN19" s="431">
        <f t="shared" si="337"/>
        <v>1</v>
      </c>
      <c r="AO19" s="424">
        <f t="shared" si="198"/>
        <v>420</v>
      </c>
      <c r="AP19" s="424">
        <f t="shared" ref="AP19:AP22" si="374">AP18</f>
        <v>3</v>
      </c>
      <c r="AQ19" s="424">
        <f t="shared" si="338"/>
        <v>1575</v>
      </c>
      <c r="AR19" s="424">
        <f t="shared" si="199"/>
        <v>1984500</v>
      </c>
      <c r="AS19" s="423">
        <f t="shared" si="200"/>
        <v>6</v>
      </c>
      <c r="AT19" s="424">
        <f t="shared" si="201"/>
        <v>3</v>
      </c>
      <c r="AU19" s="432">
        <f t="shared" si="202"/>
        <v>2520</v>
      </c>
      <c r="AV19" s="424">
        <f t="shared" si="203"/>
        <v>11907000</v>
      </c>
      <c r="AW19" s="423">
        <f t="shared" si="204"/>
        <v>24</v>
      </c>
      <c r="AX19" s="424">
        <f t="shared" si="205"/>
        <v>3</v>
      </c>
      <c r="AY19" s="432">
        <f t="shared" si="206"/>
        <v>30240</v>
      </c>
      <c r="AZ19" s="424">
        <f t="shared" si="207"/>
        <v>47628000</v>
      </c>
      <c r="BA19" s="423">
        <f t="shared" si="208"/>
        <v>288</v>
      </c>
      <c r="BB19" s="424">
        <f t="shared" si="209"/>
        <v>3</v>
      </c>
      <c r="BC19" s="432">
        <f t="shared" si="210"/>
        <v>362880</v>
      </c>
      <c r="BD19" s="424">
        <f t="shared" si="211"/>
        <v>571536000</v>
      </c>
      <c r="BF19" s="424"/>
      <c r="BG19" s="430">
        <v>0.14000000000000001</v>
      </c>
      <c r="BH19" s="424">
        <f t="shared" si="339"/>
        <v>840.00000000000011</v>
      </c>
      <c r="BI19" s="433">
        <f t="shared" ref="BI19:BI22" si="375">BI18</f>
        <v>0.75</v>
      </c>
      <c r="BJ19" s="424">
        <f t="shared" si="340"/>
        <v>630.00000000000011</v>
      </c>
      <c r="BK19" s="423">
        <v>1</v>
      </c>
      <c r="BL19" s="424">
        <f t="shared" si="212"/>
        <v>630.00000000000011</v>
      </c>
      <c r="BM19" s="431">
        <f t="shared" si="341"/>
        <v>1</v>
      </c>
      <c r="BN19" s="424">
        <f t="shared" si="213"/>
        <v>630.00000000000011</v>
      </c>
      <c r="BO19" s="424">
        <f t="shared" ref="BO19:BO22" si="376">BO18</f>
        <v>3</v>
      </c>
      <c r="BP19" s="424">
        <f t="shared" si="342"/>
        <v>1653.75</v>
      </c>
      <c r="BQ19" s="424">
        <f t="shared" si="214"/>
        <v>3125587.5000000009</v>
      </c>
      <c r="BR19" s="423">
        <f t="shared" si="215"/>
        <v>6</v>
      </c>
      <c r="BS19" s="424">
        <f t="shared" si="216"/>
        <v>3</v>
      </c>
      <c r="BT19" s="432">
        <f t="shared" si="217"/>
        <v>3780.0000000000009</v>
      </c>
      <c r="BU19" s="424">
        <f t="shared" si="218"/>
        <v>18753525.000000007</v>
      </c>
      <c r="BV19" s="423">
        <f t="shared" si="219"/>
        <v>24</v>
      </c>
      <c r="BW19" s="424">
        <f t="shared" si="220"/>
        <v>3</v>
      </c>
      <c r="BX19" s="432">
        <f t="shared" si="221"/>
        <v>45360.000000000015</v>
      </c>
      <c r="BY19" s="424">
        <f t="shared" si="222"/>
        <v>75014100.00000003</v>
      </c>
      <c r="BZ19" s="423">
        <f t="shared" si="223"/>
        <v>288</v>
      </c>
      <c r="CA19" s="424">
        <f t="shared" si="224"/>
        <v>3</v>
      </c>
      <c r="CB19" s="432">
        <f t="shared" si="225"/>
        <v>544320.00000000012</v>
      </c>
      <c r="CC19" s="424">
        <f t="shared" si="226"/>
        <v>900169200.00000024</v>
      </c>
      <c r="CE19" s="424"/>
      <c r="CF19" s="430">
        <v>0.14000000000000001</v>
      </c>
      <c r="CG19" s="424">
        <f t="shared" si="343"/>
        <v>1120</v>
      </c>
      <c r="CH19" s="433">
        <f t="shared" ref="CH19:CH22" si="377">CH18</f>
        <v>0.75</v>
      </c>
      <c r="CI19" s="424">
        <f t="shared" si="344"/>
        <v>840</v>
      </c>
      <c r="CJ19" s="423">
        <v>1</v>
      </c>
      <c r="CK19" s="424">
        <f t="shared" si="227"/>
        <v>840</v>
      </c>
      <c r="CL19" s="431">
        <f t="shared" si="345"/>
        <v>1</v>
      </c>
      <c r="CM19" s="424">
        <f t="shared" si="228"/>
        <v>840</v>
      </c>
      <c r="CN19" s="424">
        <f t="shared" ref="CN19:CN22" si="378">CN18</f>
        <v>3</v>
      </c>
      <c r="CO19" s="424">
        <f t="shared" si="346"/>
        <v>1736.4375</v>
      </c>
      <c r="CP19" s="424">
        <f t="shared" si="229"/>
        <v>4375822.5</v>
      </c>
      <c r="CQ19" s="423">
        <f t="shared" si="230"/>
        <v>6</v>
      </c>
      <c r="CR19" s="424">
        <f t="shared" si="231"/>
        <v>3</v>
      </c>
      <c r="CS19" s="432">
        <f t="shared" si="232"/>
        <v>5040</v>
      </c>
      <c r="CT19" s="424">
        <f t="shared" si="233"/>
        <v>26254935</v>
      </c>
      <c r="CU19" s="423">
        <f t="shared" si="234"/>
        <v>24</v>
      </c>
      <c r="CV19" s="424">
        <f t="shared" si="235"/>
        <v>3</v>
      </c>
      <c r="CW19" s="432">
        <f t="shared" si="236"/>
        <v>60480</v>
      </c>
      <c r="CX19" s="424">
        <f t="shared" si="237"/>
        <v>105019740</v>
      </c>
      <c r="CY19" s="423">
        <f t="shared" si="238"/>
        <v>288</v>
      </c>
      <c r="CZ19" s="424">
        <f t="shared" si="239"/>
        <v>3</v>
      </c>
      <c r="DA19" s="432">
        <f t="shared" si="240"/>
        <v>725760</v>
      </c>
      <c r="DB19" s="424">
        <f t="shared" si="241"/>
        <v>1260236880</v>
      </c>
      <c r="DD19" s="424"/>
      <c r="DE19" s="430">
        <v>0.14000000000000001</v>
      </c>
      <c r="DF19" s="424">
        <f t="shared" si="347"/>
        <v>1400.0000000000002</v>
      </c>
      <c r="DG19" s="433">
        <f t="shared" ref="DG19:DG22" si="379">DG18</f>
        <v>0.75</v>
      </c>
      <c r="DH19" s="424">
        <f t="shared" si="348"/>
        <v>1050.0000000000002</v>
      </c>
      <c r="DI19" s="423">
        <v>1</v>
      </c>
      <c r="DJ19" s="424">
        <f t="shared" si="242"/>
        <v>1050.0000000000002</v>
      </c>
      <c r="DK19" s="431">
        <f t="shared" si="349"/>
        <v>1</v>
      </c>
      <c r="DL19" s="424">
        <f t="shared" si="243"/>
        <v>1050.0000000000002</v>
      </c>
      <c r="DM19" s="424">
        <f t="shared" ref="DM19:DM22" si="380">DM18</f>
        <v>3</v>
      </c>
      <c r="DN19" s="424">
        <f t="shared" si="350"/>
        <v>1823.2593750000001</v>
      </c>
      <c r="DO19" s="424">
        <f t="shared" si="244"/>
        <v>5743267.0312500019</v>
      </c>
      <c r="DP19" s="423">
        <f t="shared" si="245"/>
        <v>6</v>
      </c>
      <c r="DQ19" s="424">
        <f t="shared" si="246"/>
        <v>3</v>
      </c>
      <c r="DR19" s="432">
        <f t="shared" si="247"/>
        <v>6300.0000000000018</v>
      </c>
      <c r="DS19" s="424">
        <f t="shared" si="248"/>
        <v>34459602.187500015</v>
      </c>
      <c r="DT19" s="423">
        <f t="shared" si="249"/>
        <v>24</v>
      </c>
      <c r="DU19" s="424">
        <f t="shared" si="250"/>
        <v>3</v>
      </c>
      <c r="DV19" s="432">
        <f t="shared" si="251"/>
        <v>75600.000000000029</v>
      </c>
      <c r="DW19" s="424">
        <f t="shared" si="252"/>
        <v>137838408.75000006</v>
      </c>
      <c r="DX19" s="423">
        <f t="shared" si="253"/>
        <v>288</v>
      </c>
      <c r="DY19" s="424">
        <f t="shared" si="254"/>
        <v>3</v>
      </c>
      <c r="DZ19" s="432">
        <f t="shared" si="255"/>
        <v>907200.00000000023</v>
      </c>
      <c r="EA19" s="424">
        <f t="shared" si="256"/>
        <v>1654060905.0000005</v>
      </c>
      <c r="EC19" s="424"/>
      <c r="ED19" s="430">
        <v>0.14000000000000001</v>
      </c>
      <c r="EE19" s="424">
        <f t="shared" si="351"/>
        <v>1400.0000000000002</v>
      </c>
      <c r="EF19" s="433">
        <f t="shared" ref="EF19:EF22" si="381">EF18</f>
        <v>0.75</v>
      </c>
      <c r="EG19" s="424">
        <f t="shared" si="352"/>
        <v>1050.0000000000002</v>
      </c>
      <c r="EH19" s="423">
        <v>1</v>
      </c>
      <c r="EI19" s="424">
        <f t="shared" si="257"/>
        <v>1050.0000000000002</v>
      </c>
      <c r="EJ19" s="431">
        <f t="shared" si="353"/>
        <v>1</v>
      </c>
      <c r="EK19" s="424">
        <f t="shared" si="258"/>
        <v>1050.0000000000002</v>
      </c>
      <c r="EL19" s="424">
        <f t="shared" ref="EL19:EL22" si="382">EL18</f>
        <v>3</v>
      </c>
      <c r="EM19" s="424">
        <f t="shared" si="354"/>
        <v>1914.4223437500002</v>
      </c>
      <c r="EN19" s="424">
        <f t="shared" si="259"/>
        <v>6030430.3828125019</v>
      </c>
      <c r="EO19" s="423">
        <f t="shared" si="260"/>
        <v>6</v>
      </c>
      <c r="EP19" s="424">
        <f t="shared" si="261"/>
        <v>3</v>
      </c>
      <c r="EQ19" s="432">
        <f t="shared" si="262"/>
        <v>6300.0000000000018</v>
      </c>
      <c r="ER19" s="424">
        <f t="shared" si="263"/>
        <v>36182582.296875015</v>
      </c>
      <c r="ES19" s="423">
        <f t="shared" si="264"/>
        <v>24</v>
      </c>
      <c r="ET19" s="424">
        <f t="shared" si="265"/>
        <v>3</v>
      </c>
      <c r="EU19" s="432">
        <f t="shared" si="266"/>
        <v>75600.000000000029</v>
      </c>
      <c r="EV19" s="424">
        <f t="shared" si="267"/>
        <v>144730329.18750006</v>
      </c>
      <c r="EW19" s="423">
        <f t="shared" si="268"/>
        <v>288</v>
      </c>
      <c r="EX19" s="424">
        <f t="shared" si="269"/>
        <v>3</v>
      </c>
      <c r="EY19" s="432">
        <f t="shared" si="270"/>
        <v>907200.00000000023</v>
      </c>
      <c r="EZ19" s="424">
        <f t="shared" si="271"/>
        <v>1736763950.2500007</v>
      </c>
      <c r="FB19" s="424"/>
      <c r="FC19" s="430">
        <v>0.14000000000000001</v>
      </c>
      <c r="FD19" s="424">
        <f t="shared" si="355"/>
        <v>1400.0000000000002</v>
      </c>
      <c r="FE19" s="433">
        <f t="shared" ref="FE19:FE22" si="383">FE18</f>
        <v>0.75</v>
      </c>
      <c r="FF19" s="424">
        <f t="shared" si="356"/>
        <v>1050.0000000000002</v>
      </c>
      <c r="FG19" s="423">
        <v>1</v>
      </c>
      <c r="FH19" s="424">
        <f t="shared" si="272"/>
        <v>1050.0000000000002</v>
      </c>
      <c r="FI19" s="431">
        <f t="shared" si="357"/>
        <v>1</v>
      </c>
      <c r="FJ19" s="424">
        <f t="shared" si="273"/>
        <v>1050.0000000000002</v>
      </c>
      <c r="FK19" s="424">
        <f t="shared" ref="FK19:FK22" si="384">FK18</f>
        <v>3</v>
      </c>
      <c r="FL19" s="424">
        <f t="shared" si="358"/>
        <v>2010.1434609375003</v>
      </c>
      <c r="FM19" s="424">
        <f t="shared" si="274"/>
        <v>6331951.9019531272</v>
      </c>
      <c r="FN19" s="423">
        <f t="shared" si="275"/>
        <v>6</v>
      </c>
      <c r="FO19" s="424">
        <f t="shared" si="276"/>
        <v>3</v>
      </c>
      <c r="FP19" s="432">
        <f t="shared" si="277"/>
        <v>6300.0000000000018</v>
      </c>
      <c r="FQ19" s="424">
        <f t="shared" si="278"/>
        <v>37991711.411718771</v>
      </c>
      <c r="FR19" s="423">
        <f t="shared" si="279"/>
        <v>24</v>
      </c>
      <c r="FS19" s="424">
        <f t="shared" si="280"/>
        <v>3</v>
      </c>
      <c r="FT19" s="432">
        <f t="shared" si="281"/>
        <v>75600.000000000029</v>
      </c>
      <c r="FU19" s="424">
        <f t="shared" si="282"/>
        <v>151966845.64687508</v>
      </c>
      <c r="FV19" s="423">
        <f t="shared" si="283"/>
        <v>288</v>
      </c>
      <c r="FW19" s="424">
        <f t="shared" si="284"/>
        <v>3</v>
      </c>
      <c r="FX19" s="432">
        <f t="shared" si="285"/>
        <v>907200.00000000023</v>
      </c>
      <c r="FY19" s="424">
        <f t="shared" si="286"/>
        <v>1823602147.7625008</v>
      </c>
      <c r="GA19" s="424"/>
      <c r="GB19" s="430">
        <v>0.14000000000000001</v>
      </c>
      <c r="GC19" s="424">
        <f t="shared" si="359"/>
        <v>1400.0000000000002</v>
      </c>
      <c r="GD19" s="433">
        <f t="shared" ref="GD19:GD22" si="385">GD18</f>
        <v>0.75</v>
      </c>
      <c r="GE19" s="424">
        <f t="shared" si="360"/>
        <v>1050.0000000000002</v>
      </c>
      <c r="GF19" s="423">
        <v>1</v>
      </c>
      <c r="GG19" s="424">
        <f t="shared" si="287"/>
        <v>1050.0000000000002</v>
      </c>
      <c r="GH19" s="431">
        <f t="shared" si="361"/>
        <v>1</v>
      </c>
      <c r="GI19" s="424">
        <f t="shared" si="288"/>
        <v>1050.0000000000002</v>
      </c>
      <c r="GJ19" s="424">
        <f t="shared" ref="GJ19:GJ22" si="386">GJ18</f>
        <v>3</v>
      </c>
      <c r="GK19" s="424">
        <f t="shared" si="362"/>
        <v>2110.6506339843754</v>
      </c>
      <c r="GL19" s="424">
        <f t="shared" si="289"/>
        <v>6648549.4970507836</v>
      </c>
      <c r="GM19" s="423">
        <f t="shared" si="290"/>
        <v>6</v>
      </c>
      <c r="GN19" s="424">
        <f t="shared" si="291"/>
        <v>3</v>
      </c>
      <c r="GO19" s="432">
        <f t="shared" si="292"/>
        <v>6300.0000000000018</v>
      </c>
      <c r="GP19" s="424">
        <f t="shared" si="293"/>
        <v>39891296.982304707</v>
      </c>
      <c r="GQ19" s="423">
        <f t="shared" si="294"/>
        <v>24</v>
      </c>
      <c r="GR19" s="424">
        <f t="shared" si="295"/>
        <v>3</v>
      </c>
      <c r="GS19" s="432">
        <f t="shared" si="296"/>
        <v>75600.000000000029</v>
      </c>
      <c r="GT19" s="424">
        <f t="shared" si="297"/>
        <v>159565187.92921883</v>
      </c>
      <c r="GU19" s="423">
        <f t="shared" si="298"/>
        <v>288</v>
      </c>
      <c r="GV19" s="424">
        <f t="shared" si="299"/>
        <v>3</v>
      </c>
      <c r="GW19" s="432">
        <f t="shared" si="300"/>
        <v>907200.00000000023</v>
      </c>
      <c r="GX19" s="424">
        <f t="shared" si="301"/>
        <v>1914782255.1506259</v>
      </c>
      <c r="GZ19" s="424"/>
      <c r="HA19" s="430">
        <v>0.14000000000000001</v>
      </c>
      <c r="HB19" s="424">
        <f t="shared" si="363"/>
        <v>1400.0000000000002</v>
      </c>
      <c r="HC19" s="433">
        <f t="shared" ref="HC19:HC22" si="387">HC18</f>
        <v>0.75</v>
      </c>
      <c r="HD19" s="424">
        <f t="shared" si="364"/>
        <v>1050.0000000000002</v>
      </c>
      <c r="HE19" s="423">
        <v>1</v>
      </c>
      <c r="HF19" s="424">
        <f t="shared" si="302"/>
        <v>1050.0000000000002</v>
      </c>
      <c r="HG19" s="431">
        <f t="shared" si="365"/>
        <v>1</v>
      </c>
      <c r="HH19" s="424">
        <f t="shared" si="303"/>
        <v>1050.0000000000002</v>
      </c>
      <c r="HI19" s="424">
        <f t="shared" ref="HI19:HI22" si="388">HI18</f>
        <v>3</v>
      </c>
      <c r="HJ19" s="424">
        <f t="shared" si="366"/>
        <v>2216.1831656835943</v>
      </c>
      <c r="HK19" s="424">
        <f t="shared" si="304"/>
        <v>6980976.9719033232</v>
      </c>
      <c r="HL19" s="423">
        <f t="shared" si="305"/>
        <v>6</v>
      </c>
      <c r="HM19" s="424">
        <f t="shared" si="306"/>
        <v>3</v>
      </c>
      <c r="HN19" s="432">
        <f t="shared" si="307"/>
        <v>6300.0000000000018</v>
      </c>
      <c r="HO19" s="424">
        <f t="shared" si="308"/>
        <v>41885861.831419945</v>
      </c>
      <c r="HP19" s="423">
        <f t="shared" si="309"/>
        <v>24</v>
      </c>
      <c r="HQ19" s="424">
        <f t="shared" si="310"/>
        <v>3</v>
      </c>
      <c r="HR19" s="432">
        <f t="shared" si="311"/>
        <v>75600.000000000029</v>
      </c>
      <c r="HS19" s="424">
        <f t="shared" si="312"/>
        <v>167543447.32567981</v>
      </c>
      <c r="HT19" s="423">
        <f t="shared" si="313"/>
        <v>288</v>
      </c>
      <c r="HU19" s="424">
        <f t="shared" si="314"/>
        <v>3</v>
      </c>
      <c r="HV19" s="432">
        <f t="shared" si="315"/>
        <v>907200.00000000023</v>
      </c>
      <c r="HW19" s="424">
        <f t="shared" si="316"/>
        <v>2010521367.9081573</v>
      </c>
      <c r="HY19" s="424"/>
      <c r="HZ19" s="430">
        <v>0.14000000000000001</v>
      </c>
      <c r="IA19" s="424">
        <f t="shared" si="367"/>
        <v>1400.0000000000002</v>
      </c>
      <c r="IB19" s="433">
        <f t="shared" ref="IB19:IB22" si="389">IB18</f>
        <v>0.75</v>
      </c>
      <c r="IC19" s="424">
        <f t="shared" si="368"/>
        <v>1050.0000000000002</v>
      </c>
      <c r="ID19" s="423">
        <v>1</v>
      </c>
      <c r="IE19" s="424">
        <f t="shared" si="317"/>
        <v>1050.0000000000002</v>
      </c>
      <c r="IF19" s="431">
        <f t="shared" si="369"/>
        <v>1</v>
      </c>
      <c r="IG19" s="424">
        <f t="shared" si="318"/>
        <v>1050.0000000000002</v>
      </c>
      <c r="IH19" s="424">
        <f t="shared" ref="IH19:IH22" si="390">IH18</f>
        <v>3</v>
      </c>
      <c r="II19" s="424">
        <f t="shared" si="370"/>
        <v>2326.9923239677742</v>
      </c>
      <c r="IJ19" s="424">
        <f t="shared" si="319"/>
        <v>7330025.8204984898</v>
      </c>
      <c r="IK19" s="423">
        <f t="shared" si="320"/>
        <v>6</v>
      </c>
      <c r="IL19" s="424">
        <f t="shared" si="321"/>
        <v>3</v>
      </c>
      <c r="IM19" s="432">
        <f t="shared" si="322"/>
        <v>6300.0000000000018</v>
      </c>
      <c r="IN19" s="424">
        <f t="shared" si="323"/>
        <v>43980154.922990948</v>
      </c>
      <c r="IO19" s="423">
        <f t="shared" si="324"/>
        <v>24</v>
      </c>
      <c r="IP19" s="424">
        <f t="shared" si="325"/>
        <v>3</v>
      </c>
      <c r="IQ19" s="432">
        <f t="shared" si="326"/>
        <v>75600.000000000029</v>
      </c>
      <c r="IR19" s="424">
        <f t="shared" si="327"/>
        <v>175920619.69196379</v>
      </c>
      <c r="IS19" s="423">
        <f t="shared" si="328"/>
        <v>288</v>
      </c>
      <c r="IT19" s="424">
        <f t="shared" si="329"/>
        <v>3</v>
      </c>
      <c r="IU19" s="432">
        <f t="shared" si="330"/>
        <v>907200.00000000023</v>
      </c>
      <c r="IV19" s="424">
        <f t="shared" si="331"/>
        <v>2111047436.3035653</v>
      </c>
    </row>
    <row r="20" spans="2:256" x14ac:dyDescent="0.25">
      <c r="B20" s="422"/>
      <c r="C20" s="422"/>
      <c r="D20" s="422"/>
      <c r="E20" s="419" t="s">
        <v>146</v>
      </c>
      <c r="F20" s="423"/>
      <c r="G20" s="423"/>
      <c r="H20" s="424"/>
      <c r="I20" s="430">
        <v>0.17499999999999999</v>
      </c>
      <c r="J20" s="424">
        <f t="shared" si="332"/>
        <v>350</v>
      </c>
      <c r="K20" s="433">
        <f t="shared" si="371"/>
        <v>0.75</v>
      </c>
      <c r="L20" s="424">
        <f t="shared" si="333"/>
        <v>262.5</v>
      </c>
      <c r="M20" s="423">
        <v>1</v>
      </c>
      <c r="N20" s="424">
        <f t="shared" si="182"/>
        <v>262.5</v>
      </c>
      <c r="O20" s="431">
        <f>'Parameters and Summary'!E77</f>
        <v>1</v>
      </c>
      <c r="P20" s="424">
        <f t="shared" si="183"/>
        <v>262.5</v>
      </c>
      <c r="Q20" s="424">
        <f t="shared" si="372"/>
        <v>3</v>
      </c>
      <c r="R20" s="424">
        <f t="shared" si="334"/>
        <v>1500</v>
      </c>
      <c r="S20" s="424">
        <f t="shared" si="184"/>
        <v>1181250</v>
      </c>
      <c r="T20" s="423">
        <f t="shared" si="185"/>
        <v>6</v>
      </c>
      <c r="U20" s="424">
        <f t="shared" si="186"/>
        <v>3</v>
      </c>
      <c r="V20" s="432">
        <f t="shared" si="187"/>
        <v>1575</v>
      </c>
      <c r="W20" s="424">
        <f t="shared" si="188"/>
        <v>7087500</v>
      </c>
      <c r="X20" s="423">
        <f t="shared" si="189"/>
        <v>24</v>
      </c>
      <c r="Y20" s="424">
        <f t="shared" si="190"/>
        <v>3</v>
      </c>
      <c r="Z20" s="432">
        <f t="shared" si="191"/>
        <v>18900</v>
      </c>
      <c r="AA20" s="424">
        <f t="shared" si="192"/>
        <v>28350000</v>
      </c>
      <c r="AB20" s="423">
        <f t="shared" si="193"/>
        <v>288</v>
      </c>
      <c r="AC20" s="424">
        <f t="shared" si="194"/>
        <v>3</v>
      </c>
      <c r="AD20" s="432">
        <f t="shared" si="195"/>
        <v>226800</v>
      </c>
      <c r="AE20" s="424">
        <f t="shared" si="196"/>
        <v>340200000</v>
      </c>
      <c r="AG20" s="424"/>
      <c r="AH20" s="430">
        <v>0.17499999999999999</v>
      </c>
      <c r="AI20" s="424">
        <f t="shared" si="335"/>
        <v>700</v>
      </c>
      <c r="AJ20" s="433">
        <f t="shared" si="373"/>
        <v>0.75</v>
      </c>
      <c r="AK20" s="424">
        <f t="shared" si="336"/>
        <v>525</v>
      </c>
      <c r="AL20" s="423">
        <v>1</v>
      </c>
      <c r="AM20" s="424">
        <f t="shared" si="197"/>
        <v>525</v>
      </c>
      <c r="AN20" s="431">
        <f t="shared" si="337"/>
        <v>1</v>
      </c>
      <c r="AO20" s="424">
        <f t="shared" si="198"/>
        <v>525</v>
      </c>
      <c r="AP20" s="424">
        <f t="shared" si="374"/>
        <v>3</v>
      </c>
      <c r="AQ20" s="424">
        <f t="shared" si="338"/>
        <v>1575</v>
      </c>
      <c r="AR20" s="424">
        <f t="shared" si="199"/>
        <v>2480625</v>
      </c>
      <c r="AS20" s="423">
        <f t="shared" si="200"/>
        <v>6</v>
      </c>
      <c r="AT20" s="424">
        <f t="shared" si="201"/>
        <v>3</v>
      </c>
      <c r="AU20" s="432">
        <f t="shared" si="202"/>
        <v>3150</v>
      </c>
      <c r="AV20" s="424">
        <f t="shared" si="203"/>
        <v>14883750</v>
      </c>
      <c r="AW20" s="423">
        <f t="shared" si="204"/>
        <v>24</v>
      </c>
      <c r="AX20" s="424">
        <f t="shared" si="205"/>
        <v>3</v>
      </c>
      <c r="AY20" s="432">
        <f t="shared" si="206"/>
        <v>37800</v>
      </c>
      <c r="AZ20" s="424">
        <f t="shared" si="207"/>
        <v>59535000</v>
      </c>
      <c r="BA20" s="423">
        <f t="shared" si="208"/>
        <v>288</v>
      </c>
      <c r="BB20" s="424">
        <f t="shared" si="209"/>
        <v>3</v>
      </c>
      <c r="BC20" s="432">
        <f t="shared" si="210"/>
        <v>453600</v>
      </c>
      <c r="BD20" s="424">
        <f t="shared" si="211"/>
        <v>714420000</v>
      </c>
      <c r="BF20" s="424"/>
      <c r="BG20" s="430">
        <v>0.17499999999999999</v>
      </c>
      <c r="BH20" s="424">
        <f t="shared" si="339"/>
        <v>1050</v>
      </c>
      <c r="BI20" s="433">
        <f t="shared" si="375"/>
        <v>0.75</v>
      </c>
      <c r="BJ20" s="424">
        <f t="shared" si="340"/>
        <v>787.5</v>
      </c>
      <c r="BK20" s="423">
        <v>1</v>
      </c>
      <c r="BL20" s="424">
        <f t="shared" si="212"/>
        <v>787.5</v>
      </c>
      <c r="BM20" s="431">
        <f t="shared" si="341"/>
        <v>1</v>
      </c>
      <c r="BN20" s="424">
        <f t="shared" si="213"/>
        <v>787.5</v>
      </c>
      <c r="BO20" s="424">
        <f t="shared" si="376"/>
        <v>3</v>
      </c>
      <c r="BP20" s="424">
        <f t="shared" si="342"/>
        <v>1653.75</v>
      </c>
      <c r="BQ20" s="424">
        <f t="shared" si="214"/>
        <v>3906984.375</v>
      </c>
      <c r="BR20" s="423">
        <f t="shared" si="215"/>
        <v>6</v>
      </c>
      <c r="BS20" s="424">
        <f t="shared" si="216"/>
        <v>3</v>
      </c>
      <c r="BT20" s="432">
        <f t="shared" si="217"/>
        <v>4725</v>
      </c>
      <c r="BU20" s="424">
        <f t="shared" si="218"/>
        <v>23441906.25</v>
      </c>
      <c r="BV20" s="423">
        <f t="shared" si="219"/>
        <v>24</v>
      </c>
      <c r="BW20" s="424">
        <f t="shared" si="220"/>
        <v>3</v>
      </c>
      <c r="BX20" s="432">
        <f t="shared" si="221"/>
        <v>56700</v>
      </c>
      <c r="BY20" s="424">
        <f t="shared" si="222"/>
        <v>93767625</v>
      </c>
      <c r="BZ20" s="423">
        <f t="shared" si="223"/>
        <v>288</v>
      </c>
      <c r="CA20" s="424">
        <f t="shared" si="224"/>
        <v>3</v>
      </c>
      <c r="CB20" s="432">
        <f t="shared" si="225"/>
        <v>680400</v>
      </c>
      <c r="CC20" s="424">
        <f t="shared" si="226"/>
        <v>1125211500</v>
      </c>
      <c r="CE20" s="424"/>
      <c r="CF20" s="430">
        <v>0.17499999999999999</v>
      </c>
      <c r="CG20" s="424">
        <f t="shared" si="343"/>
        <v>1400</v>
      </c>
      <c r="CH20" s="433">
        <f t="shared" si="377"/>
        <v>0.75</v>
      </c>
      <c r="CI20" s="424">
        <f t="shared" si="344"/>
        <v>1050</v>
      </c>
      <c r="CJ20" s="423">
        <v>1</v>
      </c>
      <c r="CK20" s="424">
        <f t="shared" si="227"/>
        <v>1050</v>
      </c>
      <c r="CL20" s="431">
        <f t="shared" si="345"/>
        <v>1</v>
      </c>
      <c r="CM20" s="424">
        <f t="shared" si="228"/>
        <v>1050</v>
      </c>
      <c r="CN20" s="424">
        <f t="shared" si="378"/>
        <v>3</v>
      </c>
      <c r="CO20" s="424">
        <f t="shared" si="346"/>
        <v>1736.4375</v>
      </c>
      <c r="CP20" s="424">
        <f t="shared" si="229"/>
        <v>5469778.125</v>
      </c>
      <c r="CQ20" s="423">
        <f t="shared" si="230"/>
        <v>6</v>
      </c>
      <c r="CR20" s="424">
        <f t="shared" si="231"/>
        <v>3</v>
      </c>
      <c r="CS20" s="432">
        <f t="shared" si="232"/>
        <v>6300</v>
      </c>
      <c r="CT20" s="424">
        <f t="shared" si="233"/>
        <v>32818668.75</v>
      </c>
      <c r="CU20" s="423">
        <f t="shared" si="234"/>
        <v>24</v>
      </c>
      <c r="CV20" s="424">
        <f t="shared" si="235"/>
        <v>3</v>
      </c>
      <c r="CW20" s="432">
        <f t="shared" si="236"/>
        <v>75600</v>
      </c>
      <c r="CX20" s="424">
        <f t="shared" si="237"/>
        <v>131274675</v>
      </c>
      <c r="CY20" s="423">
        <f t="shared" si="238"/>
        <v>288</v>
      </c>
      <c r="CZ20" s="424">
        <f t="shared" si="239"/>
        <v>3</v>
      </c>
      <c r="DA20" s="432">
        <f t="shared" si="240"/>
        <v>907200</v>
      </c>
      <c r="DB20" s="424">
        <f t="shared" si="241"/>
        <v>1575296100</v>
      </c>
      <c r="DD20" s="424"/>
      <c r="DE20" s="430">
        <v>0.17499999999999999</v>
      </c>
      <c r="DF20" s="424">
        <f t="shared" si="347"/>
        <v>1750</v>
      </c>
      <c r="DG20" s="433">
        <f t="shared" si="379"/>
        <v>0.75</v>
      </c>
      <c r="DH20" s="424">
        <f t="shared" si="348"/>
        <v>1312.5</v>
      </c>
      <c r="DI20" s="423">
        <v>1</v>
      </c>
      <c r="DJ20" s="424">
        <f t="shared" si="242"/>
        <v>1312.5</v>
      </c>
      <c r="DK20" s="431">
        <f t="shared" si="349"/>
        <v>1</v>
      </c>
      <c r="DL20" s="424">
        <f t="shared" si="243"/>
        <v>1312.5</v>
      </c>
      <c r="DM20" s="424">
        <f t="shared" si="380"/>
        <v>3</v>
      </c>
      <c r="DN20" s="424">
        <f t="shared" si="350"/>
        <v>1823.2593750000001</v>
      </c>
      <c r="DO20" s="424">
        <f t="shared" si="244"/>
        <v>7179083.7890625</v>
      </c>
      <c r="DP20" s="423">
        <f t="shared" si="245"/>
        <v>6</v>
      </c>
      <c r="DQ20" s="424">
        <f t="shared" si="246"/>
        <v>3</v>
      </c>
      <c r="DR20" s="432">
        <f t="shared" si="247"/>
        <v>7875</v>
      </c>
      <c r="DS20" s="424">
        <f t="shared" si="248"/>
        <v>43074502.734375</v>
      </c>
      <c r="DT20" s="423">
        <f t="shared" si="249"/>
        <v>24</v>
      </c>
      <c r="DU20" s="424">
        <f t="shared" si="250"/>
        <v>3</v>
      </c>
      <c r="DV20" s="432">
        <f t="shared" si="251"/>
        <v>94500</v>
      </c>
      <c r="DW20" s="424">
        <f t="shared" si="252"/>
        <v>172298010.9375</v>
      </c>
      <c r="DX20" s="423">
        <f t="shared" si="253"/>
        <v>288</v>
      </c>
      <c r="DY20" s="424">
        <f t="shared" si="254"/>
        <v>3</v>
      </c>
      <c r="DZ20" s="432">
        <f t="shared" si="255"/>
        <v>1134000</v>
      </c>
      <c r="EA20" s="424">
        <f t="shared" si="256"/>
        <v>2067576131.25</v>
      </c>
      <c r="EC20" s="424"/>
      <c r="ED20" s="430">
        <v>0.17499999999999999</v>
      </c>
      <c r="EE20" s="424">
        <f t="shared" si="351"/>
        <v>1750</v>
      </c>
      <c r="EF20" s="433">
        <f t="shared" si="381"/>
        <v>0.75</v>
      </c>
      <c r="EG20" s="424">
        <f t="shared" si="352"/>
        <v>1312.5</v>
      </c>
      <c r="EH20" s="423">
        <v>1</v>
      </c>
      <c r="EI20" s="424">
        <f t="shared" si="257"/>
        <v>1312.5</v>
      </c>
      <c r="EJ20" s="431">
        <f t="shared" si="353"/>
        <v>1</v>
      </c>
      <c r="EK20" s="424">
        <f t="shared" si="258"/>
        <v>1312.5</v>
      </c>
      <c r="EL20" s="424">
        <f t="shared" si="382"/>
        <v>3</v>
      </c>
      <c r="EM20" s="424">
        <f t="shared" si="354"/>
        <v>1914.4223437500002</v>
      </c>
      <c r="EN20" s="424">
        <f t="shared" si="259"/>
        <v>7538037.9785156269</v>
      </c>
      <c r="EO20" s="423">
        <f t="shared" si="260"/>
        <v>6</v>
      </c>
      <c r="EP20" s="424">
        <f t="shared" si="261"/>
        <v>3</v>
      </c>
      <c r="EQ20" s="432">
        <f t="shared" si="262"/>
        <v>7875</v>
      </c>
      <c r="ER20" s="424">
        <f t="shared" si="263"/>
        <v>45228227.871093757</v>
      </c>
      <c r="ES20" s="423">
        <f t="shared" si="264"/>
        <v>24</v>
      </c>
      <c r="ET20" s="424">
        <f t="shared" si="265"/>
        <v>3</v>
      </c>
      <c r="EU20" s="432">
        <f t="shared" si="266"/>
        <v>94500</v>
      </c>
      <c r="EV20" s="424">
        <f t="shared" si="267"/>
        <v>180912911.48437503</v>
      </c>
      <c r="EW20" s="423">
        <f t="shared" si="268"/>
        <v>288</v>
      </c>
      <c r="EX20" s="424">
        <f t="shared" si="269"/>
        <v>3</v>
      </c>
      <c r="EY20" s="432">
        <f t="shared" si="270"/>
        <v>1134000</v>
      </c>
      <c r="EZ20" s="424">
        <f t="shared" si="271"/>
        <v>2170954937.8125</v>
      </c>
      <c r="FB20" s="424"/>
      <c r="FC20" s="430">
        <v>0.17499999999999999</v>
      </c>
      <c r="FD20" s="424">
        <f t="shared" si="355"/>
        <v>1750</v>
      </c>
      <c r="FE20" s="433">
        <f t="shared" si="383"/>
        <v>0.75</v>
      </c>
      <c r="FF20" s="424">
        <f t="shared" si="356"/>
        <v>1312.5</v>
      </c>
      <c r="FG20" s="423">
        <v>1</v>
      </c>
      <c r="FH20" s="424">
        <f t="shared" si="272"/>
        <v>1312.5</v>
      </c>
      <c r="FI20" s="431">
        <f t="shared" si="357"/>
        <v>1</v>
      </c>
      <c r="FJ20" s="424">
        <f t="shared" si="273"/>
        <v>1312.5</v>
      </c>
      <c r="FK20" s="424">
        <f t="shared" si="384"/>
        <v>3</v>
      </c>
      <c r="FL20" s="424">
        <f t="shared" si="358"/>
        <v>2010.1434609375003</v>
      </c>
      <c r="FM20" s="424">
        <f t="shared" si="274"/>
        <v>7914939.8774414081</v>
      </c>
      <c r="FN20" s="423">
        <f t="shared" si="275"/>
        <v>6</v>
      </c>
      <c r="FO20" s="424">
        <f t="shared" si="276"/>
        <v>3</v>
      </c>
      <c r="FP20" s="432">
        <f t="shared" si="277"/>
        <v>7875</v>
      </c>
      <c r="FQ20" s="424">
        <f t="shared" si="278"/>
        <v>47489639.264648445</v>
      </c>
      <c r="FR20" s="423">
        <f t="shared" si="279"/>
        <v>24</v>
      </c>
      <c r="FS20" s="424">
        <f t="shared" si="280"/>
        <v>3</v>
      </c>
      <c r="FT20" s="432">
        <f t="shared" si="281"/>
        <v>94500</v>
      </c>
      <c r="FU20" s="424">
        <f t="shared" si="282"/>
        <v>189958557.05859378</v>
      </c>
      <c r="FV20" s="423">
        <f t="shared" si="283"/>
        <v>288</v>
      </c>
      <c r="FW20" s="424">
        <f t="shared" si="284"/>
        <v>3</v>
      </c>
      <c r="FX20" s="432">
        <f t="shared" si="285"/>
        <v>1134000</v>
      </c>
      <c r="FY20" s="424">
        <f t="shared" si="286"/>
        <v>2279502684.7031255</v>
      </c>
      <c r="GA20" s="424"/>
      <c r="GB20" s="430">
        <v>0.17499999999999999</v>
      </c>
      <c r="GC20" s="424">
        <f t="shared" si="359"/>
        <v>1750</v>
      </c>
      <c r="GD20" s="433">
        <f t="shared" si="385"/>
        <v>0.75</v>
      </c>
      <c r="GE20" s="424">
        <f t="shared" si="360"/>
        <v>1312.5</v>
      </c>
      <c r="GF20" s="423">
        <v>1</v>
      </c>
      <c r="GG20" s="424">
        <f t="shared" si="287"/>
        <v>1312.5</v>
      </c>
      <c r="GH20" s="431">
        <f t="shared" si="361"/>
        <v>1</v>
      </c>
      <c r="GI20" s="424">
        <f t="shared" si="288"/>
        <v>1312.5</v>
      </c>
      <c r="GJ20" s="424">
        <f t="shared" si="386"/>
        <v>3</v>
      </c>
      <c r="GK20" s="424">
        <f t="shared" si="362"/>
        <v>2110.6506339843754</v>
      </c>
      <c r="GL20" s="424">
        <f t="shared" si="289"/>
        <v>8310686.8713134788</v>
      </c>
      <c r="GM20" s="423">
        <f t="shared" si="290"/>
        <v>6</v>
      </c>
      <c r="GN20" s="424">
        <f t="shared" si="291"/>
        <v>3</v>
      </c>
      <c r="GO20" s="432">
        <f t="shared" si="292"/>
        <v>7875</v>
      </c>
      <c r="GP20" s="424">
        <f t="shared" si="293"/>
        <v>49864121.227880865</v>
      </c>
      <c r="GQ20" s="423">
        <f t="shared" si="294"/>
        <v>24</v>
      </c>
      <c r="GR20" s="424">
        <f t="shared" si="295"/>
        <v>3</v>
      </c>
      <c r="GS20" s="432">
        <f t="shared" si="296"/>
        <v>94500</v>
      </c>
      <c r="GT20" s="424">
        <f t="shared" si="297"/>
        <v>199456484.91152349</v>
      </c>
      <c r="GU20" s="423">
        <f t="shared" si="298"/>
        <v>288</v>
      </c>
      <c r="GV20" s="424">
        <f t="shared" si="299"/>
        <v>3</v>
      </c>
      <c r="GW20" s="432">
        <f t="shared" si="300"/>
        <v>1134000</v>
      </c>
      <c r="GX20" s="424">
        <f t="shared" si="301"/>
        <v>2393477818.9382815</v>
      </c>
      <c r="GZ20" s="424"/>
      <c r="HA20" s="430">
        <v>0.17499999999999999</v>
      </c>
      <c r="HB20" s="424">
        <f t="shared" si="363"/>
        <v>1750</v>
      </c>
      <c r="HC20" s="433">
        <f t="shared" si="387"/>
        <v>0.75</v>
      </c>
      <c r="HD20" s="424">
        <f t="shared" si="364"/>
        <v>1312.5</v>
      </c>
      <c r="HE20" s="423">
        <v>1</v>
      </c>
      <c r="HF20" s="424">
        <f t="shared" si="302"/>
        <v>1312.5</v>
      </c>
      <c r="HG20" s="431">
        <f t="shared" si="365"/>
        <v>1</v>
      </c>
      <c r="HH20" s="424">
        <f t="shared" si="303"/>
        <v>1312.5</v>
      </c>
      <c r="HI20" s="424">
        <f t="shared" si="388"/>
        <v>3</v>
      </c>
      <c r="HJ20" s="424">
        <f t="shared" si="366"/>
        <v>2216.1831656835943</v>
      </c>
      <c r="HK20" s="424">
        <f t="shared" si="304"/>
        <v>8726221.2148791533</v>
      </c>
      <c r="HL20" s="423">
        <f t="shared" si="305"/>
        <v>6</v>
      </c>
      <c r="HM20" s="424">
        <f t="shared" si="306"/>
        <v>3</v>
      </c>
      <c r="HN20" s="432">
        <f t="shared" si="307"/>
        <v>7875</v>
      </c>
      <c r="HO20" s="424">
        <f t="shared" si="308"/>
        <v>52357327.289274916</v>
      </c>
      <c r="HP20" s="423">
        <f t="shared" si="309"/>
        <v>24</v>
      </c>
      <c r="HQ20" s="424">
        <f t="shared" si="310"/>
        <v>3</v>
      </c>
      <c r="HR20" s="432">
        <f t="shared" si="311"/>
        <v>94500</v>
      </c>
      <c r="HS20" s="424">
        <f t="shared" si="312"/>
        <v>209429309.15709966</v>
      </c>
      <c r="HT20" s="423">
        <f t="shared" si="313"/>
        <v>288</v>
      </c>
      <c r="HU20" s="424">
        <f t="shared" si="314"/>
        <v>3</v>
      </c>
      <c r="HV20" s="432">
        <f t="shared" si="315"/>
        <v>1134000</v>
      </c>
      <c r="HW20" s="424">
        <f t="shared" si="316"/>
        <v>2513151709.8851957</v>
      </c>
      <c r="HY20" s="424"/>
      <c r="HZ20" s="430">
        <v>0.17499999999999999</v>
      </c>
      <c r="IA20" s="424">
        <f t="shared" si="367"/>
        <v>1750</v>
      </c>
      <c r="IB20" s="433">
        <f t="shared" si="389"/>
        <v>0.75</v>
      </c>
      <c r="IC20" s="424">
        <f t="shared" si="368"/>
        <v>1312.5</v>
      </c>
      <c r="ID20" s="423">
        <v>1</v>
      </c>
      <c r="IE20" s="424">
        <f t="shared" si="317"/>
        <v>1312.5</v>
      </c>
      <c r="IF20" s="431">
        <f t="shared" si="369"/>
        <v>1</v>
      </c>
      <c r="IG20" s="424">
        <f t="shared" si="318"/>
        <v>1312.5</v>
      </c>
      <c r="IH20" s="424">
        <f t="shared" si="390"/>
        <v>3</v>
      </c>
      <c r="II20" s="424">
        <f t="shared" si="370"/>
        <v>2326.9923239677742</v>
      </c>
      <c r="IJ20" s="424">
        <f t="shared" si="319"/>
        <v>9162532.2756231092</v>
      </c>
      <c r="IK20" s="423">
        <f t="shared" si="320"/>
        <v>6</v>
      </c>
      <c r="IL20" s="424">
        <f t="shared" si="321"/>
        <v>3</v>
      </c>
      <c r="IM20" s="432">
        <f t="shared" si="322"/>
        <v>7875</v>
      </c>
      <c r="IN20" s="424">
        <f t="shared" si="323"/>
        <v>54975193.653738663</v>
      </c>
      <c r="IO20" s="423">
        <f t="shared" si="324"/>
        <v>24</v>
      </c>
      <c r="IP20" s="424">
        <f t="shared" si="325"/>
        <v>3</v>
      </c>
      <c r="IQ20" s="432">
        <f t="shared" si="326"/>
        <v>94500</v>
      </c>
      <c r="IR20" s="424">
        <f t="shared" si="327"/>
        <v>219900774.61495465</v>
      </c>
      <c r="IS20" s="423">
        <f t="shared" si="328"/>
        <v>288</v>
      </c>
      <c r="IT20" s="424">
        <f t="shared" si="329"/>
        <v>3</v>
      </c>
      <c r="IU20" s="432">
        <f t="shared" si="330"/>
        <v>1134000</v>
      </c>
      <c r="IV20" s="424">
        <f t="shared" si="331"/>
        <v>2638809295.379456</v>
      </c>
    </row>
    <row r="21" spans="2:256" x14ac:dyDescent="0.25">
      <c r="B21" s="422"/>
      <c r="C21" s="422"/>
      <c r="D21" s="422"/>
      <c r="E21" s="419" t="s">
        <v>147</v>
      </c>
      <c r="F21" s="423"/>
      <c r="G21" s="423"/>
      <c r="H21" s="424"/>
      <c r="I21" s="430">
        <v>0.105</v>
      </c>
      <c r="J21" s="424">
        <f t="shared" si="332"/>
        <v>210</v>
      </c>
      <c r="K21" s="433">
        <f t="shared" si="371"/>
        <v>0.75</v>
      </c>
      <c r="L21" s="424">
        <f t="shared" si="333"/>
        <v>157.5</v>
      </c>
      <c r="M21" s="423">
        <v>1</v>
      </c>
      <c r="N21" s="424">
        <f t="shared" si="182"/>
        <v>157.5</v>
      </c>
      <c r="O21" s="431">
        <f>'Parameters and Summary'!E78</f>
        <v>1</v>
      </c>
      <c r="P21" s="424">
        <f t="shared" si="183"/>
        <v>157.5</v>
      </c>
      <c r="Q21" s="424">
        <f t="shared" si="372"/>
        <v>3</v>
      </c>
      <c r="R21" s="424">
        <f t="shared" si="334"/>
        <v>1500</v>
      </c>
      <c r="S21" s="424">
        <f t="shared" si="184"/>
        <v>708750</v>
      </c>
      <c r="T21" s="423">
        <f t="shared" si="185"/>
        <v>6</v>
      </c>
      <c r="U21" s="424">
        <f t="shared" si="186"/>
        <v>3</v>
      </c>
      <c r="V21" s="432">
        <f t="shared" si="187"/>
        <v>945</v>
      </c>
      <c r="W21" s="424">
        <f t="shared" si="188"/>
        <v>4252500</v>
      </c>
      <c r="X21" s="423">
        <f t="shared" si="189"/>
        <v>24</v>
      </c>
      <c r="Y21" s="424">
        <f t="shared" si="190"/>
        <v>3</v>
      </c>
      <c r="Z21" s="432">
        <f t="shared" si="191"/>
        <v>11340</v>
      </c>
      <c r="AA21" s="424">
        <f t="shared" si="192"/>
        <v>17010000</v>
      </c>
      <c r="AB21" s="423">
        <f t="shared" si="193"/>
        <v>288</v>
      </c>
      <c r="AC21" s="424">
        <f t="shared" si="194"/>
        <v>3</v>
      </c>
      <c r="AD21" s="432">
        <f t="shared" si="195"/>
        <v>136080</v>
      </c>
      <c r="AE21" s="424">
        <f t="shared" si="196"/>
        <v>204120000</v>
      </c>
      <c r="AG21" s="424"/>
      <c r="AH21" s="430">
        <v>0.105</v>
      </c>
      <c r="AI21" s="424">
        <f t="shared" si="335"/>
        <v>420</v>
      </c>
      <c r="AJ21" s="433">
        <f t="shared" si="373"/>
        <v>0.75</v>
      </c>
      <c r="AK21" s="424">
        <f t="shared" si="336"/>
        <v>315</v>
      </c>
      <c r="AL21" s="423">
        <v>1</v>
      </c>
      <c r="AM21" s="424">
        <f t="shared" si="197"/>
        <v>315</v>
      </c>
      <c r="AN21" s="431">
        <f t="shared" si="337"/>
        <v>1</v>
      </c>
      <c r="AO21" s="424">
        <f t="shared" si="198"/>
        <v>315</v>
      </c>
      <c r="AP21" s="424">
        <f t="shared" si="374"/>
        <v>3</v>
      </c>
      <c r="AQ21" s="424">
        <f t="shared" si="338"/>
        <v>1575</v>
      </c>
      <c r="AR21" s="424">
        <f t="shared" si="199"/>
        <v>1488375</v>
      </c>
      <c r="AS21" s="423">
        <f t="shared" si="200"/>
        <v>6</v>
      </c>
      <c r="AT21" s="424">
        <f t="shared" si="201"/>
        <v>3</v>
      </c>
      <c r="AU21" s="432">
        <f t="shared" si="202"/>
        <v>1890</v>
      </c>
      <c r="AV21" s="424">
        <f t="shared" si="203"/>
        <v>8930250</v>
      </c>
      <c r="AW21" s="423">
        <f t="shared" si="204"/>
        <v>24</v>
      </c>
      <c r="AX21" s="424">
        <f t="shared" si="205"/>
        <v>3</v>
      </c>
      <c r="AY21" s="432">
        <f t="shared" si="206"/>
        <v>22680</v>
      </c>
      <c r="AZ21" s="424">
        <f t="shared" si="207"/>
        <v>35721000</v>
      </c>
      <c r="BA21" s="423">
        <f t="shared" si="208"/>
        <v>288</v>
      </c>
      <c r="BB21" s="424">
        <f t="shared" si="209"/>
        <v>3</v>
      </c>
      <c r="BC21" s="432">
        <f t="shared" si="210"/>
        <v>272160</v>
      </c>
      <c r="BD21" s="424">
        <f t="shared" si="211"/>
        <v>428652000</v>
      </c>
      <c r="BF21" s="424"/>
      <c r="BG21" s="430">
        <v>0.105</v>
      </c>
      <c r="BH21" s="424">
        <f t="shared" si="339"/>
        <v>630</v>
      </c>
      <c r="BI21" s="433">
        <f t="shared" si="375"/>
        <v>0.75</v>
      </c>
      <c r="BJ21" s="424">
        <f t="shared" si="340"/>
        <v>472.5</v>
      </c>
      <c r="BK21" s="423">
        <v>1</v>
      </c>
      <c r="BL21" s="424">
        <f t="shared" si="212"/>
        <v>472.5</v>
      </c>
      <c r="BM21" s="431">
        <f t="shared" si="341"/>
        <v>1</v>
      </c>
      <c r="BN21" s="424">
        <f t="shared" si="213"/>
        <v>472.5</v>
      </c>
      <c r="BO21" s="424">
        <f t="shared" si="376"/>
        <v>3</v>
      </c>
      <c r="BP21" s="424">
        <f t="shared" si="342"/>
        <v>1653.75</v>
      </c>
      <c r="BQ21" s="424">
        <f t="shared" si="214"/>
        <v>2344190.625</v>
      </c>
      <c r="BR21" s="423">
        <f t="shared" si="215"/>
        <v>6</v>
      </c>
      <c r="BS21" s="424">
        <f t="shared" si="216"/>
        <v>3</v>
      </c>
      <c r="BT21" s="432">
        <f t="shared" si="217"/>
        <v>2835</v>
      </c>
      <c r="BU21" s="424">
        <f t="shared" si="218"/>
        <v>14065143.75</v>
      </c>
      <c r="BV21" s="423">
        <f t="shared" si="219"/>
        <v>24</v>
      </c>
      <c r="BW21" s="424">
        <f t="shared" si="220"/>
        <v>3</v>
      </c>
      <c r="BX21" s="432">
        <f t="shared" si="221"/>
        <v>34020</v>
      </c>
      <c r="BY21" s="424">
        <f t="shared" si="222"/>
        <v>56260575</v>
      </c>
      <c r="BZ21" s="423">
        <f t="shared" si="223"/>
        <v>288</v>
      </c>
      <c r="CA21" s="424">
        <f t="shared" si="224"/>
        <v>3</v>
      </c>
      <c r="CB21" s="432">
        <f t="shared" si="225"/>
        <v>408240</v>
      </c>
      <c r="CC21" s="424">
        <f t="shared" si="226"/>
        <v>675126900</v>
      </c>
      <c r="CE21" s="424"/>
      <c r="CF21" s="430">
        <v>0.105</v>
      </c>
      <c r="CG21" s="424">
        <f t="shared" si="343"/>
        <v>840</v>
      </c>
      <c r="CH21" s="433">
        <f t="shared" si="377"/>
        <v>0.75</v>
      </c>
      <c r="CI21" s="424">
        <f t="shared" si="344"/>
        <v>630</v>
      </c>
      <c r="CJ21" s="423">
        <v>1</v>
      </c>
      <c r="CK21" s="424">
        <f t="shared" si="227"/>
        <v>630</v>
      </c>
      <c r="CL21" s="431">
        <f t="shared" si="345"/>
        <v>1</v>
      </c>
      <c r="CM21" s="424">
        <f t="shared" si="228"/>
        <v>630</v>
      </c>
      <c r="CN21" s="424">
        <f t="shared" si="378"/>
        <v>3</v>
      </c>
      <c r="CO21" s="424">
        <f t="shared" si="346"/>
        <v>1736.4375</v>
      </c>
      <c r="CP21" s="424">
        <f t="shared" si="229"/>
        <v>3281866.875</v>
      </c>
      <c r="CQ21" s="423">
        <f t="shared" si="230"/>
        <v>6</v>
      </c>
      <c r="CR21" s="424">
        <f t="shared" si="231"/>
        <v>3</v>
      </c>
      <c r="CS21" s="432">
        <f t="shared" si="232"/>
        <v>3780</v>
      </c>
      <c r="CT21" s="424">
        <f t="shared" si="233"/>
        <v>19691201.25</v>
      </c>
      <c r="CU21" s="423">
        <f t="shared" si="234"/>
        <v>24</v>
      </c>
      <c r="CV21" s="424">
        <f t="shared" si="235"/>
        <v>3</v>
      </c>
      <c r="CW21" s="432">
        <f t="shared" si="236"/>
        <v>45360</v>
      </c>
      <c r="CX21" s="424">
        <f t="shared" si="237"/>
        <v>78764805</v>
      </c>
      <c r="CY21" s="423">
        <f t="shared" si="238"/>
        <v>288</v>
      </c>
      <c r="CZ21" s="424">
        <f t="shared" si="239"/>
        <v>3</v>
      </c>
      <c r="DA21" s="432">
        <f t="shared" si="240"/>
        <v>544320</v>
      </c>
      <c r="DB21" s="424">
        <f t="shared" si="241"/>
        <v>945177660</v>
      </c>
      <c r="DD21" s="424"/>
      <c r="DE21" s="430">
        <v>0.105</v>
      </c>
      <c r="DF21" s="424">
        <f t="shared" si="347"/>
        <v>1050</v>
      </c>
      <c r="DG21" s="433">
        <f t="shared" si="379"/>
        <v>0.75</v>
      </c>
      <c r="DH21" s="424">
        <f t="shared" si="348"/>
        <v>787.5</v>
      </c>
      <c r="DI21" s="423">
        <v>1</v>
      </c>
      <c r="DJ21" s="424">
        <f t="shared" si="242"/>
        <v>787.5</v>
      </c>
      <c r="DK21" s="431">
        <f t="shared" si="349"/>
        <v>1</v>
      </c>
      <c r="DL21" s="424">
        <f t="shared" si="243"/>
        <v>787.5</v>
      </c>
      <c r="DM21" s="424">
        <f t="shared" si="380"/>
        <v>3</v>
      </c>
      <c r="DN21" s="424">
        <f t="shared" si="350"/>
        <v>1823.2593750000001</v>
      </c>
      <c r="DO21" s="424">
        <f t="shared" si="244"/>
        <v>4307450.2734375</v>
      </c>
      <c r="DP21" s="423">
        <f t="shared" si="245"/>
        <v>6</v>
      </c>
      <c r="DQ21" s="424">
        <f t="shared" si="246"/>
        <v>3</v>
      </c>
      <c r="DR21" s="432">
        <f t="shared" si="247"/>
        <v>4725</v>
      </c>
      <c r="DS21" s="424">
        <f t="shared" si="248"/>
        <v>25844701.640625</v>
      </c>
      <c r="DT21" s="423">
        <f t="shared" si="249"/>
        <v>24</v>
      </c>
      <c r="DU21" s="424">
        <f t="shared" si="250"/>
        <v>3</v>
      </c>
      <c r="DV21" s="432">
        <f t="shared" si="251"/>
        <v>56700</v>
      </c>
      <c r="DW21" s="424">
        <f t="shared" si="252"/>
        <v>103378806.5625</v>
      </c>
      <c r="DX21" s="423">
        <f t="shared" si="253"/>
        <v>288</v>
      </c>
      <c r="DY21" s="424">
        <f t="shared" si="254"/>
        <v>3</v>
      </c>
      <c r="DZ21" s="432">
        <f t="shared" si="255"/>
        <v>680400</v>
      </c>
      <c r="EA21" s="424">
        <f t="shared" si="256"/>
        <v>1240545678.75</v>
      </c>
      <c r="EC21" s="424"/>
      <c r="ED21" s="430">
        <v>0.105</v>
      </c>
      <c r="EE21" s="424">
        <f t="shared" si="351"/>
        <v>1050</v>
      </c>
      <c r="EF21" s="433">
        <f t="shared" si="381"/>
        <v>0.75</v>
      </c>
      <c r="EG21" s="424">
        <f t="shared" si="352"/>
        <v>787.5</v>
      </c>
      <c r="EH21" s="423">
        <v>1</v>
      </c>
      <c r="EI21" s="424">
        <f t="shared" si="257"/>
        <v>787.5</v>
      </c>
      <c r="EJ21" s="431">
        <f t="shared" si="353"/>
        <v>1</v>
      </c>
      <c r="EK21" s="424">
        <f t="shared" si="258"/>
        <v>787.5</v>
      </c>
      <c r="EL21" s="424">
        <f t="shared" si="382"/>
        <v>3</v>
      </c>
      <c r="EM21" s="424">
        <f t="shared" si="354"/>
        <v>1914.4223437500002</v>
      </c>
      <c r="EN21" s="424">
        <f t="shared" si="259"/>
        <v>4522822.7871093759</v>
      </c>
      <c r="EO21" s="423">
        <f t="shared" si="260"/>
        <v>6</v>
      </c>
      <c r="EP21" s="424">
        <f t="shared" si="261"/>
        <v>3</v>
      </c>
      <c r="EQ21" s="432">
        <f t="shared" si="262"/>
        <v>4725</v>
      </c>
      <c r="ER21" s="424">
        <f t="shared" si="263"/>
        <v>27136936.722656257</v>
      </c>
      <c r="ES21" s="423">
        <f t="shared" si="264"/>
        <v>24</v>
      </c>
      <c r="ET21" s="424">
        <f t="shared" si="265"/>
        <v>3</v>
      </c>
      <c r="EU21" s="432">
        <f t="shared" si="266"/>
        <v>56700</v>
      </c>
      <c r="EV21" s="424">
        <f t="shared" si="267"/>
        <v>108547746.89062501</v>
      </c>
      <c r="EW21" s="423">
        <f t="shared" si="268"/>
        <v>288</v>
      </c>
      <c r="EX21" s="424">
        <f t="shared" si="269"/>
        <v>3</v>
      </c>
      <c r="EY21" s="432">
        <f t="shared" si="270"/>
        <v>680400</v>
      </c>
      <c r="EZ21" s="424">
        <f t="shared" si="271"/>
        <v>1302572962.6875002</v>
      </c>
      <c r="FB21" s="424"/>
      <c r="FC21" s="430">
        <v>0.105</v>
      </c>
      <c r="FD21" s="424">
        <f t="shared" si="355"/>
        <v>1050</v>
      </c>
      <c r="FE21" s="433">
        <f t="shared" si="383"/>
        <v>0.75</v>
      </c>
      <c r="FF21" s="424">
        <f t="shared" si="356"/>
        <v>787.5</v>
      </c>
      <c r="FG21" s="423">
        <v>1</v>
      </c>
      <c r="FH21" s="424">
        <f t="shared" si="272"/>
        <v>787.5</v>
      </c>
      <c r="FI21" s="431">
        <f t="shared" si="357"/>
        <v>1</v>
      </c>
      <c r="FJ21" s="424">
        <f t="shared" si="273"/>
        <v>787.5</v>
      </c>
      <c r="FK21" s="424">
        <f t="shared" si="384"/>
        <v>3</v>
      </c>
      <c r="FL21" s="424">
        <f t="shared" si="358"/>
        <v>2010.1434609375003</v>
      </c>
      <c r="FM21" s="424">
        <f t="shared" si="274"/>
        <v>4748963.9264648445</v>
      </c>
      <c r="FN21" s="423">
        <f t="shared" si="275"/>
        <v>6</v>
      </c>
      <c r="FO21" s="424">
        <f t="shared" si="276"/>
        <v>3</v>
      </c>
      <c r="FP21" s="432">
        <f t="shared" si="277"/>
        <v>4725</v>
      </c>
      <c r="FQ21" s="424">
        <f t="shared" si="278"/>
        <v>28493783.558789067</v>
      </c>
      <c r="FR21" s="423">
        <f t="shared" si="279"/>
        <v>24</v>
      </c>
      <c r="FS21" s="424">
        <f t="shared" si="280"/>
        <v>3</v>
      </c>
      <c r="FT21" s="432">
        <f t="shared" si="281"/>
        <v>56700</v>
      </c>
      <c r="FU21" s="424">
        <f t="shared" si="282"/>
        <v>113975134.23515627</v>
      </c>
      <c r="FV21" s="423">
        <f t="shared" si="283"/>
        <v>288</v>
      </c>
      <c r="FW21" s="424">
        <f t="shared" si="284"/>
        <v>3</v>
      </c>
      <c r="FX21" s="432">
        <f t="shared" si="285"/>
        <v>680400</v>
      </c>
      <c r="FY21" s="424">
        <f t="shared" si="286"/>
        <v>1367701610.8218753</v>
      </c>
      <c r="GA21" s="424"/>
      <c r="GB21" s="430">
        <v>0.105</v>
      </c>
      <c r="GC21" s="424">
        <f t="shared" si="359"/>
        <v>1050</v>
      </c>
      <c r="GD21" s="433">
        <f t="shared" si="385"/>
        <v>0.75</v>
      </c>
      <c r="GE21" s="424">
        <f t="shared" si="360"/>
        <v>787.5</v>
      </c>
      <c r="GF21" s="423">
        <v>1</v>
      </c>
      <c r="GG21" s="424">
        <f t="shared" si="287"/>
        <v>787.5</v>
      </c>
      <c r="GH21" s="431">
        <f t="shared" si="361"/>
        <v>1</v>
      </c>
      <c r="GI21" s="424">
        <f t="shared" si="288"/>
        <v>787.5</v>
      </c>
      <c r="GJ21" s="424">
        <f t="shared" si="386"/>
        <v>3</v>
      </c>
      <c r="GK21" s="424">
        <f t="shared" si="362"/>
        <v>2110.6506339843754</v>
      </c>
      <c r="GL21" s="424">
        <f t="shared" si="289"/>
        <v>4986412.1227880865</v>
      </c>
      <c r="GM21" s="423">
        <f t="shared" si="290"/>
        <v>6</v>
      </c>
      <c r="GN21" s="424">
        <f t="shared" si="291"/>
        <v>3</v>
      </c>
      <c r="GO21" s="432">
        <f t="shared" si="292"/>
        <v>4725</v>
      </c>
      <c r="GP21" s="424">
        <f t="shared" si="293"/>
        <v>29918472.736728519</v>
      </c>
      <c r="GQ21" s="423">
        <f t="shared" si="294"/>
        <v>24</v>
      </c>
      <c r="GR21" s="424">
        <f t="shared" si="295"/>
        <v>3</v>
      </c>
      <c r="GS21" s="432">
        <f t="shared" si="296"/>
        <v>56700</v>
      </c>
      <c r="GT21" s="424">
        <f t="shared" si="297"/>
        <v>119673890.94691409</v>
      </c>
      <c r="GU21" s="423">
        <f t="shared" si="298"/>
        <v>288</v>
      </c>
      <c r="GV21" s="424">
        <f t="shared" si="299"/>
        <v>3</v>
      </c>
      <c r="GW21" s="432">
        <f t="shared" si="300"/>
        <v>680400</v>
      </c>
      <c r="GX21" s="424">
        <f t="shared" si="301"/>
        <v>1436086691.3629689</v>
      </c>
      <c r="GZ21" s="424"/>
      <c r="HA21" s="430">
        <v>0.105</v>
      </c>
      <c r="HB21" s="424">
        <f t="shared" si="363"/>
        <v>1050</v>
      </c>
      <c r="HC21" s="433">
        <f t="shared" si="387"/>
        <v>0.75</v>
      </c>
      <c r="HD21" s="424">
        <f t="shared" si="364"/>
        <v>787.5</v>
      </c>
      <c r="HE21" s="423">
        <v>1</v>
      </c>
      <c r="HF21" s="424">
        <f t="shared" si="302"/>
        <v>787.5</v>
      </c>
      <c r="HG21" s="431">
        <f t="shared" si="365"/>
        <v>1</v>
      </c>
      <c r="HH21" s="424">
        <f t="shared" si="303"/>
        <v>787.5</v>
      </c>
      <c r="HI21" s="424">
        <f t="shared" si="388"/>
        <v>3</v>
      </c>
      <c r="HJ21" s="424">
        <f t="shared" si="366"/>
        <v>2216.1831656835943</v>
      </c>
      <c r="HK21" s="424">
        <f t="shared" si="304"/>
        <v>5235732.7289274912</v>
      </c>
      <c r="HL21" s="423">
        <f t="shared" si="305"/>
        <v>6</v>
      </c>
      <c r="HM21" s="424">
        <f t="shared" si="306"/>
        <v>3</v>
      </c>
      <c r="HN21" s="432">
        <f t="shared" si="307"/>
        <v>4725</v>
      </c>
      <c r="HO21" s="424">
        <f t="shared" si="308"/>
        <v>31414396.373564947</v>
      </c>
      <c r="HP21" s="423">
        <f t="shared" si="309"/>
        <v>24</v>
      </c>
      <c r="HQ21" s="424">
        <f t="shared" si="310"/>
        <v>3</v>
      </c>
      <c r="HR21" s="432">
        <f t="shared" si="311"/>
        <v>56700</v>
      </c>
      <c r="HS21" s="424">
        <f t="shared" si="312"/>
        <v>125657585.4942598</v>
      </c>
      <c r="HT21" s="423">
        <f t="shared" si="313"/>
        <v>288</v>
      </c>
      <c r="HU21" s="424">
        <f t="shared" si="314"/>
        <v>3</v>
      </c>
      <c r="HV21" s="432">
        <f t="shared" si="315"/>
        <v>680400</v>
      </c>
      <c r="HW21" s="424">
        <f t="shared" si="316"/>
        <v>1507891025.9311175</v>
      </c>
      <c r="HY21" s="424"/>
      <c r="HZ21" s="430">
        <v>0.105</v>
      </c>
      <c r="IA21" s="424">
        <f t="shared" si="367"/>
        <v>1050</v>
      </c>
      <c r="IB21" s="433">
        <f t="shared" si="389"/>
        <v>0.75</v>
      </c>
      <c r="IC21" s="424">
        <f t="shared" si="368"/>
        <v>787.5</v>
      </c>
      <c r="ID21" s="423">
        <v>1</v>
      </c>
      <c r="IE21" s="424">
        <f t="shared" si="317"/>
        <v>787.5</v>
      </c>
      <c r="IF21" s="431">
        <f t="shared" si="369"/>
        <v>1</v>
      </c>
      <c r="IG21" s="424">
        <f t="shared" si="318"/>
        <v>787.5</v>
      </c>
      <c r="IH21" s="424">
        <f t="shared" si="390"/>
        <v>3</v>
      </c>
      <c r="II21" s="424">
        <f t="shared" si="370"/>
        <v>2326.9923239677742</v>
      </c>
      <c r="IJ21" s="424">
        <f t="shared" si="319"/>
        <v>5497519.3653738666</v>
      </c>
      <c r="IK21" s="423">
        <f t="shared" si="320"/>
        <v>6</v>
      </c>
      <c r="IL21" s="424">
        <f t="shared" si="321"/>
        <v>3</v>
      </c>
      <c r="IM21" s="432">
        <f t="shared" si="322"/>
        <v>4725</v>
      </c>
      <c r="IN21" s="424">
        <f t="shared" si="323"/>
        <v>32985116.1922432</v>
      </c>
      <c r="IO21" s="423">
        <f t="shared" si="324"/>
        <v>24</v>
      </c>
      <c r="IP21" s="424">
        <f t="shared" si="325"/>
        <v>3</v>
      </c>
      <c r="IQ21" s="432">
        <f t="shared" si="326"/>
        <v>56700</v>
      </c>
      <c r="IR21" s="424">
        <f t="shared" si="327"/>
        <v>131940464.7689728</v>
      </c>
      <c r="IS21" s="423">
        <f t="shared" si="328"/>
        <v>288</v>
      </c>
      <c r="IT21" s="424">
        <f t="shared" si="329"/>
        <v>3</v>
      </c>
      <c r="IU21" s="432">
        <f t="shared" si="330"/>
        <v>680400</v>
      </c>
      <c r="IV21" s="424">
        <f t="shared" si="331"/>
        <v>1583285577.2276735</v>
      </c>
    </row>
    <row r="22" spans="2:256" x14ac:dyDescent="0.25">
      <c r="B22" s="422"/>
      <c r="C22" s="422"/>
      <c r="D22" s="422"/>
      <c r="E22" s="419" t="s">
        <v>148</v>
      </c>
      <c r="F22" s="423"/>
      <c r="G22" s="423"/>
      <c r="H22" s="424"/>
      <c r="I22" s="430">
        <v>7.0000000000000007E-2</v>
      </c>
      <c r="J22" s="424">
        <f t="shared" si="332"/>
        <v>140</v>
      </c>
      <c r="K22" s="433">
        <f t="shared" si="371"/>
        <v>0.75</v>
      </c>
      <c r="L22" s="424">
        <f t="shared" si="333"/>
        <v>105</v>
      </c>
      <c r="M22" s="423">
        <v>1</v>
      </c>
      <c r="N22" s="424">
        <f t="shared" si="182"/>
        <v>105</v>
      </c>
      <c r="O22" s="431">
        <f>'Parameters and Summary'!E79</f>
        <v>1</v>
      </c>
      <c r="P22" s="424">
        <f t="shared" si="183"/>
        <v>105</v>
      </c>
      <c r="Q22" s="424">
        <f t="shared" si="372"/>
        <v>3</v>
      </c>
      <c r="R22" s="424">
        <f t="shared" si="334"/>
        <v>1500</v>
      </c>
      <c r="S22" s="424">
        <f t="shared" si="184"/>
        <v>472500</v>
      </c>
      <c r="T22" s="423">
        <f t="shared" si="185"/>
        <v>6</v>
      </c>
      <c r="U22" s="424">
        <f t="shared" si="186"/>
        <v>3</v>
      </c>
      <c r="V22" s="432">
        <f t="shared" si="187"/>
        <v>630</v>
      </c>
      <c r="W22" s="424">
        <f t="shared" si="188"/>
        <v>2835000</v>
      </c>
      <c r="X22" s="423">
        <f t="shared" si="189"/>
        <v>24</v>
      </c>
      <c r="Y22" s="424">
        <f t="shared" si="190"/>
        <v>3</v>
      </c>
      <c r="Z22" s="432">
        <f t="shared" si="191"/>
        <v>7560</v>
      </c>
      <c r="AA22" s="424">
        <f t="shared" si="192"/>
        <v>11340000</v>
      </c>
      <c r="AB22" s="423">
        <f t="shared" si="193"/>
        <v>288</v>
      </c>
      <c r="AC22" s="424">
        <f t="shared" si="194"/>
        <v>3</v>
      </c>
      <c r="AD22" s="432">
        <f t="shared" si="195"/>
        <v>90720</v>
      </c>
      <c r="AE22" s="424">
        <f t="shared" si="196"/>
        <v>136080000</v>
      </c>
      <c r="AG22" s="424"/>
      <c r="AH22" s="430">
        <v>7.0000000000000007E-2</v>
      </c>
      <c r="AI22" s="424">
        <f t="shared" si="335"/>
        <v>280</v>
      </c>
      <c r="AJ22" s="433">
        <f t="shared" si="373"/>
        <v>0.75</v>
      </c>
      <c r="AK22" s="424">
        <f t="shared" si="336"/>
        <v>210</v>
      </c>
      <c r="AL22" s="423">
        <v>1</v>
      </c>
      <c r="AM22" s="424">
        <f t="shared" si="197"/>
        <v>210</v>
      </c>
      <c r="AN22" s="431">
        <f t="shared" si="337"/>
        <v>1</v>
      </c>
      <c r="AO22" s="424">
        <f t="shared" si="198"/>
        <v>210</v>
      </c>
      <c r="AP22" s="424">
        <f t="shared" si="374"/>
        <v>3</v>
      </c>
      <c r="AQ22" s="424">
        <f t="shared" si="338"/>
        <v>1575</v>
      </c>
      <c r="AR22" s="424">
        <f t="shared" si="199"/>
        <v>992250</v>
      </c>
      <c r="AS22" s="423">
        <f t="shared" si="200"/>
        <v>6</v>
      </c>
      <c r="AT22" s="424">
        <f t="shared" si="201"/>
        <v>3</v>
      </c>
      <c r="AU22" s="432">
        <f t="shared" si="202"/>
        <v>1260</v>
      </c>
      <c r="AV22" s="424">
        <f t="shared" si="203"/>
        <v>5953500</v>
      </c>
      <c r="AW22" s="423">
        <f t="shared" si="204"/>
        <v>24</v>
      </c>
      <c r="AX22" s="424">
        <f t="shared" si="205"/>
        <v>3</v>
      </c>
      <c r="AY22" s="432">
        <f t="shared" si="206"/>
        <v>15120</v>
      </c>
      <c r="AZ22" s="424">
        <f t="shared" si="207"/>
        <v>23814000</v>
      </c>
      <c r="BA22" s="423">
        <f t="shared" si="208"/>
        <v>288</v>
      </c>
      <c r="BB22" s="424">
        <f t="shared" si="209"/>
        <v>3</v>
      </c>
      <c r="BC22" s="432">
        <f t="shared" si="210"/>
        <v>181440</v>
      </c>
      <c r="BD22" s="424">
        <f t="shared" si="211"/>
        <v>285768000</v>
      </c>
      <c r="BF22" s="424"/>
      <c r="BG22" s="430">
        <v>7.0000000000000007E-2</v>
      </c>
      <c r="BH22" s="424">
        <f t="shared" si="339"/>
        <v>420.00000000000006</v>
      </c>
      <c r="BI22" s="433">
        <f t="shared" si="375"/>
        <v>0.75</v>
      </c>
      <c r="BJ22" s="424">
        <f t="shared" si="340"/>
        <v>315.00000000000006</v>
      </c>
      <c r="BK22" s="423">
        <v>1</v>
      </c>
      <c r="BL22" s="424">
        <f t="shared" si="212"/>
        <v>315.00000000000006</v>
      </c>
      <c r="BM22" s="431">
        <f t="shared" si="341"/>
        <v>1</v>
      </c>
      <c r="BN22" s="424">
        <f t="shared" si="213"/>
        <v>315.00000000000006</v>
      </c>
      <c r="BO22" s="424">
        <f t="shared" si="376"/>
        <v>3</v>
      </c>
      <c r="BP22" s="424">
        <f t="shared" si="342"/>
        <v>1653.75</v>
      </c>
      <c r="BQ22" s="424">
        <f t="shared" si="214"/>
        <v>1562793.7500000005</v>
      </c>
      <c r="BR22" s="423">
        <f t="shared" si="215"/>
        <v>6</v>
      </c>
      <c r="BS22" s="424">
        <f t="shared" si="216"/>
        <v>3</v>
      </c>
      <c r="BT22" s="432">
        <f t="shared" si="217"/>
        <v>1890.0000000000005</v>
      </c>
      <c r="BU22" s="424">
        <f t="shared" si="218"/>
        <v>9376762.5000000037</v>
      </c>
      <c r="BV22" s="423">
        <f t="shared" si="219"/>
        <v>24</v>
      </c>
      <c r="BW22" s="424">
        <f t="shared" si="220"/>
        <v>3</v>
      </c>
      <c r="BX22" s="432">
        <f t="shared" si="221"/>
        <v>22680.000000000007</v>
      </c>
      <c r="BY22" s="424">
        <f t="shared" si="222"/>
        <v>37507050.000000015</v>
      </c>
      <c r="BZ22" s="423">
        <f t="shared" si="223"/>
        <v>288</v>
      </c>
      <c r="CA22" s="424">
        <f t="shared" si="224"/>
        <v>3</v>
      </c>
      <c r="CB22" s="432">
        <f t="shared" si="225"/>
        <v>272160.00000000006</v>
      </c>
      <c r="CC22" s="424">
        <f t="shared" si="226"/>
        <v>450084600.00000012</v>
      </c>
      <c r="CE22" s="424"/>
      <c r="CF22" s="430">
        <v>7.0000000000000007E-2</v>
      </c>
      <c r="CG22" s="424">
        <f t="shared" si="343"/>
        <v>560</v>
      </c>
      <c r="CH22" s="433">
        <f t="shared" si="377"/>
        <v>0.75</v>
      </c>
      <c r="CI22" s="424">
        <f t="shared" si="344"/>
        <v>420</v>
      </c>
      <c r="CJ22" s="423">
        <v>1</v>
      </c>
      <c r="CK22" s="424">
        <f t="shared" si="227"/>
        <v>420</v>
      </c>
      <c r="CL22" s="431">
        <f t="shared" si="345"/>
        <v>1</v>
      </c>
      <c r="CM22" s="424">
        <f t="shared" si="228"/>
        <v>420</v>
      </c>
      <c r="CN22" s="424">
        <f t="shared" si="378"/>
        <v>3</v>
      </c>
      <c r="CO22" s="424">
        <f t="shared" si="346"/>
        <v>1736.4375</v>
      </c>
      <c r="CP22" s="424">
        <f t="shared" si="229"/>
        <v>2187911.25</v>
      </c>
      <c r="CQ22" s="423">
        <f t="shared" si="230"/>
        <v>6</v>
      </c>
      <c r="CR22" s="424">
        <f t="shared" si="231"/>
        <v>3</v>
      </c>
      <c r="CS22" s="432">
        <f t="shared" si="232"/>
        <v>2520</v>
      </c>
      <c r="CT22" s="424">
        <f t="shared" si="233"/>
        <v>13127467.5</v>
      </c>
      <c r="CU22" s="423">
        <f t="shared" si="234"/>
        <v>24</v>
      </c>
      <c r="CV22" s="424">
        <f t="shared" si="235"/>
        <v>3</v>
      </c>
      <c r="CW22" s="432">
        <f t="shared" si="236"/>
        <v>30240</v>
      </c>
      <c r="CX22" s="424">
        <f t="shared" si="237"/>
        <v>52509870</v>
      </c>
      <c r="CY22" s="423">
        <f t="shared" si="238"/>
        <v>288</v>
      </c>
      <c r="CZ22" s="424">
        <f t="shared" si="239"/>
        <v>3</v>
      </c>
      <c r="DA22" s="432">
        <f t="shared" si="240"/>
        <v>362880</v>
      </c>
      <c r="DB22" s="424">
        <f t="shared" si="241"/>
        <v>630118440</v>
      </c>
      <c r="DD22" s="424"/>
      <c r="DE22" s="430">
        <v>7.0000000000000007E-2</v>
      </c>
      <c r="DF22" s="424">
        <f t="shared" si="347"/>
        <v>700.00000000000011</v>
      </c>
      <c r="DG22" s="433">
        <f t="shared" si="379"/>
        <v>0.75</v>
      </c>
      <c r="DH22" s="424">
        <f t="shared" si="348"/>
        <v>525.00000000000011</v>
      </c>
      <c r="DI22" s="423">
        <v>1</v>
      </c>
      <c r="DJ22" s="424">
        <f t="shared" si="242"/>
        <v>525.00000000000011</v>
      </c>
      <c r="DK22" s="431">
        <f t="shared" si="349"/>
        <v>1</v>
      </c>
      <c r="DL22" s="424">
        <f t="shared" si="243"/>
        <v>525.00000000000011</v>
      </c>
      <c r="DM22" s="424">
        <f t="shared" si="380"/>
        <v>3</v>
      </c>
      <c r="DN22" s="424">
        <f t="shared" si="350"/>
        <v>1823.2593750000001</v>
      </c>
      <c r="DO22" s="424">
        <f t="shared" si="244"/>
        <v>2871633.5156250009</v>
      </c>
      <c r="DP22" s="423">
        <f t="shared" si="245"/>
        <v>6</v>
      </c>
      <c r="DQ22" s="424">
        <f t="shared" si="246"/>
        <v>3</v>
      </c>
      <c r="DR22" s="432">
        <f t="shared" si="247"/>
        <v>3150.0000000000009</v>
      </c>
      <c r="DS22" s="424">
        <f t="shared" si="248"/>
        <v>17229801.093750007</v>
      </c>
      <c r="DT22" s="423">
        <f t="shared" si="249"/>
        <v>24</v>
      </c>
      <c r="DU22" s="424">
        <f t="shared" si="250"/>
        <v>3</v>
      </c>
      <c r="DV22" s="432">
        <f t="shared" si="251"/>
        <v>37800.000000000015</v>
      </c>
      <c r="DW22" s="424">
        <f t="shared" si="252"/>
        <v>68919204.37500003</v>
      </c>
      <c r="DX22" s="423">
        <f t="shared" si="253"/>
        <v>288</v>
      </c>
      <c r="DY22" s="424">
        <f t="shared" si="254"/>
        <v>3</v>
      </c>
      <c r="DZ22" s="432">
        <f t="shared" si="255"/>
        <v>453600.00000000012</v>
      </c>
      <c r="EA22" s="424">
        <f t="shared" si="256"/>
        <v>827030452.50000024</v>
      </c>
      <c r="EC22" s="424"/>
      <c r="ED22" s="430">
        <v>7.0000000000000007E-2</v>
      </c>
      <c r="EE22" s="424">
        <f t="shared" si="351"/>
        <v>700.00000000000011</v>
      </c>
      <c r="EF22" s="433">
        <f t="shared" si="381"/>
        <v>0.75</v>
      </c>
      <c r="EG22" s="424">
        <f t="shared" si="352"/>
        <v>525.00000000000011</v>
      </c>
      <c r="EH22" s="423">
        <v>1</v>
      </c>
      <c r="EI22" s="424">
        <f t="shared" si="257"/>
        <v>525.00000000000011</v>
      </c>
      <c r="EJ22" s="431">
        <f t="shared" si="353"/>
        <v>1</v>
      </c>
      <c r="EK22" s="424">
        <f t="shared" si="258"/>
        <v>525.00000000000011</v>
      </c>
      <c r="EL22" s="424">
        <f t="shared" si="382"/>
        <v>3</v>
      </c>
      <c r="EM22" s="424">
        <f t="shared" si="354"/>
        <v>1914.4223437500002</v>
      </c>
      <c r="EN22" s="424">
        <f t="shared" si="259"/>
        <v>3015215.1914062509</v>
      </c>
      <c r="EO22" s="423">
        <f t="shared" si="260"/>
        <v>6</v>
      </c>
      <c r="EP22" s="424">
        <f t="shared" si="261"/>
        <v>3</v>
      </c>
      <c r="EQ22" s="432">
        <f t="shared" si="262"/>
        <v>3150.0000000000009</v>
      </c>
      <c r="ER22" s="424">
        <f t="shared" si="263"/>
        <v>18091291.148437507</v>
      </c>
      <c r="ES22" s="423">
        <f t="shared" si="264"/>
        <v>24</v>
      </c>
      <c r="ET22" s="424">
        <f t="shared" si="265"/>
        <v>3</v>
      </c>
      <c r="EU22" s="432">
        <f t="shared" si="266"/>
        <v>37800.000000000015</v>
      </c>
      <c r="EV22" s="424">
        <f t="shared" si="267"/>
        <v>72365164.59375003</v>
      </c>
      <c r="EW22" s="423">
        <f t="shared" si="268"/>
        <v>288</v>
      </c>
      <c r="EX22" s="424">
        <f t="shared" si="269"/>
        <v>3</v>
      </c>
      <c r="EY22" s="432">
        <f t="shared" si="270"/>
        <v>453600.00000000012</v>
      </c>
      <c r="EZ22" s="424">
        <f t="shared" si="271"/>
        <v>868381975.12500036</v>
      </c>
      <c r="FB22" s="424"/>
      <c r="FC22" s="430">
        <v>7.0000000000000007E-2</v>
      </c>
      <c r="FD22" s="424">
        <f t="shared" si="355"/>
        <v>700.00000000000011</v>
      </c>
      <c r="FE22" s="433">
        <f t="shared" si="383"/>
        <v>0.75</v>
      </c>
      <c r="FF22" s="424">
        <f t="shared" si="356"/>
        <v>525.00000000000011</v>
      </c>
      <c r="FG22" s="423">
        <v>1</v>
      </c>
      <c r="FH22" s="424">
        <f t="shared" si="272"/>
        <v>525.00000000000011</v>
      </c>
      <c r="FI22" s="431">
        <f t="shared" si="357"/>
        <v>1</v>
      </c>
      <c r="FJ22" s="424">
        <f t="shared" si="273"/>
        <v>525.00000000000011</v>
      </c>
      <c r="FK22" s="424">
        <f t="shared" si="384"/>
        <v>3</v>
      </c>
      <c r="FL22" s="424">
        <f t="shared" si="358"/>
        <v>2010.1434609375003</v>
      </c>
      <c r="FM22" s="424">
        <f t="shared" si="274"/>
        <v>3165975.9509765636</v>
      </c>
      <c r="FN22" s="423">
        <f t="shared" si="275"/>
        <v>6</v>
      </c>
      <c r="FO22" s="424">
        <f t="shared" si="276"/>
        <v>3</v>
      </c>
      <c r="FP22" s="432">
        <f t="shared" si="277"/>
        <v>3150.0000000000009</v>
      </c>
      <c r="FQ22" s="424">
        <f t="shared" si="278"/>
        <v>18995855.705859385</v>
      </c>
      <c r="FR22" s="423">
        <f t="shared" si="279"/>
        <v>24</v>
      </c>
      <c r="FS22" s="424">
        <f t="shared" si="280"/>
        <v>3</v>
      </c>
      <c r="FT22" s="432">
        <f t="shared" si="281"/>
        <v>37800.000000000015</v>
      </c>
      <c r="FU22" s="424">
        <f t="shared" si="282"/>
        <v>75983422.823437542</v>
      </c>
      <c r="FV22" s="423">
        <f t="shared" si="283"/>
        <v>288</v>
      </c>
      <c r="FW22" s="424">
        <f t="shared" si="284"/>
        <v>3</v>
      </c>
      <c r="FX22" s="432">
        <f t="shared" si="285"/>
        <v>453600.00000000012</v>
      </c>
      <c r="FY22" s="424">
        <f t="shared" si="286"/>
        <v>911801073.88125038</v>
      </c>
      <c r="GA22" s="424"/>
      <c r="GB22" s="430">
        <v>7.0000000000000007E-2</v>
      </c>
      <c r="GC22" s="424">
        <f t="shared" si="359"/>
        <v>700.00000000000011</v>
      </c>
      <c r="GD22" s="433">
        <f t="shared" si="385"/>
        <v>0.75</v>
      </c>
      <c r="GE22" s="424">
        <f t="shared" si="360"/>
        <v>525.00000000000011</v>
      </c>
      <c r="GF22" s="423">
        <v>1</v>
      </c>
      <c r="GG22" s="424">
        <f t="shared" si="287"/>
        <v>525.00000000000011</v>
      </c>
      <c r="GH22" s="431">
        <f t="shared" si="361"/>
        <v>1</v>
      </c>
      <c r="GI22" s="424">
        <f t="shared" si="288"/>
        <v>525.00000000000011</v>
      </c>
      <c r="GJ22" s="424">
        <f t="shared" si="386"/>
        <v>3</v>
      </c>
      <c r="GK22" s="424">
        <f t="shared" si="362"/>
        <v>2110.6506339843754</v>
      </c>
      <c r="GL22" s="424">
        <f t="shared" si="289"/>
        <v>3324274.7485253918</v>
      </c>
      <c r="GM22" s="423">
        <f t="shared" si="290"/>
        <v>6</v>
      </c>
      <c r="GN22" s="424">
        <f t="shared" si="291"/>
        <v>3</v>
      </c>
      <c r="GO22" s="432">
        <f t="shared" si="292"/>
        <v>3150.0000000000009</v>
      </c>
      <c r="GP22" s="424">
        <f t="shared" si="293"/>
        <v>19945648.491152354</v>
      </c>
      <c r="GQ22" s="423">
        <f t="shared" si="294"/>
        <v>24</v>
      </c>
      <c r="GR22" s="424">
        <f t="shared" si="295"/>
        <v>3</v>
      </c>
      <c r="GS22" s="432">
        <f t="shared" si="296"/>
        <v>37800.000000000015</v>
      </c>
      <c r="GT22" s="424">
        <f t="shared" si="297"/>
        <v>79782593.964609414</v>
      </c>
      <c r="GU22" s="423">
        <f t="shared" si="298"/>
        <v>288</v>
      </c>
      <c r="GV22" s="424">
        <f t="shared" si="299"/>
        <v>3</v>
      </c>
      <c r="GW22" s="432">
        <f t="shared" si="300"/>
        <v>453600.00000000012</v>
      </c>
      <c r="GX22" s="424">
        <f t="shared" si="301"/>
        <v>957391127.57531297</v>
      </c>
      <c r="GZ22" s="424"/>
      <c r="HA22" s="430">
        <v>7.0000000000000007E-2</v>
      </c>
      <c r="HB22" s="424">
        <f t="shared" si="363"/>
        <v>700.00000000000011</v>
      </c>
      <c r="HC22" s="433">
        <f t="shared" si="387"/>
        <v>0.75</v>
      </c>
      <c r="HD22" s="424">
        <f t="shared" si="364"/>
        <v>525.00000000000011</v>
      </c>
      <c r="HE22" s="423">
        <v>1</v>
      </c>
      <c r="HF22" s="424">
        <f t="shared" si="302"/>
        <v>525.00000000000011</v>
      </c>
      <c r="HG22" s="431">
        <f t="shared" si="365"/>
        <v>1</v>
      </c>
      <c r="HH22" s="424">
        <f t="shared" si="303"/>
        <v>525.00000000000011</v>
      </c>
      <c r="HI22" s="424">
        <f t="shared" si="388"/>
        <v>3</v>
      </c>
      <c r="HJ22" s="424">
        <f t="shared" si="366"/>
        <v>2216.1831656835943</v>
      </c>
      <c r="HK22" s="424">
        <f t="shared" si="304"/>
        <v>3490488.4859516616</v>
      </c>
      <c r="HL22" s="423">
        <f t="shared" si="305"/>
        <v>6</v>
      </c>
      <c r="HM22" s="424">
        <f t="shared" si="306"/>
        <v>3</v>
      </c>
      <c r="HN22" s="432">
        <f t="shared" si="307"/>
        <v>3150.0000000000009</v>
      </c>
      <c r="HO22" s="424">
        <f t="shared" si="308"/>
        <v>20942930.915709972</v>
      </c>
      <c r="HP22" s="423">
        <f t="shared" si="309"/>
        <v>24</v>
      </c>
      <c r="HQ22" s="424">
        <f t="shared" si="310"/>
        <v>3</v>
      </c>
      <c r="HR22" s="432">
        <f t="shared" si="311"/>
        <v>37800.000000000015</v>
      </c>
      <c r="HS22" s="424">
        <f t="shared" si="312"/>
        <v>83771723.662839904</v>
      </c>
      <c r="HT22" s="423">
        <f t="shared" si="313"/>
        <v>288</v>
      </c>
      <c r="HU22" s="424">
        <f t="shared" si="314"/>
        <v>3</v>
      </c>
      <c r="HV22" s="432">
        <f t="shared" si="315"/>
        <v>453600.00000000012</v>
      </c>
      <c r="HW22" s="424">
        <f t="shared" si="316"/>
        <v>1005260683.9540787</v>
      </c>
      <c r="HY22" s="424"/>
      <c r="HZ22" s="430">
        <v>7.0000000000000007E-2</v>
      </c>
      <c r="IA22" s="424">
        <f t="shared" si="367"/>
        <v>700.00000000000011</v>
      </c>
      <c r="IB22" s="433">
        <f t="shared" si="389"/>
        <v>0.75</v>
      </c>
      <c r="IC22" s="424">
        <f t="shared" si="368"/>
        <v>525.00000000000011</v>
      </c>
      <c r="ID22" s="423">
        <v>1</v>
      </c>
      <c r="IE22" s="424">
        <f t="shared" si="317"/>
        <v>525.00000000000011</v>
      </c>
      <c r="IF22" s="431">
        <f t="shared" si="369"/>
        <v>1</v>
      </c>
      <c r="IG22" s="424">
        <f t="shared" si="318"/>
        <v>525.00000000000011</v>
      </c>
      <c r="IH22" s="424">
        <f t="shared" si="390"/>
        <v>3</v>
      </c>
      <c r="II22" s="424">
        <f t="shared" si="370"/>
        <v>2326.9923239677742</v>
      </c>
      <c r="IJ22" s="424">
        <f t="shared" si="319"/>
        <v>3665012.9102492449</v>
      </c>
      <c r="IK22" s="423">
        <f t="shared" si="320"/>
        <v>6</v>
      </c>
      <c r="IL22" s="424">
        <f t="shared" si="321"/>
        <v>3</v>
      </c>
      <c r="IM22" s="432">
        <f t="shared" si="322"/>
        <v>3150.0000000000009</v>
      </c>
      <c r="IN22" s="424">
        <f t="shared" si="323"/>
        <v>21990077.461495474</v>
      </c>
      <c r="IO22" s="423">
        <f t="shared" si="324"/>
        <v>24</v>
      </c>
      <c r="IP22" s="424">
        <f t="shared" si="325"/>
        <v>3</v>
      </c>
      <c r="IQ22" s="432">
        <f t="shared" si="326"/>
        <v>37800.000000000015</v>
      </c>
      <c r="IR22" s="424">
        <f t="shared" si="327"/>
        <v>87960309.845981896</v>
      </c>
      <c r="IS22" s="423">
        <f t="shared" si="328"/>
        <v>288</v>
      </c>
      <c r="IT22" s="424">
        <f t="shared" si="329"/>
        <v>3</v>
      </c>
      <c r="IU22" s="432">
        <f t="shared" si="330"/>
        <v>453600.00000000012</v>
      </c>
      <c r="IV22" s="424">
        <f t="shared" si="331"/>
        <v>1055523718.1517826</v>
      </c>
    </row>
    <row r="23" spans="2:256" x14ac:dyDescent="0.25">
      <c r="B23" s="422">
        <v>3</v>
      </c>
      <c r="C23" s="422">
        <v>8</v>
      </c>
      <c r="D23" s="422" t="s">
        <v>82</v>
      </c>
      <c r="E23" s="419"/>
      <c r="F23" s="423" t="s">
        <v>99</v>
      </c>
      <c r="G23" s="423" t="str">
        <f>D23</f>
        <v>10pm - 6am</v>
      </c>
      <c r="H23" s="424">
        <f>H16</f>
        <v>2000</v>
      </c>
      <c r="I23" s="425">
        <v>0.1</v>
      </c>
      <c r="J23" s="426">
        <f t="shared" ref="J23" si="391">H23*I23</f>
        <v>200</v>
      </c>
      <c r="K23" s="425"/>
      <c r="L23" s="426"/>
      <c r="M23" s="427">
        <v>1</v>
      </c>
      <c r="N23" s="426">
        <f t="shared" si="172"/>
        <v>200</v>
      </c>
      <c r="O23" s="428"/>
      <c r="P23" s="426"/>
      <c r="Q23" s="426"/>
      <c r="R23" s="426"/>
      <c r="S23" s="426">
        <f>SUM(S17:S22)/N16</f>
        <v>4500</v>
      </c>
      <c r="T23" s="427"/>
      <c r="U23" s="426"/>
      <c r="V23" s="429"/>
      <c r="W23" s="426"/>
      <c r="X23" s="427"/>
      <c r="Y23" s="426"/>
      <c r="Z23" s="429"/>
      <c r="AA23" s="426"/>
      <c r="AB23" s="427"/>
      <c r="AC23" s="426"/>
      <c r="AD23" s="429"/>
      <c r="AE23" s="426"/>
      <c r="AG23" s="424">
        <f>AG16</f>
        <v>4000</v>
      </c>
      <c r="AH23" s="425">
        <v>0.1</v>
      </c>
      <c r="AI23" s="426">
        <f t="shared" ref="AI23" si="392">AG23*AH23</f>
        <v>400</v>
      </c>
      <c r="AJ23" s="425"/>
      <c r="AK23" s="426"/>
      <c r="AL23" s="427">
        <v>1</v>
      </c>
      <c r="AM23" s="426">
        <f t="shared" ref="AM23" si="393">AI23*AL23</f>
        <v>400</v>
      </c>
      <c r="AN23" s="428"/>
      <c r="AO23" s="426"/>
      <c r="AP23" s="426"/>
      <c r="AQ23" s="426"/>
      <c r="AR23" s="426">
        <f>SUM(AR17:AR22)/3000</f>
        <v>4725</v>
      </c>
      <c r="AS23" s="427"/>
      <c r="AT23" s="426"/>
      <c r="AU23" s="429"/>
      <c r="AV23" s="426"/>
      <c r="AW23" s="427"/>
      <c r="AX23" s="426"/>
      <c r="AY23" s="429"/>
      <c r="AZ23" s="426"/>
      <c r="BA23" s="427"/>
      <c r="BB23" s="426"/>
      <c r="BC23" s="429"/>
      <c r="BD23" s="426"/>
      <c r="BF23" s="424">
        <f>BF16</f>
        <v>6000</v>
      </c>
      <c r="BG23" s="425">
        <v>0.1</v>
      </c>
      <c r="BH23" s="426">
        <f t="shared" ref="BH23" si="394">BF23*BG23</f>
        <v>600</v>
      </c>
      <c r="BI23" s="425"/>
      <c r="BJ23" s="426"/>
      <c r="BK23" s="427">
        <v>1</v>
      </c>
      <c r="BL23" s="426">
        <f t="shared" ref="BL23" si="395">BH23*BK23</f>
        <v>600</v>
      </c>
      <c r="BM23" s="428"/>
      <c r="BN23" s="426"/>
      <c r="BO23" s="426"/>
      <c r="BP23" s="426"/>
      <c r="BQ23" s="426"/>
      <c r="BR23" s="427"/>
      <c r="BS23" s="426"/>
      <c r="BT23" s="429"/>
      <c r="BU23" s="426"/>
      <c r="BV23" s="427"/>
      <c r="BW23" s="426"/>
      <c r="BX23" s="429"/>
      <c r="BY23" s="426"/>
      <c r="BZ23" s="427"/>
      <c r="CA23" s="426"/>
      <c r="CB23" s="429"/>
      <c r="CC23" s="426"/>
      <c r="CE23" s="424">
        <f>CE16</f>
        <v>8000</v>
      </c>
      <c r="CF23" s="425">
        <v>0.1</v>
      </c>
      <c r="CG23" s="426">
        <f t="shared" ref="CG23" si="396">CE23*CF23</f>
        <v>800</v>
      </c>
      <c r="CH23" s="425"/>
      <c r="CI23" s="426"/>
      <c r="CJ23" s="427">
        <v>1</v>
      </c>
      <c r="CK23" s="426">
        <f t="shared" ref="CK23" si="397">CG23*CJ23</f>
        <v>800</v>
      </c>
      <c r="CL23" s="428"/>
      <c r="CM23" s="426"/>
      <c r="CN23" s="426"/>
      <c r="CO23" s="426"/>
      <c r="CP23" s="426"/>
      <c r="CQ23" s="427"/>
      <c r="CR23" s="426"/>
      <c r="CS23" s="429"/>
      <c r="CT23" s="426"/>
      <c r="CU23" s="427"/>
      <c r="CV23" s="426"/>
      <c r="CW23" s="429"/>
      <c r="CX23" s="426"/>
      <c r="CY23" s="427"/>
      <c r="CZ23" s="426"/>
      <c r="DA23" s="429"/>
      <c r="DB23" s="426"/>
      <c r="DD23" s="424">
        <f>DD16</f>
        <v>10000</v>
      </c>
      <c r="DE23" s="425">
        <v>0.1</v>
      </c>
      <c r="DF23" s="426">
        <f t="shared" ref="DF23" si="398">DD23*DE23</f>
        <v>1000</v>
      </c>
      <c r="DG23" s="425"/>
      <c r="DH23" s="426"/>
      <c r="DI23" s="427">
        <v>1</v>
      </c>
      <c r="DJ23" s="426">
        <f t="shared" ref="DJ23" si="399">DF23*DI23</f>
        <v>1000</v>
      </c>
      <c r="DK23" s="428"/>
      <c r="DL23" s="426"/>
      <c r="DM23" s="426"/>
      <c r="DN23" s="426"/>
      <c r="DO23" s="426"/>
      <c r="DP23" s="427"/>
      <c r="DQ23" s="426"/>
      <c r="DR23" s="429"/>
      <c r="DS23" s="426"/>
      <c r="DT23" s="427"/>
      <c r="DU23" s="426"/>
      <c r="DV23" s="429"/>
      <c r="DW23" s="426"/>
      <c r="DX23" s="427"/>
      <c r="DY23" s="426"/>
      <c r="DZ23" s="429"/>
      <c r="EA23" s="426"/>
      <c r="EC23" s="424">
        <f>EC16</f>
        <v>10000</v>
      </c>
      <c r="ED23" s="425">
        <v>0.1</v>
      </c>
      <c r="EE23" s="426">
        <f t="shared" ref="EE23" si="400">EC23*ED23</f>
        <v>1000</v>
      </c>
      <c r="EF23" s="425"/>
      <c r="EG23" s="426"/>
      <c r="EH23" s="427">
        <v>1</v>
      </c>
      <c r="EI23" s="426">
        <f t="shared" ref="EI23" si="401">EE23*EH23</f>
        <v>1000</v>
      </c>
      <c r="EJ23" s="428"/>
      <c r="EK23" s="426"/>
      <c r="EL23" s="426"/>
      <c r="EM23" s="426"/>
      <c r="EN23" s="426"/>
      <c r="EO23" s="427"/>
      <c r="EP23" s="426"/>
      <c r="EQ23" s="429"/>
      <c r="ER23" s="426"/>
      <c r="ES23" s="427"/>
      <c r="ET23" s="426"/>
      <c r="EU23" s="429"/>
      <c r="EV23" s="426"/>
      <c r="EW23" s="427"/>
      <c r="EX23" s="426"/>
      <c r="EY23" s="429"/>
      <c r="EZ23" s="426"/>
      <c r="FB23" s="424">
        <f>FB16</f>
        <v>10000</v>
      </c>
      <c r="FC23" s="425">
        <v>0.1</v>
      </c>
      <c r="FD23" s="426">
        <f t="shared" ref="FD23" si="402">FB23*FC23</f>
        <v>1000</v>
      </c>
      <c r="FE23" s="425"/>
      <c r="FF23" s="426"/>
      <c r="FG23" s="427">
        <v>1</v>
      </c>
      <c r="FH23" s="426">
        <f t="shared" ref="FH23" si="403">FD23*FG23</f>
        <v>1000</v>
      </c>
      <c r="FI23" s="428"/>
      <c r="FJ23" s="426"/>
      <c r="FK23" s="426"/>
      <c r="FL23" s="426"/>
      <c r="FM23" s="426"/>
      <c r="FN23" s="427"/>
      <c r="FO23" s="426"/>
      <c r="FP23" s="429"/>
      <c r="FQ23" s="426"/>
      <c r="FR23" s="427"/>
      <c r="FS23" s="426"/>
      <c r="FT23" s="429"/>
      <c r="FU23" s="426"/>
      <c r="FV23" s="427"/>
      <c r="FW23" s="426"/>
      <c r="FX23" s="429"/>
      <c r="FY23" s="426"/>
      <c r="GA23" s="424">
        <f>GA16</f>
        <v>10000</v>
      </c>
      <c r="GB23" s="425">
        <v>0.1</v>
      </c>
      <c r="GC23" s="426">
        <f t="shared" ref="GC23" si="404">GA23*GB23</f>
        <v>1000</v>
      </c>
      <c r="GD23" s="425"/>
      <c r="GE23" s="426"/>
      <c r="GF23" s="427">
        <v>1</v>
      </c>
      <c r="GG23" s="426">
        <f t="shared" ref="GG23" si="405">GC23*GF23</f>
        <v>1000</v>
      </c>
      <c r="GH23" s="428"/>
      <c r="GI23" s="426"/>
      <c r="GJ23" s="426"/>
      <c r="GK23" s="426"/>
      <c r="GL23" s="426"/>
      <c r="GM23" s="427"/>
      <c r="GN23" s="426"/>
      <c r="GO23" s="429"/>
      <c r="GP23" s="426"/>
      <c r="GQ23" s="427"/>
      <c r="GR23" s="426"/>
      <c r="GS23" s="429"/>
      <c r="GT23" s="426"/>
      <c r="GU23" s="427"/>
      <c r="GV23" s="426"/>
      <c r="GW23" s="429"/>
      <c r="GX23" s="426"/>
      <c r="GZ23" s="424">
        <f>GZ16</f>
        <v>10000</v>
      </c>
      <c r="HA23" s="425">
        <v>0.1</v>
      </c>
      <c r="HB23" s="426">
        <f t="shared" ref="HB23" si="406">GZ23*HA23</f>
        <v>1000</v>
      </c>
      <c r="HC23" s="425"/>
      <c r="HD23" s="426"/>
      <c r="HE23" s="427">
        <v>1</v>
      </c>
      <c r="HF23" s="426">
        <f t="shared" ref="HF23" si="407">HB23*HE23</f>
        <v>1000</v>
      </c>
      <c r="HG23" s="428"/>
      <c r="HH23" s="426"/>
      <c r="HI23" s="426"/>
      <c r="HJ23" s="426"/>
      <c r="HK23" s="426"/>
      <c r="HL23" s="427"/>
      <c r="HM23" s="426"/>
      <c r="HN23" s="429"/>
      <c r="HO23" s="426"/>
      <c r="HP23" s="427"/>
      <c r="HQ23" s="426"/>
      <c r="HR23" s="429"/>
      <c r="HS23" s="426"/>
      <c r="HT23" s="427"/>
      <c r="HU23" s="426"/>
      <c r="HV23" s="429"/>
      <c r="HW23" s="426"/>
      <c r="HY23" s="424">
        <f>HY16</f>
        <v>10000</v>
      </c>
      <c r="HZ23" s="425">
        <v>0.1</v>
      </c>
      <c r="IA23" s="426">
        <f t="shared" ref="IA23" si="408">HY23*HZ23</f>
        <v>1000</v>
      </c>
      <c r="IB23" s="425"/>
      <c r="IC23" s="426"/>
      <c r="ID23" s="427">
        <v>1</v>
      </c>
      <c r="IE23" s="426">
        <f t="shared" ref="IE23" si="409">IA23*ID23</f>
        <v>1000</v>
      </c>
      <c r="IF23" s="428"/>
      <c r="IG23" s="426"/>
      <c r="IH23" s="426"/>
      <c r="II23" s="426"/>
      <c r="IJ23" s="426"/>
      <c r="IK23" s="427"/>
      <c r="IL23" s="426"/>
      <c r="IM23" s="429"/>
      <c r="IN23" s="426"/>
      <c r="IO23" s="427"/>
      <c r="IP23" s="426"/>
      <c r="IQ23" s="429"/>
      <c r="IR23" s="426"/>
      <c r="IS23" s="427"/>
      <c r="IT23" s="426"/>
      <c r="IU23" s="429"/>
      <c r="IV23" s="426"/>
    </row>
    <row r="24" spans="2:256" x14ac:dyDescent="0.25">
      <c r="B24" s="422"/>
      <c r="C24" s="422"/>
      <c r="D24" s="422"/>
      <c r="E24" s="419" t="s">
        <v>143</v>
      </c>
      <c r="F24" s="423"/>
      <c r="G24" s="423"/>
      <c r="H24" s="424"/>
      <c r="I24" s="430">
        <v>0.21</v>
      </c>
      <c r="J24" s="424">
        <f>I24*H$23</f>
        <v>420</v>
      </c>
      <c r="K24" s="430">
        <v>0.1</v>
      </c>
      <c r="L24" s="424">
        <f>J24*K24</f>
        <v>42</v>
      </c>
      <c r="M24" s="423">
        <v>1</v>
      </c>
      <c r="N24" s="424">
        <f>L24*M24</f>
        <v>42</v>
      </c>
      <c r="O24" s="431">
        <f>'Parameters and Summary'!E74</f>
        <v>1</v>
      </c>
      <c r="P24" s="424">
        <f t="shared" ref="P24:P29" si="410">N24*O24</f>
        <v>42</v>
      </c>
      <c r="Q24" s="424">
        <v>1</v>
      </c>
      <c r="R24" s="424">
        <f>R17</f>
        <v>1500</v>
      </c>
      <c r="S24" s="424">
        <f t="shared" ref="S24:S29" si="411">R24*P24*Q24</f>
        <v>63000</v>
      </c>
      <c r="T24" s="423">
        <f t="shared" ref="T24:T29" si="412">T17</f>
        <v>6</v>
      </c>
      <c r="U24" s="424">
        <f t="shared" ref="U24:U29" si="413">Q24</f>
        <v>1</v>
      </c>
      <c r="V24" s="432">
        <f t="shared" ref="V24:V29" si="414">T24*P24</f>
        <v>252</v>
      </c>
      <c r="W24" s="424">
        <f t="shared" ref="W24:W29" si="415">V24*R24*U24</f>
        <v>378000</v>
      </c>
      <c r="X24" s="423">
        <f t="shared" ref="X24:X29" si="416">X17</f>
        <v>24</v>
      </c>
      <c r="Y24" s="424">
        <f t="shared" ref="Y24:Y29" si="417">U24</f>
        <v>1</v>
      </c>
      <c r="Z24" s="432">
        <f t="shared" ref="Z24:Z29" si="418">X24*P24*Y24</f>
        <v>1008</v>
      </c>
      <c r="AA24" s="424">
        <f t="shared" ref="AA24:AA29" si="419">Z24*R24</f>
        <v>1512000</v>
      </c>
      <c r="AB24" s="423">
        <f t="shared" ref="AB24:AB29" si="420">AB17</f>
        <v>288</v>
      </c>
      <c r="AC24" s="424">
        <f t="shared" ref="AC24:AC29" si="421">Y24</f>
        <v>1</v>
      </c>
      <c r="AD24" s="432">
        <f t="shared" ref="AD24:AD29" si="422">AB24*P24*AC24</f>
        <v>12096</v>
      </c>
      <c r="AE24" s="424">
        <f t="shared" ref="AE24:AE29" si="423">AD24*R24</f>
        <v>18144000</v>
      </c>
      <c r="AG24" s="424"/>
      <c r="AH24" s="430">
        <v>0.21</v>
      </c>
      <c r="AI24" s="424">
        <f>AH24*AG$23</f>
        <v>840</v>
      </c>
      <c r="AJ24" s="430">
        <v>0.1</v>
      </c>
      <c r="AK24" s="424">
        <f>AI24*AJ24</f>
        <v>84</v>
      </c>
      <c r="AL24" s="423">
        <v>1</v>
      </c>
      <c r="AM24" s="424">
        <f>AK24*AL24</f>
        <v>84</v>
      </c>
      <c r="AN24" s="431">
        <f t="shared" ref="AN24:AN29" si="424">AN17</f>
        <v>1</v>
      </c>
      <c r="AO24" s="424">
        <f t="shared" ref="AO24:AO29" si="425">AM24*AN24</f>
        <v>84</v>
      </c>
      <c r="AP24" s="424">
        <v>1</v>
      </c>
      <c r="AQ24" s="424">
        <f>AQ17</f>
        <v>1575</v>
      </c>
      <c r="AR24" s="424">
        <f t="shared" ref="AR24:AR29" si="426">AQ24*AO24*AP24</f>
        <v>132300</v>
      </c>
      <c r="AS24" s="423">
        <f t="shared" ref="AS24:AS29" si="427">AS17</f>
        <v>6</v>
      </c>
      <c r="AT24" s="424">
        <f t="shared" ref="AT24:AT29" si="428">AP24</f>
        <v>1</v>
      </c>
      <c r="AU24" s="432">
        <f t="shared" ref="AU24:AU29" si="429">AS24*AO24</f>
        <v>504</v>
      </c>
      <c r="AV24" s="424">
        <f t="shared" ref="AV24:AV29" si="430">AU24*AQ24*AT24</f>
        <v>793800</v>
      </c>
      <c r="AW24" s="423">
        <f t="shared" ref="AW24:AW29" si="431">AW17</f>
        <v>24</v>
      </c>
      <c r="AX24" s="424">
        <f t="shared" ref="AX24:AX29" si="432">AT24</f>
        <v>1</v>
      </c>
      <c r="AY24" s="432">
        <f t="shared" ref="AY24:AY29" si="433">AW24*AO24*AX24</f>
        <v>2016</v>
      </c>
      <c r="AZ24" s="424">
        <f t="shared" ref="AZ24:AZ29" si="434">AY24*AQ24</f>
        <v>3175200</v>
      </c>
      <c r="BA24" s="423">
        <f t="shared" ref="BA24:BA29" si="435">BA17</f>
        <v>288</v>
      </c>
      <c r="BB24" s="424">
        <f t="shared" ref="BB24:BB29" si="436">AX24</f>
        <v>1</v>
      </c>
      <c r="BC24" s="432">
        <f t="shared" ref="BC24:BC29" si="437">BA24*AO24*BB24</f>
        <v>24192</v>
      </c>
      <c r="BD24" s="424">
        <f t="shared" ref="BD24:BD29" si="438">BC24*AQ24</f>
        <v>38102400</v>
      </c>
      <c r="BF24" s="424"/>
      <c r="BG24" s="430">
        <v>0.21</v>
      </c>
      <c r="BH24" s="424">
        <f>BG24*BF$23</f>
        <v>1260</v>
      </c>
      <c r="BI24" s="430">
        <v>0.1</v>
      </c>
      <c r="BJ24" s="424">
        <f>BH24*BI24</f>
        <v>126</v>
      </c>
      <c r="BK24" s="423">
        <v>1</v>
      </c>
      <c r="BL24" s="424">
        <f>BJ24*BK24</f>
        <v>126</v>
      </c>
      <c r="BM24" s="431">
        <f t="shared" ref="BM24:BM29" si="439">BM17</f>
        <v>1</v>
      </c>
      <c r="BN24" s="424">
        <f t="shared" ref="BN24:BN29" si="440">BL24*BM24</f>
        <v>126</v>
      </c>
      <c r="BO24" s="424">
        <v>1</v>
      </c>
      <c r="BP24" s="424">
        <f>BP17</f>
        <v>1653.75</v>
      </c>
      <c r="BQ24" s="424">
        <f t="shared" ref="BQ24:BQ29" si="441">BP24*BN24*BO24</f>
        <v>208372.5</v>
      </c>
      <c r="BR24" s="423">
        <f t="shared" ref="BR24:BR29" si="442">BR17</f>
        <v>6</v>
      </c>
      <c r="BS24" s="424">
        <f t="shared" ref="BS24:BS29" si="443">BO24</f>
        <v>1</v>
      </c>
      <c r="BT24" s="432">
        <f t="shared" ref="BT24:BT29" si="444">BR24*BN24</f>
        <v>756</v>
      </c>
      <c r="BU24" s="424">
        <f t="shared" ref="BU24:BU29" si="445">BT24*BP24*BS24</f>
        <v>1250235</v>
      </c>
      <c r="BV24" s="423">
        <f t="shared" ref="BV24:BV29" si="446">BV17</f>
        <v>24</v>
      </c>
      <c r="BW24" s="424">
        <f t="shared" ref="BW24:BW29" si="447">BS24</f>
        <v>1</v>
      </c>
      <c r="BX24" s="432">
        <f t="shared" ref="BX24:BX29" si="448">BV24*BN24*BW24</f>
        <v>3024</v>
      </c>
      <c r="BY24" s="424">
        <f t="shared" ref="BY24:BY29" si="449">BX24*BP24</f>
        <v>5000940</v>
      </c>
      <c r="BZ24" s="423">
        <f t="shared" ref="BZ24:BZ29" si="450">BZ17</f>
        <v>288</v>
      </c>
      <c r="CA24" s="424">
        <f t="shared" ref="CA24:CA29" si="451">BW24</f>
        <v>1</v>
      </c>
      <c r="CB24" s="432">
        <f t="shared" ref="CB24:CB29" si="452">BZ24*BN24*CA24</f>
        <v>36288</v>
      </c>
      <c r="CC24" s="424">
        <f t="shared" ref="CC24:CC29" si="453">CB24*BP24</f>
        <v>60011280</v>
      </c>
      <c r="CE24" s="424"/>
      <c r="CF24" s="430">
        <v>0.21</v>
      </c>
      <c r="CG24" s="424">
        <f>CF24*CE$23</f>
        <v>1680</v>
      </c>
      <c r="CH24" s="430">
        <v>0.1</v>
      </c>
      <c r="CI24" s="424">
        <f>CG24*CH24</f>
        <v>168</v>
      </c>
      <c r="CJ24" s="423">
        <v>1</v>
      </c>
      <c r="CK24" s="424">
        <f>CI24*CJ24</f>
        <v>168</v>
      </c>
      <c r="CL24" s="431">
        <f t="shared" ref="CL24:CL29" si="454">CL17</f>
        <v>1</v>
      </c>
      <c r="CM24" s="424">
        <f t="shared" ref="CM24:CM29" si="455">CK24*CL24</f>
        <v>168</v>
      </c>
      <c r="CN24" s="424">
        <v>1</v>
      </c>
      <c r="CO24" s="424">
        <f>CO17</f>
        <v>1736.4375</v>
      </c>
      <c r="CP24" s="424">
        <f t="shared" ref="CP24:CP29" si="456">CO24*CM24*CN24</f>
        <v>291721.5</v>
      </c>
      <c r="CQ24" s="423">
        <f t="shared" ref="CQ24:CQ29" si="457">CQ17</f>
        <v>6</v>
      </c>
      <c r="CR24" s="424">
        <f t="shared" ref="CR24:CR29" si="458">CN24</f>
        <v>1</v>
      </c>
      <c r="CS24" s="432">
        <f t="shared" ref="CS24:CS29" si="459">CQ24*CM24</f>
        <v>1008</v>
      </c>
      <c r="CT24" s="424">
        <f t="shared" ref="CT24:CT29" si="460">CS24*CO24*CR24</f>
        <v>1750329</v>
      </c>
      <c r="CU24" s="423">
        <f t="shared" ref="CU24:CU29" si="461">CU17</f>
        <v>24</v>
      </c>
      <c r="CV24" s="424">
        <f t="shared" ref="CV24:CV29" si="462">CR24</f>
        <v>1</v>
      </c>
      <c r="CW24" s="432">
        <f t="shared" ref="CW24:CW29" si="463">CU24*CM24*CV24</f>
        <v>4032</v>
      </c>
      <c r="CX24" s="424">
        <f t="shared" ref="CX24:CX29" si="464">CW24*CO24</f>
        <v>7001316</v>
      </c>
      <c r="CY24" s="423">
        <f t="shared" ref="CY24:CY29" si="465">CY17</f>
        <v>288</v>
      </c>
      <c r="CZ24" s="424">
        <f t="shared" ref="CZ24:CZ29" si="466">CV24</f>
        <v>1</v>
      </c>
      <c r="DA24" s="432">
        <f t="shared" ref="DA24:DA29" si="467">CY24*CM24*CZ24</f>
        <v>48384</v>
      </c>
      <c r="DB24" s="424">
        <f t="shared" ref="DB24:DB29" si="468">DA24*CO24</f>
        <v>84015792</v>
      </c>
      <c r="DD24" s="424"/>
      <c r="DE24" s="430">
        <v>0.21</v>
      </c>
      <c r="DF24" s="424">
        <f>DE24*DD$23</f>
        <v>2100</v>
      </c>
      <c r="DG24" s="430">
        <v>0.1</v>
      </c>
      <c r="DH24" s="424">
        <f>DF24*DG24</f>
        <v>210</v>
      </c>
      <c r="DI24" s="423">
        <v>1</v>
      </c>
      <c r="DJ24" s="424">
        <f>DH24*DI24</f>
        <v>210</v>
      </c>
      <c r="DK24" s="431">
        <f t="shared" ref="DK24:DK29" si="469">DK17</f>
        <v>1</v>
      </c>
      <c r="DL24" s="424">
        <f t="shared" ref="DL24:DL29" si="470">DJ24*DK24</f>
        <v>210</v>
      </c>
      <c r="DM24" s="424">
        <v>1</v>
      </c>
      <c r="DN24" s="424">
        <f>DN17</f>
        <v>1823.2593750000001</v>
      </c>
      <c r="DO24" s="424">
        <f t="shared" ref="DO24:DO29" si="471">DN24*DL24*DM24</f>
        <v>382884.46875</v>
      </c>
      <c r="DP24" s="423">
        <f t="shared" ref="DP24:DP29" si="472">DP17</f>
        <v>6</v>
      </c>
      <c r="DQ24" s="424">
        <f t="shared" ref="DQ24:DQ29" si="473">DM24</f>
        <v>1</v>
      </c>
      <c r="DR24" s="432">
        <f t="shared" ref="DR24:DR29" si="474">DP24*DL24</f>
        <v>1260</v>
      </c>
      <c r="DS24" s="424">
        <f t="shared" ref="DS24:DS29" si="475">DR24*DN24*DQ24</f>
        <v>2297306.8125</v>
      </c>
      <c r="DT24" s="423">
        <f t="shared" ref="DT24:DT29" si="476">DT17</f>
        <v>24</v>
      </c>
      <c r="DU24" s="424">
        <f t="shared" ref="DU24:DU29" si="477">DQ24</f>
        <v>1</v>
      </c>
      <c r="DV24" s="432">
        <f t="shared" ref="DV24:DV29" si="478">DT24*DL24*DU24</f>
        <v>5040</v>
      </c>
      <c r="DW24" s="424">
        <f t="shared" ref="DW24:DW29" si="479">DV24*DN24</f>
        <v>9189227.25</v>
      </c>
      <c r="DX24" s="423">
        <f t="shared" ref="DX24:DX29" si="480">DX17</f>
        <v>288</v>
      </c>
      <c r="DY24" s="424">
        <f t="shared" ref="DY24:DY29" si="481">DU24</f>
        <v>1</v>
      </c>
      <c r="DZ24" s="432">
        <f t="shared" ref="DZ24:DZ29" si="482">DX24*DL24*DY24</f>
        <v>60480</v>
      </c>
      <c r="EA24" s="424">
        <f t="shared" ref="EA24:EA29" si="483">DZ24*DN24</f>
        <v>110270727</v>
      </c>
      <c r="EC24" s="424"/>
      <c r="ED24" s="430">
        <v>0.21</v>
      </c>
      <c r="EE24" s="424">
        <f>ED24*EC$23</f>
        <v>2100</v>
      </c>
      <c r="EF24" s="430">
        <v>0.1</v>
      </c>
      <c r="EG24" s="424">
        <f>EE24*EF24</f>
        <v>210</v>
      </c>
      <c r="EH24" s="423">
        <v>1</v>
      </c>
      <c r="EI24" s="424">
        <f>EG24*EH24</f>
        <v>210</v>
      </c>
      <c r="EJ24" s="431">
        <f t="shared" ref="EJ24:EJ29" si="484">EJ17</f>
        <v>1</v>
      </c>
      <c r="EK24" s="424">
        <f t="shared" ref="EK24:EK29" si="485">EI24*EJ24</f>
        <v>210</v>
      </c>
      <c r="EL24" s="424">
        <v>1</v>
      </c>
      <c r="EM24" s="424">
        <f>EM17</f>
        <v>1914.4223437500002</v>
      </c>
      <c r="EN24" s="424">
        <f t="shared" ref="EN24:EN29" si="486">EM24*EK24*EL24</f>
        <v>402028.69218750007</v>
      </c>
      <c r="EO24" s="423">
        <f t="shared" ref="EO24:EO29" si="487">EO17</f>
        <v>6</v>
      </c>
      <c r="EP24" s="424">
        <f t="shared" ref="EP24:EP29" si="488">EL24</f>
        <v>1</v>
      </c>
      <c r="EQ24" s="432">
        <f t="shared" ref="EQ24:EQ29" si="489">EO24*EK24</f>
        <v>1260</v>
      </c>
      <c r="ER24" s="424">
        <f t="shared" ref="ER24:ER29" si="490">EQ24*EM24*EP24</f>
        <v>2412172.1531250002</v>
      </c>
      <c r="ES24" s="423">
        <f t="shared" ref="ES24:ES29" si="491">ES17</f>
        <v>24</v>
      </c>
      <c r="ET24" s="424">
        <f t="shared" ref="ET24:ET29" si="492">EP24</f>
        <v>1</v>
      </c>
      <c r="EU24" s="432">
        <f t="shared" ref="EU24:EU29" si="493">ES24*EK24*ET24</f>
        <v>5040</v>
      </c>
      <c r="EV24" s="424">
        <f t="shared" ref="EV24:EV29" si="494">EU24*EM24</f>
        <v>9648688.6125000007</v>
      </c>
      <c r="EW24" s="423">
        <f t="shared" ref="EW24:EW29" si="495">EW17</f>
        <v>288</v>
      </c>
      <c r="EX24" s="424">
        <f t="shared" ref="EX24:EX29" si="496">ET24</f>
        <v>1</v>
      </c>
      <c r="EY24" s="432">
        <f t="shared" ref="EY24:EY29" si="497">EW24*EK24*EX24</f>
        <v>60480</v>
      </c>
      <c r="EZ24" s="424">
        <f t="shared" ref="EZ24:EZ29" si="498">EY24*EM24</f>
        <v>115784263.35000001</v>
      </c>
      <c r="FB24" s="424"/>
      <c r="FC24" s="430">
        <v>0.21</v>
      </c>
      <c r="FD24" s="424">
        <f>FC24*FB$23</f>
        <v>2100</v>
      </c>
      <c r="FE24" s="430">
        <v>0.1</v>
      </c>
      <c r="FF24" s="424">
        <f>FD24*FE24</f>
        <v>210</v>
      </c>
      <c r="FG24" s="423">
        <v>1</v>
      </c>
      <c r="FH24" s="424">
        <f>FF24*FG24</f>
        <v>210</v>
      </c>
      <c r="FI24" s="431">
        <f t="shared" ref="FI24:FI29" si="499">FI17</f>
        <v>1</v>
      </c>
      <c r="FJ24" s="424">
        <f t="shared" ref="FJ24:FJ29" si="500">FH24*FI24</f>
        <v>210</v>
      </c>
      <c r="FK24" s="424">
        <v>1</v>
      </c>
      <c r="FL24" s="424">
        <f>FL17</f>
        <v>2010.1434609375003</v>
      </c>
      <c r="FM24" s="424">
        <f t="shared" ref="FM24:FM29" si="501">FL24*FJ24*FK24</f>
        <v>422130.12679687509</v>
      </c>
      <c r="FN24" s="423">
        <f t="shared" ref="FN24:FN29" si="502">FN17</f>
        <v>6</v>
      </c>
      <c r="FO24" s="424">
        <f t="shared" ref="FO24:FO29" si="503">FK24</f>
        <v>1</v>
      </c>
      <c r="FP24" s="432">
        <f t="shared" ref="FP24:FP29" si="504">FN24*FJ24</f>
        <v>1260</v>
      </c>
      <c r="FQ24" s="424">
        <f t="shared" ref="FQ24:FQ29" si="505">FP24*FL24*FO24</f>
        <v>2532780.7607812504</v>
      </c>
      <c r="FR24" s="423">
        <f t="shared" ref="FR24:FR29" si="506">FR17</f>
        <v>24</v>
      </c>
      <c r="FS24" s="424">
        <f t="shared" ref="FS24:FS29" si="507">FO24</f>
        <v>1</v>
      </c>
      <c r="FT24" s="432">
        <f t="shared" ref="FT24:FT29" si="508">FR24*FJ24*FS24</f>
        <v>5040</v>
      </c>
      <c r="FU24" s="424">
        <f t="shared" ref="FU24:FU29" si="509">FT24*FL24</f>
        <v>10131123.043125002</v>
      </c>
      <c r="FV24" s="423">
        <f t="shared" ref="FV24:FV29" si="510">FV17</f>
        <v>288</v>
      </c>
      <c r="FW24" s="424">
        <f t="shared" ref="FW24:FW29" si="511">FS24</f>
        <v>1</v>
      </c>
      <c r="FX24" s="432">
        <f t="shared" ref="FX24:FX29" si="512">FV24*FJ24*FW24</f>
        <v>60480</v>
      </c>
      <c r="FY24" s="424">
        <f t="shared" ref="FY24:FY29" si="513">FX24*FL24</f>
        <v>121573476.51750001</v>
      </c>
      <c r="GA24" s="424"/>
      <c r="GB24" s="430">
        <v>0.21</v>
      </c>
      <c r="GC24" s="424">
        <f>GB24*GA$23</f>
        <v>2100</v>
      </c>
      <c r="GD24" s="430">
        <v>0.1</v>
      </c>
      <c r="GE24" s="424">
        <f>GC24*GD24</f>
        <v>210</v>
      </c>
      <c r="GF24" s="423">
        <v>1</v>
      </c>
      <c r="GG24" s="424">
        <f>GE24*GF24</f>
        <v>210</v>
      </c>
      <c r="GH24" s="431">
        <f t="shared" ref="GH24:GH29" si="514">GH17</f>
        <v>1</v>
      </c>
      <c r="GI24" s="424">
        <f t="shared" ref="GI24:GI29" si="515">GG24*GH24</f>
        <v>210</v>
      </c>
      <c r="GJ24" s="424">
        <v>1</v>
      </c>
      <c r="GK24" s="424">
        <f>GK17</f>
        <v>2110.6506339843754</v>
      </c>
      <c r="GL24" s="424">
        <f t="shared" ref="GL24:GL29" si="516">GK24*GI24*GJ24</f>
        <v>443236.63313671882</v>
      </c>
      <c r="GM24" s="423">
        <f t="shared" ref="GM24:GM29" si="517">GM17</f>
        <v>6</v>
      </c>
      <c r="GN24" s="424">
        <f t="shared" ref="GN24:GN29" si="518">GJ24</f>
        <v>1</v>
      </c>
      <c r="GO24" s="432">
        <f t="shared" ref="GO24:GO29" si="519">GM24*GI24</f>
        <v>1260</v>
      </c>
      <c r="GP24" s="424">
        <f t="shared" ref="GP24:GP29" si="520">GO24*GK24*GN24</f>
        <v>2659419.7988203131</v>
      </c>
      <c r="GQ24" s="423">
        <f t="shared" ref="GQ24:GQ29" si="521">GQ17</f>
        <v>24</v>
      </c>
      <c r="GR24" s="424">
        <f t="shared" ref="GR24:GR29" si="522">GN24</f>
        <v>1</v>
      </c>
      <c r="GS24" s="432">
        <f t="shared" ref="GS24:GS29" si="523">GQ24*GI24*GR24</f>
        <v>5040</v>
      </c>
      <c r="GT24" s="424">
        <f t="shared" ref="GT24:GT29" si="524">GS24*GK24</f>
        <v>10637679.195281252</v>
      </c>
      <c r="GU24" s="423">
        <f t="shared" ref="GU24:GU29" si="525">GU17</f>
        <v>288</v>
      </c>
      <c r="GV24" s="424">
        <f t="shared" ref="GV24:GV29" si="526">GR24</f>
        <v>1</v>
      </c>
      <c r="GW24" s="432">
        <f t="shared" ref="GW24:GW29" si="527">GU24*GI24*GV24</f>
        <v>60480</v>
      </c>
      <c r="GX24" s="424">
        <f t="shared" ref="GX24:GX29" si="528">GW24*GK24</f>
        <v>127652150.34337503</v>
      </c>
      <c r="GZ24" s="424"/>
      <c r="HA24" s="430">
        <v>0.21</v>
      </c>
      <c r="HB24" s="424">
        <f>HA24*GZ$23</f>
        <v>2100</v>
      </c>
      <c r="HC24" s="430">
        <v>0.1</v>
      </c>
      <c r="HD24" s="424">
        <f>HB24*HC24</f>
        <v>210</v>
      </c>
      <c r="HE24" s="423">
        <v>1</v>
      </c>
      <c r="HF24" s="424">
        <f>HD24*HE24</f>
        <v>210</v>
      </c>
      <c r="HG24" s="431">
        <f t="shared" ref="HG24:HG29" si="529">HG17</f>
        <v>1</v>
      </c>
      <c r="HH24" s="424">
        <f t="shared" ref="HH24:HH29" si="530">HF24*HG24</f>
        <v>210</v>
      </c>
      <c r="HI24" s="424">
        <v>1</v>
      </c>
      <c r="HJ24" s="424">
        <f>HJ17</f>
        <v>2216.1831656835943</v>
      </c>
      <c r="HK24" s="424">
        <f t="shared" ref="HK24:HK29" si="531">HJ24*HH24*HI24</f>
        <v>465398.4647935548</v>
      </c>
      <c r="HL24" s="423">
        <f t="shared" ref="HL24:HL29" si="532">HL17</f>
        <v>6</v>
      </c>
      <c r="HM24" s="424">
        <f t="shared" ref="HM24:HM29" si="533">HI24</f>
        <v>1</v>
      </c>
      <c r="HN24" s="432">
        <f t="shared" ref="HN24:HN29" si="534">HL24*HH24</f>
        <v>1260</v>
      </c>
      <c r="HO24" s="424">
        <f t="shared" ref="HO24:HO29" si="535">HN24*HJ24*HM24</f>
        <v>2792390.7887613289</v>
      </c>
      <c r="HP24" s="423">
        <f t="shared" ref="HP24:HP29" si="536">HP17</f>
        <v>24</v>
      </c>
      <c r="HQ24" s="424">
        <f t="shared" ref="HQ24:HQ29" si="537">HM24</f>
        <v>1</v>
      </c>
      <c r="HR24" s="432">
        <f t="shared" ref="HR24:HR29" si="538">HP24*HH24*HQ24</f>
        <v>5040</v>
      </c>
      <c r="HS24" s="424">
        <f t="shared" ref="HS24:HS29" si="539">HR24*HJ24</f>
        <v>11169563.155045316</v>
      </c>
      <c r="HT24" s="423">
        <f t="shared" ref="HT24:HT29" si="540">HT17</f>
        <v>288</v>
      </c>
      <c r="HU24" s="424">
        <f t="shared" ref="HU24:HU29" si="541">HQ24</f>
        <v>1</v>
      </c>
      <c r="HV24" s="432">
        <f t="shared" ref="HV24:HV29" si="542">HT24*HH24*HU24</f>
        <v>60480</v>
      </c>
      <c r="HW24" s="424">
        <f t="shared" ref="HW24:HW29" si="543">HV24*HJ24</f>
        <v>134034757.86054379</v>
      </c>
      <c r="HY24" s="424"/>
      <c r="HZ24" s="430">
        <v>0.21</v>
      </c>
      <c r="IA24" s="424">
        <f>HZ24*HY$23</f>
        <v>2100</v>
      </c>
      <c r="IB24" s="430">
        <v>0.1</v>
      </c>
      <c r="IC24" s="424">
        <f>IA24*IB24</f>
        <v>210</v>
      </c>
      <c r="ID24" s="423">
        <v>1</v>
      </c>
      <c r="IE24" s="424">
        <f>IC24*ID24</f>
        <v>210</v>
      </c>
      <c r="IF24" s="431">
        <f t="shared" ref="IF24:IF29" si="544">IF17</f>
        <v>1</v>
      </c>
      <c r="IG24" s="424">
        <f t="shared" ref="IG24:IG29" si="545">IE24*IF24</f>
        <v>210</v>
      </c>
      <c r="IH24" s="424">
        <v>1</v>
      </c>
      <c r="II24" s="424">
        <f>II17</f>
        <v>2326.9923239677742</v>
      </c>
      <c r="IJ24" s="424">
        <f t="shared" ref="IJ24:IJ29" si="546">II24*IG24*IH24</f>
        <v>488668.38803323259</v>
      </c>
      <c r="IK24" s="423">
        <f t="shared" ref="IK24:IK29" si="547">IK17</f>
        <v>6</v>
      </c>
      <c r="IL24" s="424">
        <f t="shared" ref="IL24:IL29" si="548">IH24</f>
        <v>1</v>
      </c>
      <c r="IM24" s="432">
        <f t="shared" ref="IM24:IM29" si="549">IK24*IG24</f>
        <v>1260</v>
      </c>
      <c r="IN24" s="424">
        <f t="shared" ref="IN24:IN29" si="550">IM24*II24*IL24</f>
        <v>2932010.3281993954</v>
      </c>
      <c r="IO24" s="423">
        <f t="shared" ref="IO24:IO29" si="551">IO17</f>
        <v>24</v>
      </c>
      <c r="IP24" s="424">
        <f t="shared" ref="IP24:IP29" si="552">IL24</f>
        <v>1</v>
      </c>
      <c r="IQ24" s="432">
        <f t="shared" ref="IQ24:IQ29" si="553">IO24*IG24*IP24</f>
        <v>5040</v>
      </c>
      <c r="IR24" s="424">
        <f t="shared" ref="IR24:IR29" si="554">IQ24*II24</f>
        <v>11728041.312797582</v>
      </c>
      <c r="IS24" s="423">
        <f t="shared" ref="IS24:IS29" si="555">IS17</f>
        <v>288</v>
      </c>
      <c r="IT24" s="424">
        <f t="shared" ref="IT24:IT29" si="556">IP24</f>
        <v>1</v>
      </c>
      <c r="IU24" s="432">
        <f t="shared" ref="IU24:IU29" si="557">IS24*IG24*IT24</f>
        <v>60480</v>
      </c>
      <c r="IV24" s="424">
        <f t="shared" ref="IV24:IV29" si="558">IU24*II24</f>
        <v>140736495.75357097</v>
      </c>
    </row>
    <row r="25" spans="2:256" x14ac:dyDescent="0.25">
      <c r="B25" s="422"/>
      <c r="C25" s="422"/>
      <c r="D25" s="422"/>
      <c r="E25" s="419" t="s">
        <v>144</v>
      </c>
      <c r="F25" s="423"/>
      <c r="G25" s="423"/>
      <c r="H25" s="424"/>
      <c r="I25" s="430">
        <v>0.3</v>
      </c>
      <c r="J25" s="424">
        <f t="shared" ref="J25:J29" si="559">I25*H$23</f>
        <v>600</v>
      </c>
      <c r="K25" s="433">
        <f>K24</f>
        <v>0.1</v>
      </c>
      <c r="L25" s="424">
        <f t="shared" ref="L25:L29" si="560">J25*K25</f>
        <v>60</v>
      </c>
      <c r="M25" s="423">
        <v>1</v>
      </c>
      <c r="N25" s="424">
        <f t="shared" ref="N25:N29" si="561">L25*M25</f>
        <v>60</v>
      </c>
      <c r="O25" s="431">
        <f>'Parameters and Summary'!E75</f>
        <v>1</v>
      </c>
      <c r="P25" s="424">
        <f t="shared" si="410"/>
        <v>60</v>
      </c>
      <c r="Q25" s="424">
        <v>1</v>
      </c>
      <c r="R25" s="424">
        <f t="shared" ref="R25:R29" si="562">R18</f>
        <v>1500</v>
      </c>
      <c r="S25" s="424">
        <f t="shared" si="411"/>
        <v>90000</v>
      </c>
      <c r="T25" s="423">
        <f t="shared" si="412"/>
        <v>6</v>
      </c>
      <c r="U25" s="424">
        <f t="shared" si="413"/>
        <v>1</v>
      </c>
      <c r="V25" s="432">
        <f t="shared" si="414"/>
        <v>360</v>
      </c>
      <c r="W25" s="424">
        <f t="shared" si="415"/>
        <v>540000</v>
      </c>
      <c r="X25" s="423">
        <f t="shared" si="416"/>
        <v>24</v>
      </c>
      <c r="Y25" s="424">
        <f t="shared" si="417"/>
        <v>1</v>
      </c>
      <c r="Z25" s="432">
        <f t="shared" si="418"/>
        <v>1440</v>
      </c>
      <c r="AA25" s="424">
        <f t="shared" si="419"/>
        <v>2160000</v>
      </c>
      <c r="AB25" s="423">
        <f t="shared" si="420"/>
        <v>288</v>
      </c>
      <c r="AC25" s="424">
        <f t="shared" si="421"/>
        <v>1</v>
      </c>
      <c r="AD25" s="432">
        <f t="shared" si="422"/>
        <v>17280</v>
      </c>
      <c r="AE25" s="424">
        <f t="shared" si="423"/>
        <v>25920000</v>
      </c>
      <c r="AG25" s="424"/>
      <c r="AH25" s="430">
        <v>0.3</v>
      </c>
      <c r="AI25" s="424">
        <f t="shared" ref="AI25:AI29" si="563">AH25*AG$23</f>
        <v>1200</v>
      </c>
      <c r="AJ25" s="433">
        <f>AJ24</f>
        <v>0.1</v>
      </c>
      <c r="AK25" s="424">
        <f t="shared" ref="AK25:AK29" si="564">AI25*AJ25</f>
        <v>120</v>
      </c>
      <c r="AL25" s="423">
        <v>1</v>
      </c>
      <c r="AM25" s="424">
        <f t="shared" ref="AM25:AM29" si="565">AK25*AL25</f>
        <v>120</v>
      </c>
      <c r="AN25" s="431">
        <f t="shared" si="424"/>
        <v>1</v>
      </c>
      <c r="AO25" s="424">
        <f t="shared" si="425"/>
        <v>120</v>
      </c>
      <c r="AP25" s="424">
        <v>1</v>
      </c>
      <c r="AQ25" s="424">
        <f t="shared" ref="AQ25:AQ29" si="566">AQ18</f>
        <v>1575</v>
      </c>
      <c r="AR25" s="424">
        <f t="shared" si="426"/>
        <v>189000</v>
      </c>
      <c r="AS25" s="423">
        <f t="shared" si="427"/>
        <v>6</v>
      </c>
      <c r="AT25" s="424">
        <f t="shared" si="428"/>
        <v>1</v>
      </c>
      <c r="AU25" s="432">
        <f t="shared" si="429"/>
        <v>720</v>
      </c>
      <c r="AV25" s="424">
        <f t="shared" si="430"/>
        <v>1134000</v>
      </c>
      <c r="AW25" s="423">
        <f t="shared" si="431"/>
        <v>24</v>
      </c>
      <c r="AX25" s="424">
        <f t="shared" si="432"/>
        <v>1</v>
      </c>
      <c r="AY25" s="432">
        <f t="shared" si="433"/>
        <v>2880</v>
      </c>
      <c r="AZ25" s="424">
        <f t="shared" si="434"/>
        <v>4536000</v>
      </c>
      <c r="BA25" s="423">
        <f t="shared" si="435"/>
        <v>288</v>
      </c>
      <c r="BB25" s="424">
        <f t="shared" si="436"/>
        <v>1</v>
      </c>
      <c r="BC25" s="432">
        <f t="shared" si="437"/>
        <v>34560</v>
      </c>
      <c r="BD25" s="424">
        <f t="shared" si="438"/>
        <v>54432000</v>
      </c>
      <c r="BF25" s="424"/>
      <c r="BG25" s="430">
        <v>0.3</v>
      </c>
      <c r="BH25" s="424">
        <f t="shared" ref="BH25:BH29" si="567">BG25*BF$23</f>
        <v>1800</v>
      </c>
      <c r="BI25" s="433">
        <f>BI24</f>
        <v>0.1</v>
      </c>
      <c r="BJ25" s="424">
        <f t="shared" ref="BJ25:BJ29" si="568">BH25*BI25</f>
        <v>180</v>
      </c>
      <c r="BK25" s="423">
        <v>1</v>
      </c>
      <c r="BL25" s="424">
        <f t="shared" ref="BL25:BL29" si="569">BJ25*BK25</f>
        <v>180</v>
      </c>
      <c r="BM25" s="431">
        <f t="shared" si="439"/>
        <v>1</v>
      </c>
      <c r="BN25" s="424">
        <f t="shared" si="440"/>
        <v>180</v>
      </c>
      <c r="BO25" s="424">
        <v>1</v>
      </c>
      <c r="BP25" s="424">
        <f t="shared" ref="BP25:BP29" si="570">BP18</f>
        <v>1653.75</v>
      </c>
      <c r="BQ25" s="424">
        <f t="shared" si="441"/>
        <v>297675</v>
      </c>
      <c r="BR25" s="423">
        <f t="shared" si="442"/>
        <v>6</v>
      </c>
      <c r="BS25" s="424">
        <f t="shared" si="443"/>
        <v>1</v>
      </c>
      <c r="BT25" s="432">
        <f t="shared" si="444"/>
        <v>1080</v>
      </c>
      <c r="BU25" s="424">
        <f t="shared" si="445"/>
        <v>1786050</v>
      </c>
      <c r="BV25" s="423">
        <f t="shared" si="446"/>
        <v>24</v>
      </c>
      <c r="BW25" s="424">
        <f t="shared" si="447"/>
        <v>1</v>
      </c>
      <c r="BX25" s="432">
        <f t="shared" si="448"/>
        <v>4320</v>
      </c>
      <c r="BY25" s="424">
        <f t="shared" si="449"/>
        <v>7144200</v>
      </c>
      <c r="BZ25" s="423">
        <f t="shared" si="450"/>
        <v>288</v>
      </c>
      <c r="CA25" s="424">
        <f t="shared" si="451"/>
        <v>1</v>
      </c>
      <c r="CB25" s="432">
        <f t="shared" si="452"/>
        <v>51840</v>
      </c>
      <c r="CC25" s="424">
        <f t="shared" si="453"/>
        <v>85730400</v>
      </c>
      <c r="CE25" s="424"/>
      <c r="CF25" s="430">
        <v>0.3</v>
      </c>
      <c r="CG25" s="424">
        <f t="shared" ref="CG25:CG29" si="571">CF25*CE$23</f>
        <v>2400</v>
      </c>
      <c r="CH25" s="433">
        <f>CH24</f>
        <v>0.1</v>
      </c>
      <c r="CI25" s="424">
        <f t="shared" ref="CI25:CI29" si="572">CG25*CH25</f>
        <v>240</v>
      </c>
      <c r="CJ25" s="423">
        <v>1</v>
      </c>
      <c r="CK25" s="424">
        <f t="shared" ref="CK25:CK29" si="573">CI25*CJ25</f>
        <v>240</v>
      </c>
      <c r="CL25" s="431">
        <f t="shared" si="454"/>
        <v>1</v>
      </c>
      <c r="CM25" s="424">
        <f t="shared" si="455"/>
        <v>240</v>
      </c>
      <c r="CN25" s="424">
        <v>1</v>
      </c>
      <c r="CO25" s="424">
        <f t="shared" ref="CO25:CO29" si="574">CO18</f>
        <v>1736.4375</v>
      </c>
      <c r="CP25" s="424">
        <f t="shared" si="456"/>
        <v>416745</v>
      </c>
      <c r="CQ25" s="423">
        <f t="shared" si="457"/>
        <v>6</v>
      </c>
      <c r="CR25" s="424">
        <f t="shared" si="458"/>
        <v>1</v>
      </c>
      <c r="CS25" s="432">
        <f t="shared" si="459"/>
        <v>1440</v>
      </c>
      <c r="CT25" s="424">
        <f t="shared" si="460"/>
        <v>2500470</v>
      </c>
      <c r="CU25" s="423">
        <f t="shared" si="461"/>
        <v>24</v>
      </c>
      <c r="CV25" s="424">
        <f t="shared" si="462"/>
        <v>1</v>
      </c>
      <c r="CW25" s="432">
        <f t="shared" si="463"/>
        <v>5760</v>
      </c>
      <c r="CX25" s="424">
        <f t="shared" si="464"/>
        <v>10001880</v>
      </c>
      <c r="CY25" s="423">
        <f t="shared" si="465"/>
        <v>288</v>
      </c>
      <c r="CZ25" s="424">
        <f t="shared" si="466"/>
        <v>1</v>
      </c>
      <c r="DA25" s="432">
        <f t="shared" si="467"/>
        <v>69120</v>
      </c>
      <c r="DB25" s="424">
        <f t="shared" si="468"/>
        <v>120022560</v>
      </c>
      <c r="DD25" s="424"/>
      <c r="DE25" s="430">
        <v>0.3</v>
      </c>
      <c r="DF25" s="424">
        <f t="shared" ref="DF25:DF29" si="575">DE25*DD$23</f>
        <v>3000</v>
      </c>
      <c r="DG25" s="433">
        <f>DG24</f>
        <v>0.1</v>
      </c>
      <c r="DH25" s="424">
        <f t="shared" ref="DH25:DH29" si="576">DF25*DG25</f>
        <v>300</v>
      </c>
      <c r="DI25" s="423">
        <v>1</v>
      </c>
      <c r="DJ25" s="424">
        <f t="shared" ref="DJ25:DJ29" si="577">DH25*DI25</f>
        <v>300</v>
      </c>
      <c r="DK25" s="431">
        <f t="shared" si="469"/>
        <v>1</v>
      </c>
      <c r="DL25" s="424">
        <f t="shared" si="470"/>
        <v>300</v>
      </c>
      <c r="DM25" s="424">
        <v>1</v>
      </c>
      <c r="DN25" s="424">
        <f t="shared" ref="DN25:DN29" si="578">DN18</f>
        <v>1823.2593750000001</v>
      </c>
      <c r="DO25" s="424">
        <f t="shared" si="471"/>
        <v>546977.8125</v>
      </c>
      <c r="DP25" s="423">
        <f t="shared" si="472"/>
        <v>6</v>
      </c>
      <c r="DQ25" s="424">
        <f t="shared" si="473"/>
        <v>1</v>
      </c>
      <c r="DR25" s="432">
        <f t="shared" si="474"/>
        <v>1800</v>
      </c>
      <c r="DS25" s="424">
        <f t="shared" si="475"/>
        <v>3281866.875</v>
      </c>
      <c r="DT25" s="423">
        <f t="shared" si="476"/>
        <v>24</v>
      </c>
      <c r="DU25" s="424">
        <f t="shared" si="477"/>
        <v>1</v>
      </c>
      <c r="DV25" s="432">
        <f t="shared" si="478"/>
        <v>7200</v>
      </c>
      <c r="DW25" s="424">
        <f t="shared" si="479"/>
        <v>13127467.5</v>
      </c>
      <c r="DX25" s="423">
        <f t="shared" si="480"/>
        <v>288</v>
      </c>
      <c r="DY25" s="424">
        <f t="shared" si="481"/>
        <v>1</v>
      </c>
      <c r="DZ25" s="432">
        <f t="shared" si="482"/>
        <v>86400</v>
      </c>
      <c r="EA25" s="424">
        <f t="shared" si="483"/>
        <v>157529610</v>
      </c>
      <c r="EC25" s="424"/>
      <c r="ED25" s="430">
        <v>0.3</v>
      </c>
      <c r="EE25" s="424">
        <f t="shared" ref="EE25:EE29" si="579">ED25*EC$23</f>
        <v>3000</v>
      </c>
      <c r="EF25" s="433">
        <f>EF24</f>
        <v>0.1</v>
      </c>
      <c r="EG25" s="424">
        <f t="shared" ref="EG25:EG29" si="580">EE25*EF25</f>
        <v>300</v>
      </c>
      <c r="EH25" s="423">
        <v>1</v>
      </c>
      <c r="EI25" s="424">
        <f t="shared" ref="EI25:EI29" si="581">EG25*EH25</f>
        <v>300</v>
      </c>
      <c r="EJ25" s="431">
        <f t="shared" si="484"/>
        <v>1</v>
      </c>
      <c r="EK25" s="424">
        <f t="shared" si="485"/>
        <v>300</v>
      </c>
      <c r="EL25" s="424">
        <v>1</v>
      </c>
      <c r="EM25" s="424">
        <f t="shared" ref="EM25:EM29" si="582">EM18</f>
        <v>1914.4223437500002</v>
      </c>
      <c r="EN25" s="424">
        <f t="shared" si="486"/>
        <v>574326.70312500012</v>
      </c>
      <c r="EO25" s="423">
        <f t="shared" si="487"/>
        <v>6</v>
      </c>
      <c r="EP25" s="424">
        <f t="shared" si="488"/>
        <v>1</v>
      </c>
      <c r="EQ25" s="432">
        <f t="shared" si="489"/>
        <v>1800</v>
      </c>
      <c r="ER25" s="424">
        <f t="shared" si="490"/>
        <v>3445960.2187500005</v>
      </c>
      <c r="ES25" s="423">
        <f t="shared" si="491"/>
        <v>24</v>
      </c>
      <c r="ET25" s="424">
        <f t="shared" si="492"/>
        <v>1</v>
      </c>
      <c r="EU25" s="432">
        <f t="shared" si="493"/>
        <v>7200</v>
      </c>
      <c r="EV25" s="424">
        <f t="shared" si="494"/>
        <v>13783840.875000002</v>
      </c>
      <c r="EW25" s="423">
        <f t="shared" si="495"/>
        <v>288</v>
      </c>
      <c r="EX25" s="424">
        <f t="shared" si="496"/>
        <v>1</v>
      </c>
      <c r="EY25" s="432">
        <f t="shared" si="497"/>
        <v>86400</v>
      </c>
      <c r="EZ25" s="424">
        <f t="shared" si="498"/>
        <v>165406090.50000003</v>
      </c>
      <c r="FB25" s="424"/>
      <c r="FC25" s="430">
        <v>0.3</v>
      </c>
      <c r="FD25" s="424">
        <f t="shared" ref="FD25:FD29" si="583">FC25*FB$23</f>
        <v>3000</v>
      </c>
      <c r="FE25" s="433">
        <f>FE24</f>
        <v>0.1</v>
      </c>
      <c r="FF25" s="424">
        <f t="shared" ref="FF25:FF29" si="584">FD25*FE25</f>
        <v>300</v>
      </c>
      <c r="FG25" s="423">
        <v>1</v>
      </c>
      <c r="FH25" s="424">
        <f t="shared" ref="FH25:FH29" si="585">FF25*FG25</f>
        <v>300</v>
      </c>
      <c r="FI25" s="431">
        <f t="shared" si="499"/>
        <v>1</v>
      </c>
      <c r="FJ25" s="424">
        <f t="shared" si="500"/>
        <v>300</v>
      </c>
      <c r="FK25" s="424">
        <v>1</v>
      </c>
      <c r="FL25" s="424">
        <f t="shared" ref="FL25:FL29" si="586">FL18</f>
        <v>2010.1434609375003</v>
      </c>
      <c r="FM25" s="424">
        <f t="shared" si="501"/>
        <v>603043.03828125005</v>
      </c>
      <c r="FN25" s="423">
        <f t="shared" si="502"/>
        <v>6</v>
      </c>
      <c r="FO25" s="424">
        <f t="shared" si="503"/>
        <v>1</v>
      </c>
      <c r="FP25" s="432">
        <f t="shared" si="504"/>
        <v>1800</v>
      </c>
      <c r="FQ25" s="424">
        <f t="shared" si="505"/>
        <v>3618258.2296875007</v>
      </c>
      <c r="FR25" s="423">
        <f t="shared" si="506"/>
        <v>24</v>
      </c>
      <c r="FS25" s="424">
        <f t="shared" si="507"/>
        <v>1</v>
      </c>
      <c r="FT25" s="432">
        <f t="shared" si="508"/>
        <v>7200</v>
      </c>
      <c r="FU25" s="424">
        <f t="shared" si="509"/>
        <v>14473032.918750003</v>
      </c>
      <c r="FV25" s="423">
        <f t="shared" si="510"/>
        <v>288</v>
      </c>
      <c r="FW25" s="424">
        <f t="shared" si="511"/>
        <v>1</v>
      </c>
      <c r="FX25" s="432">
        <f t="shared" si="512"/>
        <v>86400</v>
      </c>
      <c r="FY25" s="424">
        <f t="shared" si="513"/>
        <v>173676395.02500004</v>
      </c>
      <c r="GA25" s="424"/>
      <c r="GB25" s="430">
        <v>0.3</v>
      </c>
      <c r="GC25" s="424">
        <f t="shared" ref="GC25:GC29" si="587">GB25*GA$23</f>
        <v>3000</v>
      </c>
      <c r="GD25" s="433">
        <f>GD24</f>
        <v>0.1</v>
      </c>
      <c r="GE25" s="424">
        <f t="shared" ref="GE25:GE29" si="588">GC25*GD25</f>
        <v>300</v>
      </c>
      <c r="GF25" s="423">
        <v>1</v>
      </c>
      <c r="GG25" s="424">
        <f t="shared" ref="GG25:GG29" si="589">GE25*GF25</f>
        <v>300</v>
      </c>
      <c r="GH25" s="431">
        <f t="shared" si="514"/>
        <v>1</v>
      </c>
      <c r="GI25" s="424">
        <f t="shared" si="515"/>
        <v>300</v>
      </c>
      <c r="GJ25" s="424">
        <v>1</v>
      </c>
      <c r="GK25" s="424">
        <f t="shared" ref="GK25:GK29" si="590">GK18</f>
        <v>2110.6506339843754</v>
      </c>
      <c r="GL25" s="424">
        <f t="shared" si="516"/>
        <v>633195.19019531261</v>
      </c>
      <c r="GM25" s="423">
        <f t="shared" si="517"/>
        <v>6</v>
      </c>
      <c r="GN25" s="424">
        <f t="shared" si="518"/>
        <v>1</v>
      </c>
      <c r="GO25" s="432">
        <f t="shared" si="519"/>
        <v>1800</v>
      </c>
      <c r="GP25" s="424">
        <f t="shared" si="520"/>
        <v>3799171.1411718759</v>
      </c>
      <c r="GQ25" s="423">
        <f t="shared" si="521"/>
        <v>24</v>
      </c>
      <c r="GR25" s="424">
        <f t="shared" si="522"/>
        <v>1</v>
      </c>
      <c r="GS25" s="432">
        <f t="shared" si="523"/>
        <v>7200</v>
      </c>
      <c r="GT25" s="424">
        <f t="shared" si="524"/>
        <v>15196684.564687504</v>
      </c>
      <c r="GU25" s="423">
        <f t="shared" si="525"/>
        <v>288</v>
      </c>
      <c r="GV25" s="424">
        <f t="shared" si="526"/>
        <v>1</v>
      </c>
      <c r="GW25" s="432">
        <f t="shared" si="527"/>
        <v>86400</v>
      </c>
      <c r="GX25" s="424">
        <f t="shared" si="528"/>
        <v>182360214.77625003</v>
      </c>
      <c r="GZ25" s="424"/>
      <c r="HA25" s="430">
        <v>0.3</v>
      </c>
      <c r="HB25" s="424">
        <f t="shared" ref="HB25:HB29" si="591">HA25*GZ$23</f>
        <v>3000</v>
      </c>
      <c r="HC25" s="433">
        <f>HC24</f>
        <v>0.1</v>
      </c>
      <c r="HD25" s="424">
        <f t="shared" ref="HD25:HD29" si="592">HB25*HC25</f>
        <v>300</v>
      </c>
      <c r="HE25" s="423">
        <v>1</v>
      </c>
      <c r="HF25" s="424">
        <f t="shared" ref="HF25:HF29" si="593">HD25*HE25</f>
        <v>300</v>
      </c>
      <c r="HG25" s="431">
        <f t="shared" si="529"/>
        <v>1</v>
      </c>
      <c r="HH25" s="424">
        <f t="shared" si="530"/>
        <v>300</v>
      </c>
      <c r="HI25" s="424">
        <v>1</v>
      </c>
      <c r="HJ25" s="424">
        <f t="shared" ref="HJ25:HJ29" si="594">HJ18</f>
        <v>2216.1831656835943</v>
      </c>
      <c r="HK25" s="424">
        <f t="shared" si="531"/>
        <v>664854.94970507827</v>
      </c>
      <c r="HL25" s="423">
        <f t="shared" si="532"/>
        <v>6</v>
      </c>
      <c r="HM25" s="424">
        <f t="shared" si="533"/>
        <v>1</v>
      </c>
      <c r="HN25" s="432">
        <f t="shared" si="534"/>
        <v>1800</v>
      </c>
      <c r="HO25" s="424">
        <f t="shared" si="535"/>
        <v>3989129.6982304696</v>
      </c>
      <c r="HP25" s="423">
        <f t="shared" si="536"/>
        <v>24</v>
      </c>
      <c r="HQ25" s="424">
        <f t="shared" si="537"/>
        <v>1</v>
      </c>
      <c r="HR25" s="432">
        <f t="shared" si="538"/>
        <v>7200</v>
      </c>
      <c r="HS25" s="424">
        <f t="shared" si="539"/>
        <v>15956518.792921878</v>
      </c>
      <c r="HT25" s="423">
        <f t="shared" si="540"/>
        <v>288</v>
      </c>
      <c r="HU25" s="424">
        <f t="shared" si="541"/>
        <v>1</v>
      </c>
      <c r="HV25" s="432">
        <f t="shared" si="542"/>
        <v>86400</v>
      </c>
      <c r="HW25" s="424">
        <f t="shared" si="543"/>
        <v>191478225.51506254</v>
      </c>
      <c r="HY25" s="424"/>
      <c r="HZ25" s="430">
        <v>0.3</v>
      </c>
      <c r="IA25" s="424">
        <f t="shared" ref="IA25:IA29" si="595">HZ25*HY$23</f>
        <v>3000</v>
      </c>
      <c r="IB25" s="433">
        <f>IB24</f>
        <v>0.1</v>
      </c>
      <c r="IC25" s="424">
        <f t="shared" ref="IC25:IC29" si="596">IA25*IB25</f>
        <v>300</v>
      </c>
      <c r="ID25" s="423">
        <v>1</v>
      </c>
      <c r="IE25" s="424">
        <f t="shared" ref="IE25:IE29" si="597">IC25*ID25</f>
        <v>300</v>
      </c>
      <c r="IF25" s="431">
        <f t="shared" si="544"/>
        <v>1</v>
      </c>
      <c r="IG25" s="424">
        <f t="shared" si="545"/>
        <v>300</v>
      </c>
      <c r="IH25" s="424">
        <v>1</v>
      </c>
      <c r="II25" s="424">
        <f t="shared" ref="II25:II29" si="598">II18</f>
        <v>2326.9923239677742</v>
      </c>
      <c r="IJ25" s="424">
        <f t="shared" si="546"/>
        <v>698097.69719033223</v>
      </c>
      <c r="IK25" s="423">
        <f t="shared" si="547"/>
        <v>6</v>
      </c>
      <c r="IL25" s="424">
        <f t="shared" si="548"/>
        <v>1</v>
      </c>
      <c r="IM25" s="432">
        <f t="shared" si="549"/>
        <v>1800</v>
      </c>
      <c r="IN25" s="424">
        <f t="shared" si="550"/>
        <v>4188586.1831419934</v>
      </c>
      <c r="IO25" s="423">
        <f t="shared" si="551"/>
        <v>24</v>
      </c>
      <c r="IP25" s="424">
        <f t="shared" si="552"/>
        <v>1</v>
      </c>
      <c r="IQ25" s="432">
        <f t="shared" si="553"/>
        <v>7200</v>
      </c>
      <c r="IR25" s="424">
        <f t="shared" si="554"/>
        <v>16754344.732567973</v>
      </c>
      <c r="IS25" s="423">
        <f t="shared" si="555"/>
        <v>288</v>
      </c>
      <c r="IT25" s="424">
        <f t="shared" si="556"/>
        <v>1</v>
      </c>
      <c r="IU25" s="432">
        <f t="shared" si="557"/>
        <v>86400</v>
      </c>
      <c r="IV25" s="424">
        <f t="shared" si="558"/>
        <v>201052136.79081568</v>
      </c>
    </row>
    <row r="26" spans="2:256" x14ac:dyDescent="0.25">
      <c r="B26" s="422"/>
      <c r="C26" s="422"/>
      <c r="D26" s="422"/>
      <c r="E26" s="419" t="s">
        <v>145</v>
      </c>
      <c r="F26" s="423"/>
      <c r="G26" s="423"/>
      <c r="H26" s="424"/>
      <c r="I26" s="430">
        <v>0.14000000000000001</v>
      </c>
      <c r="J26" s="424">
        <f t="shared" si="559"/>
        <v>280</v>
      </c>
      <c r="K26" s="433">
        <f t="shared" ref="K26:K29" si="599">K25</f>
        <v>0.1</v>
      </c>
      <c r="L26" s="424">
        <f t="shared" si="560"/>
        <v>28</v>
      </c>
      <c r="M26" s="423">
        <v>1</v>
      </c>
      <c r="N26" s="424">
        <f t="shared" si="561"/>
        <v>28</v>
      </c>
      <c r="O26" s="431">
        <f>'Parameters and Summary'!E76</f>
        <v>1</v>
      </c>
      <c r="P26" s="424">
        <f t="shared" si="410"/>
        <v>28</v>
      </c>
      <c r="Q26" s="424">
        <v>1</v>
      </c>
      <c r="R26" s="424">
        <f t="shared" si="562"/>
        <v>1500</v>
      </c>
      <c r="S26" s="424">
        <f t="shared" si="411"/>
        <v>42000</v>
      </c>
      <c r="T26" s="423">
        <f t="shared" si="412"/>
        <v>6</v>
      </c>
      <c r="U26" s="424">
        <f t="shared" si="413"/>
        <v>1</v>
      </c>
      <c r="V26" s="432">
        <f t="shared" si="414"/>
        <v>168</v>
      </c>
      <c r="W26" s="424">
        <f t="shared" si="415"/>
        <v>252000</v>
      </c>
      <c r="X26" s="423">
        <f t="shared" si="416"/>
        <v>24</v>
      </c>
      <c r="Y26" s="424">
        <f t="shared" si="417"/>
        <v>1</v>
      </c>
      <c r="Z26" s="432">
        <f t="shared" si="418"/>
        <v>672</v>
      </c>
      <c r="AA26" s="424">
        <f t="shared" si="419"/>
        <v>1008000</v>
      </c>
      <c r="AB26" s="423">
        <f t="shared" si="420"/>
        <v>288</v>
      </c>
      <c r="AC26" s="424">
        <f t="shared" si="421"/>
        <v>1</v>
      </c>
      <c r="AD26" s="432">
        <f t="shared" si="422"/>
        <v>8064</v>
      </c>
      <c r="AE26" s="424">
        <f t="shared" si="423"/>
        <v>12096000</v>
      </c>
      <c r="AG26" s="424"/>
      <c r="AH26" s="430">
        <v>0.14000000000000001</v>
      </c>
      <c r="AI26" s="424">
        <f t="shared" si="563"/>
        <v>560</v>
      </c>
      <c r="AJ26" s="433">
        <f t="shared" ref="AJ26:AJ29" si="600">AJ25</f>
        <v>0.1</v>
      </c>
      <c r="AK26" s="424">
        <f t="shared" si="564"/>
        <v>56</v>
      </c>
      <c r="AL26" s="423">
        <v>1</v>
      </c>
      <c r="AM26" s="424">
        <f t="shared" si="565"/>
        <v>56</v>
      </c>
      <c r="AN26" s="431">
        <f t="shared" si="424"/>
        <v>1</v>
      </c>
      <c r="AO26" s="424">
        <f t="shared" si="425"/>
        <v>56</v>
      </c>
      <c r="AP26" s="424">
        <v>1</v>
      </c>
      <c r="AQ26" s="424">
        <f t="shared" si="566"/>
        <v>1575</v>
      </c>
      <c r="AR26" s="424">
        <f t="shared" si="426"/>
        <v>88200</v>
      </c>
      <c r="AS26" s="423">
        <f t="shared" si="427"/>
        <v>6</v>
      </c>
      <c r="AT26" s="424">
        <f t="shared" si="428"/>
        <v>1</v>
      </c>
      <c r="AU26" s="432">
        <f t="shared" si="429"/>
        <v>336</v>
      </c>
      <c r="AV26" s="424">
        <f t="shared" si="430"/>
        <v>529200</v>
      </c>
      <c r="AW26" s="423">
        <f t="shared" si="431"/>
        <v>24</v>
      </c>
      <c r="AX26" s="424">
        <f t="shared" si="432"/>
        <v>1</v>
      </c>
      <c r="AY26" s="432">
        <f t="shared" si="433"/>
        <v>1344</v>
      </c>
      <c r="AZ26" s="424">
        <f t="shared" si="434"/>
        <v>2116800</v>
      </c>
      <c r="BA26" s="423">
        <f t="shared" si="435"/>
        <v>288</v>
      </c>
      <c r="BB26" s="424">
        <f t="shared" si="436"/>
        <v>1</v>
      </c>
      <c r="BC26" s="432">
        <f t="shared" si="437"/>
        <v>16128</v>
      </c>
      <c r="BD26" s="424">
        <f t="shared" si="438"/>
        <v>25401600</v>
      </c>
      <c r="BF26" s="424"/>
      <c r="BG26" s="430">
        <v>0.14000000000000001</v>
      </c>
      <c r="BH26" s="424">
        <f t="shared" si="567"/>
        <v>840.00000000000011</v>
      </c>
      <c r="BI26" s="433">
        <f t="shared" ref="BI26:BI29" si="601">BI25</f>
        <v>0.1</v>
      </c>
      <c r="BJ26" s="424">
        <f t="shared" si="568"/>
        <v>84.000000000000014</v>
      </c>
      <c r="BK26" s="423">
        <v>1</v>
      </c>
      <c r="BL26" s="424">
        <f t="shared" si="569"/>
        <v>84.000000000000014</v>
      </c>
      <c r="BM26" s="431">
        <f t="shared" si="439"/>
        <v>1</v>
      </c>
      <c r="BN26" s="424">
        <f t="shared" si="440"/>
        <v>84.000000000000014</v>
      </c>
      <c r="BO26" s="424">
        <v>1</v>
      </c>
      <c r="BP26" s="424">
        <f t="shared" si="570"/>
        <v>1653.75</v>
      </c>
      <c r="BQ26" s="424">
        <f t="shared" si="441"/>
        <v>138915.00000000003</v>
      </c>
      <c r="BR26" s="423">
        <f t="shared" si="442"/>
        <v>6</v>
      </c>
      <c r="BS26" s="424">
        <f t="shared" si="443"/>
        <v>1</v>
      </c>
      <c r="BT26" s="432">
        <f t="shared" si="444"/>
        <v>504.00000000000011</v>
      </c>
      <c r="BU26" s="424">
        <f t="shared" si="445"/>
        <v>833490.00000000023</v>
      </c>
      <c r="BV26" s="423">
        <f t="shared" si="446"/>
        <v>24</v>
      </c>
      <c r="BW26" s="424">
        <f t="shared" si="447"/>
        <v>1</v>
      </c>
      <c r="BX26" s="432">
        <f t="shared" si="448"/>
        <v>2016.0000000000005</v>
      </c>
      <c r="BY26" s="424">
        <f t="shared" si="449"/>
        <v>3333960.0000000009</v>
      </c>
      <c r="BZ26" s="423">
        <f t="shared" si="450"/>
        <v>288</v>
      </c>
      <c r="CA26" s="424">
        <f t="shared" si="451"/>
        <v>1</v>
      </c>
      <c r="CB26" s="432">
        <f t="shared" si="452"/>
        <v>24192.000000000004</v>
      </c>
      <c r="CC26" s="424">
        <f t="shared" si="453"/>
        <v>40007520.000000007</v>
      </c>
      <c r="CE26" s="424"/>
      <c r="CF26" s="430">
        <v>0.14000000000000001</v>
      </c>
      <c r="CG26" s="424">
        <f t="shared" si="571"/>
        <v>1120</v>
      </c>
      <c r="CH26" s="433">
        <f t="shared" ref="CH26:CH29" si="602">CH25</f>
        <v>0.1</v>
      </c>
      <c r="CI26" s="424">
        <f t="shared" si="572"/>
        <v>112</v>
      </c>
      <c r="CJ26" s="423">
        <v>1</v>
      </c>
      <c r="CK26" s="424">
        <f t="shared" si="573"/>
        <v>112</v>
      </c>
      <c r="CL26" s="431">
        <f t="shared" si="454"/>
        <v>1</v>
      </c>
      <c r="CM26" s="424">
        <f t="shared" si="455"/>
        <v>112</v>
      </c>
      <c r="CN26" s="424">
        <v>1</v>
      </c>
      <c r="CO26" s="424">
        <f t="shared" si="574"/>
        <v>1736.4375</v>
      </c>
      <c r="CP26" s="424">
        <f t="shared" si="456"/>
        <v>194481</v>
      </c>
      <c r="CQ26" s="423">
        <f t="shared" si="457"/>
        <v>6</v>
      </c>
      <c r="CR26" s="424">
        <f t="shared" si="458"/>
        <v>1</v>
      </c>
      <c r="CS26" s="432">
        <f t="shared" si="459"/>
        <v>672</v>
      </c>
      <c r="CT26" s="424">
        <f t="shared" si="460"/>
        <v>1166886</v>
      </c>
      <c r="CU26" s="423">
        <f t="shared" si="461"/>
        <v>24</v>
      </c>
      <c r="CV26" s="424">
        <f t="shared" si="462"/>
        <v>1</v>
      </c>
      <c r="CW26" s="432">
        <f t="shared" si="463"/>
        <v>2688</v>
      </c>
      <c r="CX26" s="424">
        <f t="shared" si="464"/>
        <v>4667544</v>
      </c>
      <c r="CY26" s="423">
        <f t="shared" si="465"/>
        <v>288</v>
      </c>
      <c r="CZ26" s="424">
        <f t="shared" si="466"/>
        <v>1</v>
      </c>
      <c r="DA26" s="432">
        <f t="shared" si="467"/>
        <v>32256</v>
      </c>
      <c r="DB26" s="424">
        <f t="shared" si="468"/>
        <v>56010528</v>
      </c>
      <c r="DD26" s="424"/>
      <c r="DE26" s="430">
        <v>0.14000000000000001</v>
      </c>
      <c r="DF26" s="424">
        <f t="shared" si="575"/>
        <v>1400.0000000000002</v>
      </c>
      <c r="DG26" s="433">
        <f t="shared" ref="DG26:DG29" si="603">DG25</f>
        <v>0.1</v>
      </c>
      <c r="DH26" s="424">
        <f t="shared" si="576"/>
        <v>140.00000000000003</v>
      </c>
      <c r="DI26" s="423">
        <v>1</v>
      </c>
      <c r="DJ26" s="424">
        <f t="shared" si="577"/>
        <v>140.00000000000003</v>
      </c>
      <c r="DK26" s="431">
        <f t="shared" si="469"/>
        <v>1</v>
      </c>
      <c r="DL26" s="424">
        <f t="shared" si="470"/>
        <v>140.00000000000003</v>
      </c>
      <c r="DM26" s="424">
        <v>1</v>
      </c>
      <c r="DN26" s="424">
        <f t="shared" si="578"/>
        <v>1823.2593750000001</v>
      </c>
      <c r="DO26" s="424">
        <f t="shared" si="471"/>
        <v>255256.31250000006</v>
      </c>
      <c r="DP26" s="423">
        <f t="shared" si="472"/>
        <v>6</v>
      </c>
      <c r="DQ26" s="424">
        <f t="shared" si="473"/>
        <v>1</v>
      </c>
      <c r="DR26" s="432">
        <f t="shared" si="474"/>
        <v>840.00000000000023</v>
      </c>
      <c r="DS26" s="424">
        <f t="shared" si="475"/>
        <v>1531537.8750000005</v>
      </c>
      <c r="DT26" s="423">
        <f t="shared" si="476"/>
        <v>24</v>
      </c>
      <c r="DU26" s="424">
        <f t="shared" si="477"/>
        <v>1</v>
      </c>
      <c r="DV26" s="432">
        <f t="shared" si="478"/>
        <v>3360.0000000000009</v>
      </c>
      <c r="DW26" s="424">
        <f t="shared" si="479"/>
        <v>6126151.5000000019</v>
      </c>
      <c r="DX26" s="423">
        <f t="shared" si="480"/>
        <v>288</v>
      </c>
      <c r="DY26" s="424">
        <f t="shared" si="481"/>
        <v>1</v>
      </c>
      <c r="DZ26" s="432">
        <f t="shared" si="482"/>
        <v>40320.000000000007</v>
      </c>
      <c r="EA26" s="424">
        <f t="shared" si="483"/>
        <v>73513818.000000015</v>
      </c>
      <c r="EC26" s="424"/>
      <c r="ED26" s="430">
        <v>0.14000000000000001</v>
      </c>
      <c r="EE26" s="424">
        <f t="shared" si="579"/>
        <v>1400.0000000000002</v>
      </c>
      <c r="EF26" s="433">
        <f t="shared" ref="EF26:EF29" si="604">EF25</f>
        <v>0.1</v>
      </c>
      <c r="EG26" s="424">
        <f t="shared" si="580"/>
        <v>140.00000000000003</v>
      </c>
      <c r="EH26" s="423">
        <v>1</v>
      </c>
      <c r="EI26" s="424">
        <f t="shared" si="581"/>
        <v>140.00000000000003</v>
      </c>
      <c r="EJ26" s="431">
        <f t="shared" si="484"/>
        <v>1</v>
      </c>
      <c r="EK26" s="424">
        <f t="shared" si="485"/>
        <v>140.00000000000003</v>
      </c>
      <c r="EL26" s="424">
        <v>1</v>
      </c>
      <c r="EM26" s="424">
        <f t="shared" si="582"/>
        <v>1914.4223437500002</v>
      </c>
      <c r="EN26" s="424">
        <f t="shared" si="486"/>
        <v>268019.1281250001</v>
      </c>
      <c r="EO26" s="423">
        <f t="shared" si="487"/>
        <v>6</v>
      </c>
      <c r="EP26" s="424">
        <f t="shared" si="488"/>
        <v>1</v>
      </c>
      <c r="EQ26" s="432">
        <f t="shared" si="489"/>
        <v>840.00000000000023</v>
      </c>
      <c r="ER26" s="424">
        <f t="shared" si="490"/>
        <v>1608114.7687500005</v>
      </c>
      <c r="ES26" s="423">
        <f t="shared" si="491"/>
        <v>24</v>
      </c>
      <c r="ET26" s="424">
        <f t="shared" si="492"/>
        <v>1</v>
      </c>
      <c r="EU26" s="432">
        <f t="shared" si="493"/>
        <v>3360.0000000000009</v>
      </c>
      <c r="EV26" s="424">
        <f t="shared" si="494"/>
        <v>6432459.075000002</v>
      </c>
      <c r="EW26" s="423">
        <f t="shared" si="495"/>
        <v>288</v>
      </c>
      <c r="EX26" s="424">
        <f t="shared" si="496"/>
        <v>1</v>
      </c>
      <c r="EY26" s="432">
        <f t="shared" si="497"/>
        <v>40320.000000000007</v>
      </c>
      <c r="EZ26" s="424">
        <f t="shared" si="498"/>
        <v>77189508.900000021</v>
      </c>
      <c r="FB26" s="424"/>
      <c r="FC26" s="430">
        <v>0.14000000000000001</v>
      </c>
      <c r="FD26" s="424">
        <f t="shared" si="583"/>
        <v>1400.0000000000002</v>
      </c>
      <c r="FE26" s="433">
        <f t="shared" ref="FE26:FE29" si="605">FE25</f>
        <v>0.1</v>
      </c>
      <c r="FF26" s="424">
        <f t="shared" si="584"/>
        <v>140.00000000000003</v>
      </c>
      <c r="FG26" s="423">
        <v>1</v>
      </c>
      <c r="FH26" s="424">
        <f t="shared" si="585"/>
        <v>140.00000000000003</v>
      </c>
      <c r="FI26" s="431">
        <f t="shared" si="499"/>
        <v>1</v>
      </c>
      <c r="FJ26" s="424">
        <f t="shared" si="500"/>
        <v>140.00000000000003</v>
      </c>
      <c r="FK26" s="424">
        <v>1</v>
      </c>
      <c r="FL26" s="424">
        <f t="shared" si="586"/>
        <v>2010.1434609375003</v>
      </c>
      <c r="FM26" s="424">
        <f t="shared" si="501"/>
        <v>281420.08453125012</v>
      </c>
      <c r="FN26" s="423">
        <f t="shared" si="502"/>
        <v>6</v>
      </c>
      <c r="FO26" s="424">
        <f t="shared" si="503"/>
        <v>1</v>
      </c>
      <c r="FP26" s="432">
        <f t="shared" si="504"/>
        <v>840.00000000000023</v>
      </c>
      <c r="FQ26" s="424">
        <f t="shared" si="505"/>
        <v>1688520.5071875008</v>
      </c>
      <c r="FR26" s="423">
        <f t="shared" si="506"/>
        <v>24</v>
      </c>
      <c r="FS26" s="424">
        <f t="shared" si="507"/>
        <v>1</v>
      </c>
      <c r="FT26" s="432">
        <f t="shared" si="508"/>
        <v>3360.0000000000009</v>
      </c>
      <c r="FU26" s="424">
        <f t="shared" si="509"/>
        <v>6754082.0287500033</v>
      </c>
      <c r="FV26" s="423">
        <f t="shared" si="510"/>
        <v>288</v>
      </c>
      <c r="FW26" s="424">
        <f t="shared" si="511"/>
        <v>1</v>
      </c>
      <c r="FX26" s="432">
        <f t="shared" si="512"/>
        <v>40320.000000000007</v>
      </c>
      <c r="FY26" s="424">
        <f t="shared" si="513"/>
        <v>81048984.345000029</v>
      </c>
      <c r="GA26" s="424"/>
      <c r="GB26" s="430">
        <v>0.14000000000000001</v>
      </c>
      <c r="GC26" s="424">
        <f t="shared" si="587"/>
        <v>1400.0000000000002</v>
      </c>
      <c r="GD26" s="433">
        <f t="shared" ref="GD26:GD29" si="606">GD25</f>
        <v>0.1</v>
      </c>
      <c r="GE26" s="424">
        <f t="shared" si="588"/>
        <v>140.00000000000003</v>
      </c>
      <c r="GF26" s="423">
        <v>1</v>
      </c>
      <c r="GG26" s="424">
        <f t="shared" si="589"/>
        <v>140.00000000000003</v>
      </c>
      <c r="GH26" s="431">
        <f t="shared" si="514"/>
        <v>1</v>
      </c>
      <c r="GI26" s="424">
        <f t="shared" si="515"/>
        <v>140.00000000000003</v>
      </c>
      <c r="GJ26" s="424">
        <v>1</v>
      </c>
      <c r="GK26" s="424">
        <f t="shared" si="590"/>
        <v>2110.6506339843754</v>
      </c>
      <c r="GL26" s="424">
        <f t="shared" si="516"/>
        <v>295491.08875781263</v>
      </c>
      <c r="GM26" s="423">
        <f t="shared" si="517"/>
        <v>6</v>
      </c>
      <c r="GN26" s="424">
        <f t="shared" si="518"/>
        <v>1</v>
      </c>
      <c r="GO26" s="432">
        <f t="shared" si="519"/>
        <v>840.00000000000023</v>
      </c>
      <c r="GP26" s="424">
        <f t="shared" si="520"/>
        <v>1772946.5325468758</v>
      </c>
      <c r="GQ26" s="423">
        <f t="shared" si="521"/>
        <v>24</v>
      </c>
      <c r="GR26" s="424">
        <f t="shared" si="522"/>
        <v>1</v>
      </c>
      <c r="GS26" s="432">
        <f t="shared" si="523"/>
        <v>3360.0000000000009</v>
      </c>
      <c r="GT26" s="424">
        <f t="shared" si="524"/>
        <v>7091786.1301875031</v>
      </c>
      <c r="GU26" s="423">
        <f t="shared" si="525"/>
        <v>288</v>
      </c>
      <c r="GV26" s="424">
        <f t="shared" si="526"/>
        <v>1</v>
      </c>
      <c r="GW26" s="432">
        <f t="shared" si="527"/>
        <v>40320.000000000007</v>
      </c>
      <c r="GX26" s="424">
        <f t="shared" si="528"/>
        <v>85101433.562250033</v>
      </c>
      <c r="GZ26" s="424"/>
      <c r="HA26" s="430">
        <v>0.14000000000000001</v>
      </c>
      <c r="HB26" s="424">
        <f t="shared" si="591"/>
        <v>1400.0000000000002</v>
      </c>
      <c r="HC26" s="433">
        <f t="shared" ref="HC26:HC29" si="607">HC25</f>
        <v>0.1</v>
      </c>
      <c r="HD26" s="424">
        <f t="shared" si="592"/>
        <v>140.00000000000003</v>
      </c>
      <c r="HE26" s="423">
        <v>1</v>
      </c>
      <c r="HF26" s="424">
        <f t="shared" si="593"/>
        <v>140.00000000000003</v>
      </c>
      <c r="HG26" s="431">
        <f t="shared" si="529"/>
        <v>1</v>
      </c>
      <c r="HH26" s="424">
        <f t="shared" si="530"/>
        <v>140.00000000000003</v>
      </c>
      <c r="HI26" s="424">
        <v>1</v>
      </c>
      <c r="HJ26" s="424">
        <f t="shared" si="594"/>
        <v>2216.1831656835943</v>
      </c>
      <c r="HK26" s="424">
        <f t="shared" si="531"/>
        <v>310265.64319570328</v>
      </c>
      <c r="HL26" s="423">
        <f t="shared" si="532"/>
        <v>6</v>
      </c>
      <c r="HM26" s="424">
        <f t="shared" si="533"/>
        <v>1</v>
      </c>
      <c r="HN26" s="432">
        <f t="shared" si="534"/>
        <v>840.00000000000023</v>
      </c>
      <c r="HO26" s="424">
        <f t="shared" si="535"/>
        <v>1861593.8591742197</v>
      </c>
      <c r="HP26" s="423">
        <f t="shared" si="536"/>
        <v>24</v>
      </c>
      <c r="HQ26" s="424">
        <f t="shared" si="537"/>
        <v>1</v>
      </c>
      <c r="HR26" s="432">
        <f t="shared" si="538"/>
        <v>3360.0000000000009</v>
      </c>
      <c r="HS26" s="424">
        <f t="shared" si="539"/>
        <v>7446375.4366968786</v>
      </c>
      <c r="HT26" s="423">
        <f t="shared" si="540"/>
        <v>288</v>
      </c>
      <c r="HU26" s="424">
        <f t="shared" si="541"/>
        <v>1</v>
      </c>
      <c r="HV26" s="432">
        <f t="shared" si="542"/>
        <v>40320.000000000007</v>
      </c>
      <c r="HW26" s="424">
        <f t="shared" si="543"/>
        <v>89356505.24036254</v>
      </c>
      <c r="HY26" s="424"/>
      <c r="HZ26" s="430">
        <v>0.14000000000000001</v>
      </c>
      <c r="IA26" s="424">
        <f t="shared" si="595"/>
        <v>1400.0000000000002</v>
      </c>
      <c r="IB26" s="433">
        <f t="shared" ref="IB26:IB29" si="608">IB25</f>
        <v>0.1</v>
      </c>
      <c r="IC26" s="424">
        <f t="shared" si="596"/>
        <v>140.00000000000003</v>
      </c>
      <c r="ID26" s="423">
        <v>1</v>
      </c>
      <c r="IE26" s="424">
        <f t="shared" si="597"/>
        <v>140.00000000000003</v>
      </c>
      <c r="IF26" s="431">
        <f t="shared" si="544"/>
        <v>1</v>
      </c>
      <c r="IG26" s="424">
        <f t="shared" si="545"/>
        <v>140.00000000000003</v>
      </c>
      <c r="IH26" s="424">
        <v>1</v>
      </c>
      <c r="II26" s="424">
        <f t="shared" si="598"/>
        <v>2326.9923239677742</v>
      </c>
      <c r="IJ26" s="424">
        <f t="shared" si="546"/>
        <v>325778.92535548843</v>
      </c>
      <c r="IK26" s="423">
        <f t="shared" si="547"/>
        <v>6</v>
      </c>
      <c r="IL26" s="424">
        <f t="shared" si="548"/>
        <v>1</v>
      </c>
      <c r="IM26" s="432">
        <f t="shared" si="549"/>
        <v>840.00000000000023</v>
      </c>
      <c r="IN26" s="424">
        <f t="shared" si="550"/>
        <v>1954673.5521329308</v>
      </c>
      <c r="IO26" s="423">
        <f t="shared" si="551"/>
        <v>24</v>
      </c>
      <c r="IP26" s="424">
        <f t="shared" si="552"/>
        <v>1</v>
      </c>
      <c r="IQ26" s="432">
        <f t="shared" si="553"/>
        <v>3360.0000000000009</v>
      </c>
      <c r="IR26" s="424">
        <f t="shared" si="554"/>
        <v>7818694.2085317234</v>
      </c>
      <c r="IS26" s="423">
        <f t="shared" si="555"/>
        <v>288</v>
      </c>
      <c r="IT26" s="424">
        <f t="shared" si="556"/>
        <v>1</v>
      </c>
      <c r="IU26" s="432">
        <f t="shared" si="557"/>
        <v>40320.000000000007</v>
      </c>
      <c r="IV26" s="424">
        <f t="shared" si="558"/>
        <v>93824330.502380669</v>
      </c>
    </row>
    <row r="27" spans="2:256" x14ac:dyDescent="0.25">
      <c r="B27" s="422"/>
      <c r="C27" s="422"/>
      <c r="D27" s="422"/>
      <c r="E27" s="419" t="s">
        <v>146</v>
      </c>
      <c r="F27" s="423"/>
      <c r="G27" s="423"/>
      <c r="H27" s="424"/>
      <c r="I27" s="430">
        <v>0.17499999999999999</v>
      </c>
      <c r="J27" s="424">
        <f t="shared" si="559"/>
        <v>350</v>
      </c>
      <c r="K27" s="433">
        <f t="shared" si="599"/>
        <v>0.1</v>
      </c>
      <c r="L27" s="424">
        <f t="shared" si="560"/>
        <v>35</v>
      </c>
      <c r="M27" s="423">
        <v>1</v>
      </c>
      <c r="N27" s="424">
        <f t="shared" si="561"/>
        <v>35</v>
      </c>
      <c r="O27" s="431">
        <f>'Parameters and Summary'!E77</f>
        <v>1</v>
      </c>
      <c r="P27" s="424">
        <f t="shared" si="410"/>
        <v>35</v>
      </c>
      <c r="Q27" s="424">
        <v>1</v>
      </c>
      <c r="R27" s="424">
        <f t="shared" si="562"/>
        <v>1500</v>
      </c>
      <c r="S27" s="424">
        <f t="shared" si="411"/>
        <v>52500</v>
      </c>
      <c r="T27" s="423">
        <f t="shared" si="412"/>
        <v>6</v>
      </c>
      <c r="U27" s="424">
        <f t="shared" si="413"/>
        <v>1</v>
      </c>
      <c r="V27" s="432">
        <f t="shared" si="414"/>
        <v>210</v>
      </c>
      <c r="W27" s="424">
        <f t="shared" si="415"/>
        <v>315000</v>
      </c>
      <c r="X27" s="423">
        <f t="shared" si="416"/>
        <v>24</v>
      </c>
      <c r="Y27" s="424">
        <f t="shared" si="417"/>
        <v>1</v>
      </c>
      <c r="Z27" s="432">
        <f t="shared" si="418"/>
        <v>840</v>
      </c>
      <c r="AA27" s="424">
        <f t="shared" si="419"/>
        <v>1260000</v>
      </c>
      <c r="AB27" s="423">
        <f t="shared" si="420"/>
        <v>288</v>
      </c>
      <c r="AC27" s="424">
        <f t="shared" si="421"/>
        <v>1</v>
      </c>
      <c r="AD27" s="432">
        <f t="shared" si="422"/>
        <v>10080</v>
      </c>
      <c r="AE27" s="424">
        <f t="shared" si="423"/>
        <v>15120000</v>
      </c>
      <c r="AG27" s="424"/>
      <c r="AH27" s="430">
        <v>0.17499999999999999</v>
      </c>
      <c r="AI27" s="424">
        <f t="shared" si="563"/>
        <v>700</v>
      </c>
      <c r="AJ27" s="433">
        <f t="shared" si="600"/>
        <v>0.1</v>
      </c>
      <c r="AK27" s="424">
        <f t="shared" si="564"/>
        <v>70</v>
      </c>
      <c r="AL27" s="423">
        <v>1</v>
      </c>
      <c r="AM27" s="424">
        <f t="shared" si="565"/>
        <v>70</v>
      </c>
      <c r="AN27" s="431">
        <f t="shared" si="424"/>
        <v>1</v>
      </c>
      <c r="AO27" s="424">
        <f t="shared" si="425"/>
        <v>70</v>
      </c>
      <c r="AP27" s="424">
        <v>1</v>
      </c>
      <c r="AQ27" s="424">
        <f t="shared" si="566"/>
        <v>1575</v>
      </c>
      <c r="AR27" s="424">
        <f t="shared" si="426"/>
        <v>110250</v>
      </c>
      <c r="AS27" s="423">
        <f t="shared" si="427"/>
        <v>6</v>
      </c>
      <c r="AT27" s="424">
        <f t="shared" si="428"/>
        <v>1</v>
      </c>
      <c r="AU27" s="432">
        <f t="shared" si="429"/>
        <v>420</v>
      </c>
      <c r="AV27" s="424">
        <f t="shared" si="430"/>
        <v>661500</v>
      </c>
      <c r="AW27" s="423">
        <f t="shared" si="431"/>
        <v>24</v>
      </c>
      <c r="AX27" s="424">
        <f t="shared" si="432"/>
        <v>1</v>
      </c>
      <c r="AY27" s="432">
        <f t="shared" si="433"/>
        <v>1680</v>
      </c>
      <c r="AZ27" s="424">
        <f t="shared" si="434"/>
        <v>2646000</v>
      </c>
      <c r="BA27" s="423">
        <f t="shared" si="435"/>
        <v>288</v>
      </c>
      <c r="BB27" s="424">
        <f t="shared" si="436"/>
        <v>1</v>
      </c>
      <c r="BC27" s="432">
        <f t="shared" si="437"/>
        <v>20160</v>
      </c>
      <c r="BD27" s="424">
        <f t="shared" si="438"/>
        <v>31752000</v>
      </c>
      <c r="BF27" s="424"/>
      <c r="BG27" s="430">
        <v>0.17499999999999999</v>
      </c>
      <c r="BH27" s="424">
        <f t="shared" si="567"/>
        <v>1050</v>
      </c>
      <c r="BI27" s="433">
        <f t="shared" si="601"/>
        <v>0.1</v>
      </c>
      <c r="BJ27" s="424">
        <f t="shared" si="568"/>
        <v>105</v>
      </c>
      <c r="BK27" s="423">
        <v>1</v>
      </c>
      <c r="BL27" s="424">
        <f t="shared" si="569"/>
        <v>105</v>
      </c>
      <c r="BM27" s="431">
        <f t="shared" si="439"/>
        <v>1</v>
      </c>
      <c r="BN27" s="424">
        <f t="shared" si="440"/>
        <v>105</v>
      </c>
      <c r="BO27" s="424">
        <v>1</v>
      </c>
      <c r="BP27" s="424">
        <f t="shared" si="570"/>
        <v>1653.75</v>
      </c>
      <c r="BQ27" s="424">
        <f t="shared" si="441"/>
        <v>173643.75</v>
      </c>
      <c r="BR27" s="423">
        <f t="shared" si="442"/>
        <v>6</v>
      </c>
      <c r="BS27" s="424">
        <f t="shared" si="443"/>
        <v>1</v>
      </c>
      <c r="BT27" s="432">
        <f t="shared" si="444"/>
        <v>630</v>
      </c>
      <c r="BU27" s="424">
        <f t="shared" si="445"/>
        <v>1041862.5</v>
      </c>
      <c r="BV27" s="423">
        <f t="shared" si="446"/>
        <v>24</v>
      </c>
      <c r="BW27" s="424">
        <f t="shared" si="447"/>
        <v>1</v>
      </c>
      <c r="BX27" s="432">
        <f t="shared" si="448"/>
        <v>2520</v>
      </c>
      <c r="BY27" s="424">
        <f t="shared" si="449"/>
        <v>4167450</v>
      </c>
      <c r="BZ27" s="423">
        <f t="shared" si="450"/>
        <v>288</v>
      </c>
      <c r="CA27" s="424">
        <f t="shared" si="451"/>
        <v>1</v>
      </c>
      <c r="CB27" s="432">
        <f t="shared" si="452"/>
        <v>30240</v>
      </c>
      <c r="CC27" s="424">
        <f t="shared" si="453"/>
        <v>50009400</v>
      </c>
      <c r="CE27" s="424"/>
      <c r="CF27" s="430">
        <v>0.17499999999999999</v>
      </c>
      <c r="CG27" s="424">
        <f t="shared" si="571"/>
        <v>1400</v>
      </c>
      <c r="CH27" s="433">
        <f t="shared" si="602"/>
        <v>0.1</v>
      </c>
      <c r="CI27" s="424">
        <f t="shared" si="572"/>
        <v>140</v>
      </c>
      <c r="CJ27" s="423">
        <v>1</v>
      </c>
      <c r="CK27" s="424">
        <f t="shared" si="573"/>
        <v>140</v>
      </c>
      <c r="CL27" s="431">
        <f t="shared" si="454"/>
        <v>1</v>
      </c>
      <c r="CM27" s="424">
        <f t="shared" si="455"/>
        <v>140</v>
      </c>
      <c r="CN27" s="424">
        <v>1</v>
      </c>
      <c r="CO27" s="424">
        <f t="shared" si="574"/>
        <v>1736.4375</v>
      </c>
      <c r="CP27" s="424">
        <f t="shared" si="456"/>
        <v>243101.25</v>
      </c>
      <c r="CQ27" s="423">
        <f t="shared" si="457"/>
        <v>6</v>
      </c>
      <c r="CR27" s="424">
        <f t="shared" si="458"/>
        <v>1</v>
      </c>
      <c r="CS27" s="432">
        <f t="shared" si="459"/>
        <v>840</v>
      </c>
      <c r="CT27" s="424">
        <f t="shared" si="460"/>
        <v>1458607.5</v>
      </c>
      <c r="CU27" s="423">
        <f t="shared" si="461"/>
        <v>24</v>
      </c>
      <c r="CV27" s="424">
        <f t="shared" si="462"/>
        <v>1</v>
      </c>
      <c r="CW27" s="432">
        <f t="shared" si="463"/>
        <v>3360</v>
      </c>
      <c r="CX27" s="424">
        <f t="shared" si="464"/>
        <v>5834430</v>
      </c>
      <c r="CY27" s="423">
        <f t="shared" si="465"/>
        <v>288</v>
      </c>
      <c r="CZ27" s="424">
        <f t="shared" si="466"/>
        <v>1</v>
      </c>
      <c r="DA27" s="432">
        <f t="shared" si="467"/>
        <v>40320</v>
      </c>
      <c r="DB27" s="424">
        <f t="shared" si="468"/>
        <v>70013160</v>
      </c>
      <c r="DD27" s="424"/>
      <c r="DE27" s="430">
        <v>0.17499999999999999</v>
      </c>
      <c r="DF27" s="424">
        <f t="shared" si="575"/>
        <v>1750</v>
      </c>
      <c r="DG27" s="433">
        <f t="shared" si="603"/>
        <v>0.1</v>
      </c>
      <c r="DH27" s="424">
        <f t="shared" si="576"/>
        <v>175</v>
      </c>
      <c r="DI27" s="423">
        <v>1</v>
      </c>
      <c r="DJ27" s="424">
        <f t="shared" si="577"/>
        <v>175</v>
      </c>
      <c r="DK27" s="431">
        <f t="shared" si="469"/>
        <v>1</v>
      </c>
      <c r="DL27" s="424">
        <f t="shared" si="470"/>
        <v>175</v>
      </c>
      <c r="DM27" s="424">
        <v>1</v>
      </c>
      <c r="DN27" s="424">
        <f t="shared" si="578"/>
        <v>1823.2593750000001</v>
      </c>
      <c r="DO27" s="424">
        <f t="shared" si="471"/>
        <v>319070.390625</v>
      </c>
      <c r="DP27" s="423">
        <f t="shared" si="472"/>
        <v>6</v>
      </c>
      <c r="DQ27" s="424">
        <f t="shared" si="473"/>
        <v>1</v>
      </c>
      <c r="DR27" s="432">
        <f t="shared" si="474"/>
        <v>1050</v>
      </c>
      <c r="DS27" s="424">
        <f t="shared" si="475"/>
        <v>1914422.34375</v>
      </c>
      <c r="DT27" s="423">
        <f t="shared" si="476"/>
        <v>24</v>
      </c>
      <c r="DU27" s="424">
        <f t="shared" si="477"/>
        <v>1</v>
      </c>
      <c r="DV27" s="432">
        <f t="shared" si="478"/>
        <v>4200</v>
      </c>
      <c r="DW27" s="424">
        <f t="shared" si="479"/>
        <v>7657689.375</v>
      </c>
      <c r="DX27" s="423">
        <f t="shared" si="480"/>
        <v>288</v>
      </c>
      <c r="DY27" s="424">
        <f t="shared" si="481"/>
        <v>1</v>
      </c>
      <c r="DZ27" s="432">
        <f t="shared" si="482"/>
        <v>50400</v>
      </c>
      <c r="EA27" s="424">
        <f t="shared" si="483"/>
        <v>91892272.5</v>
      </c>
      <c r="EC27" s="424"/>
      <c r="ED27" s="430">
        <v>0.17499999999999999</v>
      </c>
      <c r="EE27" s="424">
        <f t="shared" si="579"/>
        <v>1750</v>
      </c>
      <c r="EF27" s="433">
        <f t="shared" si="604"/>
        <v>0.1</v>
      </c>
      <c r="EG27" s="424">
        <f t="shared" si="580"/>
        <v>175</v>
      </c>
      <c r="EH27" s="423">
        <v>1</v>
      </c>
      <c r="EI27" s="424">
        <f t="shared" si="581"/>
        <v>175</v>
      </c>
      <c r="EJ27" s="431">
        <f t="shared" si="484"/>
        <v>1</v>
      </c>
      <c r="EK27" s="424">
        <f t="shared" si="485"/>
        <v>175</v>
      </c>
      <c r="EL27" s="424">
        <v>1</v>
      </c>
      <c r="EM27" s="424">
        <f t="shared" si="582"/>
        <v>1914.4223437500002</v>
      </c>
      <c r="EN27" s="424">
        <f t="shared" si="486"/>
        <v>335023.91015625006</v>
      </c>
      <c r="EO27" s="423">
        <f t="shared" si="487"/>
        <v>6</v>
      </c>
      <c r="EP27" s="424">
        <f t="shared" si="488"/>
        <v>1</v>
      </c>
      <c r="EQ27" s="432">
        <f t="shared" si="489"/>
        <v>1050</v>
      </c>
      <c r="ER27" s="424">
        <f t="shared" si="490"/>
        <v>2010143.4609375002</v>
      </c>
      <c r="ES27" s="423">
        <f t="shared" si="491"/>
        <v>24</v>
      </c>
      <c r="ET27" s="424">
        <f t="shared" si="492"/>
        <v>1</v>
      </c>
      <c r="EU27" s="432">
        <f t="shared" si="493"/>
        <v>4200</v>
      </c>
      <c r="EV27" s="424">
        <f t="shared" si="494"/>
        <v>8040573.8437500009</v>
      </c>
      <c r="EW27" s="423">
        <f t="shared" si="495"/>
        <v>288</v>
      </c>
      <c r="EX27" s="424">
        <f t="shared" si="496"/>
        <v>1</v>
      </c>
      <c r="EY27" s="432">
        <f t="shared" si="497"/>
        <v>50400</v>
      </c>
      <c r="EZ27" s="424">
        <f t="shared" si="498"/>
        <v>96486886.125000015</v>
      </c>
      <c r="FB27" s="424"/>
      <c r="FC27" s="430">
        <v>0.17499999999999999</v>
      </c>
      <c r="FD27" s="424">
        <f t="shared" si="583"/>
        <v>1750</v>
      </c>
      <c r="FE27" s="433">
        <f t="shared" si="605"/>
        <v>0.1</v>
      </c>
      <c r="FF27" s="424">
        <f t="shared" si="584"/>
        <v>175</v>
      </c>
      <c r="FG27" s="423">
        <v>1</v>
      </c>
      <c r="FH27" s="424">
        <f t="shared" si="585"/>
        <v>175</v>
      </c>
      <c r="FI27" s="431">
        <f t="shared" si="499"/>
        <v>1</v>
      </c>
      <c r="FJ27" s="424">
        <f t="shared" si="500"/>
        <v>175</v>
      </c>
      <c r="FK27" s="424">
        <v>1</v>
      </c>
      <c r="FL27" s="424">
        <f t="shared" si="586"/>
        <v>2010.1434609375003</v>
      </c>
      <c r="FM27" s="424">
        <f t="shared" si="501"/>
        <v>351775.10566406255</v>
      </c>
      <c r="FN27" s="423">
        <f t="shared" si="502"/>
        <v>6</v>
      </c>
      <c r="FO27" s="424">
        <f t="shared" si="503"/>
        <v>1</v>
      </c>
      <c r="FP27" s="432">
        <f t="shared" si="504"/>
        <v>1050</v>
      </c>
      <c r="FQ27" s="424">
        <f t="shared" si="505"/>
        <v>2110650.6339843753</v>
      </c>
      <c r="FR27" s="423">
        <f t="shared" si="506"/>
        <v>24</v>
      </c>
      <c r="FS27" s="424">
        <f t="shared" si="507"/>
        <v>1</v>
      </c>
      <c r="FT27" s="432">
        <f t="shared" si="508"/>
        <v>4200</v>
      </c>
      <c r="FU27" s="424">
        <f t="shared" si="509"/>
        <v>8442602.5359375011</v>
      </c>
      <c r="FV27" s="423">
        <f t="shared" si="510"/>
        <v>288</v>
      </c>
      <c r="FW27" s="424">
        <f t="shared" si="511"/>
        <v>1</v>
      </c>
      <c r="FX27" s="432">
        <f t="shared" si="512"/>
        <v>50400</v>
      </c>
      <c r="FY27" s="424">
        <f t="shared" si="513"/>
        <v>101311230.43125002</v>
      </c>
      <c r="GA27" s="424"/>
      <c r="GB27" s="430">
        <v>0.17499999999999999</v>
      </c>
      <c r="GC27" s="424">
        <f t="shared" si="587"/>
        <v>1750</v>
      </c>
      <c r="GD27" s="433">
        <f t="shared" si="606"/>
        <v>0.1</v>
      </c>
      <c r="GE27" s="424">
        <f t="shared" si="588"/>
        <v>175</v>
      </c>
      <c r="GF27" s="423">
        <v>1</v>
      </c>
      <c r="GG27" s="424">
        <f t="shared" si="589"/>
        <v>175</v>
      </c>
      <c r="GH27" s="431">
        <f t="shared" si="514"/>
        <v>1</v>
      </c>
      <c r="GI27" s="424">
        <f t="shared" si="515"/>
        <v>175</v>
      </c>
      <c r="GJ27" s="424">
        <v>1</v>
      </c>
      <c r="GK27" s="424">
        <f t="shared" si="590"/>
        <v>2110.6506339843754</v>
      </c>
      <c r="GL27" s="424">
        <f t="shared" si="516"/>
        <v>369363.8609472657</v>
      </c>
      <c r="GM27" s="423">
        <f t="shared" si="517"/>
        <v>6</v>
      </c>
      <c r="GN27" s="424">
        <f t="shared" si="518"/>
        <v>1</v>
      </c>
      <c r="GO27" s="432">
        <f t="shared" si="519"/>
        <v>1050</v>
      </c>
      <c r="GP27" s="424">
        <f t="shared" si="520"/>
        <v>2216183.1656835941</v>
      </c>
      <c r="GQ27" s="423">
        <f t="shared" si="521"/>
        <v>24</v>
      </c>
      <c r="GR27" s="424">
        <f t="shared" si="522"/>
        <v>1</v>
      </c>
      <c r="GS27" s="432">
        <f t="shared" si="523"/>
        <v>4200</v>
      </c>
      <c r="GT27" s="424">
        <f t="shared" si="524"/>
        <v>8864732.6627343763</v>
      </c>
      <c r="GU27" s="423">
        <f t="shared" si="525"/>
        <v>288</v>
      </c>
      <c r="GV27" s="424">
        <f t="shared" si="526"/>
        <v>1</v>
      </c>
      <c r="GW27" s="432">
        <f t="shared" si="527"/>
        <v>50400</v>
      </c>
      <c r="GX27" s="424">
        <f t="shared" si="528"/>
        <v>106376791.95281252</v>
      </c>
      <c r="GZ27" s="424"/>
      <c r="HA27" s="430">
        <v>0.17499999999999999</v>
      </c>
      <c r="HB27" s="424">
        <f t="shared" si="591"/>
        <v>1750</v>
      </c>
      <c r="HC27" s="433">
        <f t="shared" si="607"/>
        <v>0.1</v>
      </c>
      <c r="HD27" s="424">
        <f t="shared" si="592"/>
        <v>175</v>
      </c>
      <c r="HE27" s="423">
        <v>1</v>
      </c>
      <c r="HF27" s="424">
        <f t="shared" si="593"/>
        <v>175</v>
      </c>
      <c r="HG27" s="431">
        <f t="shared" si="529"/>
        <v>1</v>
      </c>
      <c r="HH27" s="424">
        <f t="shared" si="530"/>
        <v>175</v>
      </c>
      <c r="HI27" s="424">
        <v>1</v>
      </c>
      <c r="HJ27" s="424">
        <f t="shared" si="594"/>
        <v>2216.1831656835943</v>
      </c>
      <c r="HK27" s="424">
        <f t="shared" si="531"/>
        <v>387832.05399462901</v>
      </c>
      <c r="HL27" s="423">
        <f t="shared" si="532"/>
        <v>6</v>
      </c>
      <c r="HM27" s="424">
        <f t="shared" si="533"/>
        <v>1</v>
      </c>
      <c r="HN27" s="432">
        <f t="shared" si="534"/>
        <v>1050</v>
      </c>
      <c r="HO27" s="424">
        <f t="shared" si="535"/>
        <v>2326992.3239677739</v>
      </c>
      <c r="HP27" s="423">
        <f t="shared" si="536"/>
        <v>24</v>
      </c>
      <c r="HQ27" s="424">
        <f t="shared" si="537"/>
        <v>1</v>
      </c>
      <c r="HR27" s="432">
        <f t="shared" si="538"/>
        <v>4200</v>
      </c>
      <c r="HS27" s="424">
        <f t="shared" si="539"/>
        <v>9307969.2958710957</v>
      </c>
      <c r="HT27" s="423">
        <f t="shared" si="540"/>
        <v>288</v>
      </c>
      <c r="HU27" s="424">
        <f t="shared" si="541"/>
        <v>1</v>
      </c>
      <c r="HV27" s="432">
        <f t="shared" si="542"/>
        <v>50400</v>
      </c>
      <c r="HW27" s="424">
        <f t="shared" si="543"/>
        <v>111695631.55045316</v>
      </c>
      <c r="HY27" s="424"/>
      <c r="HZ27" s="430">
        <v>0.17499999999999999</v>
      </c>
      <c r="IA27" s="424">
        <f t="shared" si="595"/>
        <v>1750</v>
      </c>
      <c r="IB27" s="433">
        <f t="shared" si="608"/>
        <v>0.1</v>
      </c>
      <c r="IC27" s="424">
        <f t="shared" si="596"/>
        <v>175</v>
      </c>
      <c r="ID27" s="423">
        <v>1</v>
      </c>
      <c r="IE27" s="424">
        <f t="shared" si="597"/>
        <v>175</v>
      </c>
      <c r="IF27" s="431">
        <f t="shared" si="544"/>
        <v>1</v>
      </c>
      <c r="IG27" s="424">
        <f t="shared" si="545"/>
        <v>175</v>
      </c>
      <c r="IH27" s="424">
        <v>1</v>
      </c>
      <c r="II27" s="424">
        <f t="shared" si="598"/>
        <v>2326.9923239677742</v>
      </c>
      <c r="IJ27" s="424">
        <f t="shared" si="546"/>
        <v>407223.65669436048</v>
      </c>
      <c r="IK27" s="423">
        <f t="shared" si="547"/>
        <v>6</v>
      </c>
      <c r="IL27" s="424">
        <f t="shared" si="548"/>
        <v>1</v>
      </c>
      <c r="IM27" s="432">
        <f t="shared" si="549"/>
        <v>1050</v>
      </c>
      <c r="IN27" s="424">
        <f t="shared" si="550"/>
        <v>2443341.9401661628</v>
      </c>
      <c r="IO27" s="423">
        <f t="shared" si="551"/>
        <v>24</v>
      </c>
      <c r="IP27" s="424">
        <f t="shared" si="552"/>
        <v>1</v>
      </c>
      <c r="IQ27" s="432">
        <f t="shared" si="553"/>
        <v>4200</v>
      </c>
      <c r="IR27" s="424">
        <f t="shared" si="554"/>
        <v>9773367.7606646512</v>
      </c>
      <c r="IS27" s="423">
        <f t="shared" si="555"/>
        <v>288</v>
      </c>
      <c r="IT27" s="424">
        <f t="shared" si="556"/>
        <v>1</v>
      </c>
      <c r="IU27" s="432">
        <f t="shared" si="557"/>
        <v>50400</v>
      </c>
      <c r="IV27" s="424">
        <f t="shared" si="558"/>
        <v>117280413.12797582</v>
      </c>
    </row>
    <row r="28" spans="2:256" x14ac:dyDescent="0.25">
      <c r="B28" s="422"/>
      <c r="C28" s="422"/>
      <c r="D28" s="422"/>
      <c r="E28" s="419" t="s">
        <v>147</v>
      </c>
      <c r="F28" s="423"/>
      <c r="G28" s="423"/>
      <c r="H28" s="424"/>
      <c r="I28" s="430">
        <v>0.105</v>
      </c>
      <c r="J28" s="424">
        <f t="shared" si="559"/>
        <v>210</v>
      </c>
      <c r="K28" s="433">
        <f t="shared" si="599"/>
        <v>0.1</v>
      </c>
      <c r="L28" s="424">
        <f t="shared" si="560"/>
        <v>21</v>
      </c>
      <c r="M28" s="423">
        <v>1</v>
      </c>
      <c r="N28" s="424">
        <f t="shared" si="561"/>
        <v>21</v>
      </c>
      <c r="O28" s="431">
        <f>'Parameters and Summary'!E78</f>
        <v>1</v>
      </c>
      <c r="P28" s="424">
        <f t="shared" si="410"/>
        <v>21</v>
      </c>
      <c r="Q28" s="424">
        <v>1</v>
      </c>
      <c r="R28" s="424">
        <f t="shared" si="562"/>
        <v>1500</v>
      </c>
      <c r="S28" s="424">
        <f t="shared" si="411"/>
        <v>31500</v>
      </c>
      <c r="T28" s="423">
        <f t="shared" si="412"/>
        <v>6</v>
      </c>
      <c r="U28" s="424">
        <f t="shared" si="413"/>
        <v>1</v>
      </c>
      <c r="V28" s="432">
        <f t="shared" si="414"/>
        <v>126</v>
      </c>
      <c r="W28" s="424">
        <f t="shared" si="415"/>
        <v>189000</v>
      </c>
      <c r="X28" s="423">
        <f t="shared" si="416"/>
        <v>24</v>
      </c>
      <c r="Y28" s="424">
        <f t="shared" si="417"/>
        <v>1</v>
      </c>
      <c r="Z28" s="432">
        <f t="shared" si="418"/>
        <v>504</v>
      </c>
      <c r="AA28" s="424">
        <f t="shared" si="419"/>
        <v>756000</v>
      </c>
      <c r="AB28" s="423">
        <f t="shared" si="420"/>
        <v>288</v>
      </c>
      <c r="AC28" s="424">
        <f t="shared" si="421"/>
        <v>1</v>
      </c>
      <c r="AD28" s="432">
        <f t="shared" si="422"/>
        <v>6048</v>
      </c>
      <c r="AE28" s="424">
        <f t="shared" si="423"/>
        <v>9072000</v>
      </c>
      <c r="AG28" s="424"/>
      <c r="AH28" s="430">
        <v>0.105</v>
      </c>
      <c r="AI28" s="424">
        <f t="shared" si="563"/>
        <v>420</v>
      </c>
      <c r="AJ28" s="433">
        <f t="shared" si="600"/>
        <v>0.1</v>
      </c>
      <c r="AK28" s="424">
        <f t="shared" si="564"/>
        <v>42</v>
      </c>
      <c r="AL28" s="423">
        <v>1</v>
      </c>
      <c r="AM28" s="424">
        <f t="shared" si="565"/>
        <v>42</v>
      </c>
      <c r="AN28" s="431">
        <f t="shared" si="424"/>
        <v>1</v>
      </c>
      <c r="AO28" s="424">
        <f t="shared" si="425"/>
        <v>42</v>
      </c>
      <c r="AP28" s="424">
        <v>1</v>
      </c>
      <c r="AQ28" s="424">
        <f t="shared" si="566"/>
        <v>1575</v>
      </c>
      <c r="AR28" s="424">
        <f t="shared" si="426"/>
        <v>66150</v>
      </c>
      <c r="AS28" s="423">
        <f t="shared" si="427"/>
        <v>6</v>
      </c>
      <c r="AT28" s="424">
        <f t="shared" si="428"/>
        <v>1</v>
      </c>
      <c r="AU28" s="432">
        <f t="shared" si="429"/>
        <v>252</v>
      </c>
      <c r="AV28" s="424">
        <f t="shared" si="430"/>
        <v>396900</v>
      </c>
      <c r="AW28" s="423">
        <f t="shared" si="431"/>
        <v>24</v>
      </c>
      <c r="AX28" s="424">
        <f t="shared" si="432"/>
        <v>1</v>
      </c>
      <c r="AY28" s="432">
        <f t="shared" si="433"/>
        <v>1008</v>
      </c>
      <c r="AZ28" s="424">
        <f t="shared" si="434"/>
        <v>1587600</v>
      </c>
      <c r="BA28" s="423">
        <f t="shared" si="435"/>
        <v>288</v>
      </c>
      <c r="BB28" s="424">
        <f t="shared" si="436"/>
        <v>1</v>
      </c>
      <c r="BC28" s="432">
        <f t="shared" si="437"/>
        <v>12096</v>
      </c>
      <c r="BD28" s="424">
        <f t="shared" si="438"/>
        <v>19051200</v>
      </c>
      <c r="BF28" s="424"/>
      <c r="BG28" s="430">
        <v>0.105</v>
      </c>
      <c r="BH28" s="424">
        <f t="shared" si="567"/>
        <v>630</v>
      </c>
      <c r="BI28" s="433">
        <f t="shared" si="601"/>
        <v>0.1</v>
      </c>
      <c r="BJ28" s="424">
        <f t="shared" si="568"/>
        <v>63</v>
      </c>
      <c r="BK28" s="423">
        <v>1</v>
      </c>
      <c r="BL28" s="424">
        <f t="shared" si="569"/>
        <v>63</v>
      </c>
      <c r="BM28" s="431">
        <f t="shared" si="439"/>
        <v>1</v>
      </c>
      <c r="BN28" s="424">
        <f t="shared" si="440"/>
        <v>63</v>
      </c>
      <c r="BO28" s="424">
        <v>1</v>
      </c>
      <c r="BP28" s="424">
        <f t="shared" si="570"/>
        <v>1653.75</v>
      </c>
      <c r="BQ28" s="424">
        <f t="shared" si="441"/>
        <v>104186.25</v>
      </c>
      <c r="BR28" s="423">
        <f t="shared" si="442"/>
        <v>6</v>
      </c>
      <c r="BS28" s="424">
        <f t="shared" si="443"/>
        <v>1</v>
      </c>
      <c r="BT28" s="432">
        <f t="shared" si="444"/>
        <v>378</v>
      </c>
      <c r="BU28" s="424">
        <f t="shared" si="445"/>
        <v>625117.5</v>
      </c>
      <c r="BV28" s="423">
        <f t="shared" si="446"/>
        <v>24</v>
      </c>
      <c r="BW28" s="424">
        <f t="shared" si="447"/>
        <v>1</v>
      </c>
      <c r="BX28" s="432">
        <f t="shared" si="448"/>
        <v>1512</v>
      </c>
      <c r="BY28" s="424">
        <f t="shared" si="449"/>
        <v>2500470</v>
      </c>
      <c r="BZ28" s="423">
        <f t="shared" si="450"/>
        <v>288</v>
      </c>
      <c r="CA28" s="424">
        <f t="shared" si="451"/>
        <v>1</v>
      </c>
      <c r="CB28" s="432">
        <f t="shared" si="452"/>
        <v>18144</v>
      </c>
      <c r="CC28" s="424">
        <f t="shared" si="453"/>
        <v>30005640</v>
      </c>
      <c r="CE28" s="424"/>
      <c r="CF28" s="430">
        <v>0.105</v>
      </c>
      <c r="CG28" s="424">
        <f t="shared" si="571"/>
        <v>840</v>
      </c>
      <c r="CH28" s="433">
        <f t="shared" si="602"/>
        <v>0.1</v>
      </c>
      <c r="CI28" s="424">
        <f t="shared" si="572"/>
        <v>84</v>
      </c>
      <c r="CJ28" s="423">
        <v>1</v>
      </c>
      <c r="CK28" s="424">
        <f t="shared" si="573"/>
        <v>84</v>
      </c>
      <c r="CL28" s="431">
        <f t="shared" si="454"/>
        <v>1</v>
      </c>
      <c r="CM28" s="424">
        <f t="shared" si="455"/>
        <v>84</v>
      </c>
      <c r="CN28" s="424">
        <v>1</v>
      </c>
      <c r="CO28" s="424">
        <f t="shared" si="574"/>
        <v>1736.4375</v>
      </c>
      <c r="CP28" s="424">
        <f t="shared" si="456"/>
        <v>145860.75</v>
      </c>
      <c r="CQ28" s="423">
        <f t="shared" si="457"/>
        <v>6</v>
      </c>
      <c r="CR28" s="424">
        <f t="shared" si="458"/>
        <v>1</v>
      </c>
      <c r="CS28" s="432">
        <f t="shared" si="459"/>
        <v>504</v>
      </c>
      <c r="CT28" s="424">
        <f t="shared" si="460"/>
        <v>875164.5</v>
      </c>
      <c r="CU28" s="423">
        <f t="shared" si="461"/>
        <v>24</v>
      </c>
      <c r="CV28" s="424">
        <f t="shared" si="462"/>
        <v>1</v>
      </c>
      <c r="CW28" s="432">
        <f t="shared" si="463"/>
        <v>2016</v>
      </c>
      <c r="CX28" s="424">
        <f t="shared" si="464"/>
        <v>3500658</v>
      </c>
      <c r="CY28" s="423">
        <f t="shared" si="465"/>
        <v>288</v>
      </c>
      <c r="CZ28" s="424">
        <f t="shared" si="466"/>
        <v>1</v>
      </c>
      <c r="DA28" s="432">
        <f t="shared" si="467"/>
        <v>24192</v>
      </c>
      <c r="DB28" s="424">
        <f t="shared" si="468"/>
        <v>42007896</v>
      </c>
      <c r="DD28" s="424"/>
      <c r="DE28" s="430">
        <v>0.105</v>
      </c>
      <c r="DF28" s="424">
        <f t="shared" si="575"/>
        <v>1050</v>
      </c>
      <c r="DG28" s="433">
        <f t="shared" si="603"/>
        <v>0.1</v>
      </c>
      <c r="DH28" s="424">
        <f t="shared" si="576"/>
        <v>105</v>
      </c>
      <c r="DI28" s="423">
        <v>1</v>
      </c>
      <c r="DJ28" s="424">
        <f t="shared" si="577"/>
        <v>105</v>
      </c>
      <c r="DK28" s="431">
        <f t="shared" si="469"/>
        <v>1</v>
      </c>
      <c r="DL28" s="424">
        <f t="shared" si="470"/>
        <v>105</v>
      </c>
      <c r="DM28" s="424">
        <v>1</v>
      </c>
      <c r="DN28" s="424">
        <f t="shared" si="578"/>
        <v>1823.2593750000001</v>
      </c>
      <c r="DO28" s="424">
        <f t="shared" si="471"/>
        <v>191442.234375</v>
      </c>
      <c r="DP28" s="423">
        <f t="shared" si="472"/>
        <v>6</v>
      </c>
      <c r="DQ28" s="424">
        <f t="shared" si="473"/>
        <v>1</v>
      </c>
      <c r="DR28" s="432">
        <f t="shared" si="474"/>
        <v>630</v>
      </c>
      <c r="DS28" s="424">
        <f t="shared" si="475"/>
        <v>1148653.40625</v>
      </c>
      <c r="DT28" s="423">
        <f t="shared" si="476"/>
        <v>24</v>
      </c>
      <c r="DU28" s="424">
        <f t="shared" si="477"/>
        <v>1</v>
      </c>
      <c r="DV28" s="432">
        <f t="shared" si="478"/>
        <v>2520</v>
      </c>
      <c r="DW28" s="424">
        <f t="shared" si="479"/>
        <v>4594613.625</v>
      </c>
      <c r="DX28" s="423">
        <f t="shared" si="480"/>
        <v>288</v>
      </c>
      <c r="DY28" s="424">
        <f t="shared" si="481"/>
        <v>1</v>
      </c>
      <c r="DZ28" s="432">
        <f t="shared" si="482"/>
        <v>30240</v>
      </c>
      <c r="EA28" s="424">
        <f t="shared" si="483"/>
        <v>55135363.5</v>
      </c>
      <c r="EC28" s="424"/>
      <c r="ED28" s="430">
        <v>0.105</v>
      </c>
      <c r="EE28" s="424">
        <f t="shared" si="579"/>
        <v>1050</v>
      </c>
      <c r="EF28" s="433">
        <f t="shared" si="604"/>
        <v>0.1</v>
      </c>
      <c r="EG28" s="424">
        <f t="shared" si="580"/>
        <v>105</v>
      </c>
      <c r="EH28" s="423">
        <v>1</v>
      </c>
      <c r="EI28" s="424">
        <f t="shared" si="581"/>
        <v>105</v>
      </c>
      <c r="EJ28" s="431">
        <f t="shared" si="484"/>
        <v>1</v>
      </c>
      <c r="EK28" s="424">
        <f t="shared" si="485"/>
        <v>105</v>
      </c>
      <c r="EL28" s="424">
        <v>1</v>
      </c>
      <c r="EM28" s="424">
        <f t="shared" si="582"/>
        <v>1914.4223437500002</v>
      </c>
      <c r="EN28" s="424">
        <f t="shared" si="486"/>
        <v>201014.34609375003</v>
      </c>
      <c r="EO28" s="423">
        <f t="shared" si="487"/>
        <v>6</v>
      </c>
      <c r="EP28" s="424">
        <f t="shared" si="488"/>
        <v>1</v>
      </c>
      <c r="EQ28" s="432">
        <f t="shared" si="489"/>
        <v>630</v>
      </c>
      <c r="ER28" s="424">
        <f t="shared" si="490"/>
        <v>1206086.0765625001</v>
      </c>
      <c r="ES28" s="423">
        <f t="shared" si="491"/>
        <v>24</v>
      </c>
      <c r="ET28" s="424">
        <f t="shared" si="492"/>
        <v>1</v>
      </c>
      <c r="EU28" s="432">
        <f t="shared" si="493"/>
        <v>2520</v>
      </c>
      <c r="EV28" s="424">
        <f t="shared" si="494"/>
        <v>4824344.3062500004</v>
      </c>
      <c r="EW28" s="423">
        <f t="shared" si="495"/>
        <v>288</v>
      </c>
      <c r="EX28" s="424">
        <f t="shared" si="496"/>
        <v>1</v>
      </c>
      <c r="EY28" s="432">
        <f t="shared" si="497"/>
        <v>30240</v>
      </c>
      <c r="EZ28" s="424">
        <f t="shared" si="498"/>
        <v>57892131.675000004</v>
      </c>
      <c r="FB28" s="424"/>
      <c r="FC28" s="430">
        <v>0.105</v>
      </c>
      <c r="FD28" s="424">
        <f t="shared" si="583"/>
        <v>1050</v>
      </c>
      <c r="FE28" s="433">
        <f t="shared" si="605"/>
        <v>0.1</v>
      </c>
      <c r="FF28" s="424">
        <f t="shared" si="584"/>
        <v>105</v>
      </c>
      <c r="FG28" s="423">
        <v>1</v>
      </c>
      <c r="FH28" s="424">
        <f t="shared" si="585"/>
        <v>105</v>
      </c>
      <c r="FI28" s="431">
        <f t="shared" si="499"/>
        <v>1</v>
      </c>
      <c r="FJ28" s="424">
        <f t="shared" si="500"/>
        <v>105</v>
      </c>
      <c r="FK28" s="424">
        <v>1</v>
      </c>
      <c r="FL28" s="424">
        <f t="shared" si="586"/>
        <v>2010.1434609375003</v>
      </c>
      <c r="FM28" s="424">
        <f t="shared" si="501"/>
        <v>211065.06339843755</v>
      </c>
      <c r="FN28" s="423">
        <f t="shared" si="502"/>
        <v>6</v>
      </c>
      <c r="FO28" s="424">
        <f t="shared" si="503"/>
        <v>1</v>
      </c>
      <c r="FP28" s="432">
        <f t="shared" si="504"/>
        <v>630</v>
      </c>
      <c r="FQ28" s="424">
        <f t="shared" si="505"/>
        <v>1266390.3803906252</v>
      </c>
      <c r="FR28" s="423">
        <f t="shared" si="506"/>
        <v>24</v>
      </c>
      <c r="FS28" s="424">
        <f t="shared" si="507"/>
        <v>1</v>
      </c>
      <c r="FT28" s="432">
        <f t="shared" si="508"/>
        <v>2520</v>
      </c>
      <c r="FU28" s="424">
        <f t="shared" si="509"/>
        <v>5065561.5215625009</v>
      </c>
      <c r="FV28" s="423">
        <f t="shared" si="510"/>
        <v>288</v>
      </c>
      <c r="FW28" s="424">
        <f t="shared" si="511"/>
        <v>1</v>
      </c>
      <c r="FX28" s="432">
        <f t="shared" si="512"/>
        <v>30240</v>
      </c>
      <c r="FY28" s="424">
        <f t="shared" si="513"/>
        <v>60786738.258750007</v>
      </c>
      <c r="GA28" s="424"/>
      <c r="GB28" s="430">
        <v>0.105</v>
      </c>
      <c r="GC28" s="424">
        <f t="shared" si="587"/>
        <v>1050</v>
      </c>
      <c r="GD28" s="433">
        <f t="shared" si="606"/>
        <v>0.1</v>
      </c>
      <c r="GE28" s="424">
        <f t="shared" si="588"/>
        <v>105</v>
      </c>
      <c r="GF28" s="423">
        <v>1</v>
      </c>
      <c r="GG28" s="424">
        <f t="shared" si="589"/>
        <v>105</v>
      </c>
      <c r="GH28" s="431">
        <f t="shared" si="514"/>
        <v>1</v>
      </c>
      <c r="GI28" s="424">
        <f t="shared" si="515"/>
        <v>105</v>
      </c>
      <c r="GJ28" s="424">
        <v>1</v>
      </c>
      <c r="GK28" s="424">
        <f t="shared" si="590"/>
        <v>2110.6506339843754</v>
      </c>
      <c r="GL28" s="424">
        <f t="shared" si="516"/>
        <v>221618.31656835941</v>
      </c>
      <c r="GM28" s="423">
        <f t="shared" si="517"/>
        <v>6</v>
      </c>
      <c r="GN28" s="424">
        <f t="shared" si="518"/>
        <v>1</v>
      </c>
      <c r="GO28" s="432">
        <f t="shared" si="519"/>
        <v>630</v>
      </c>
      <c r="GP28" s="424">
        <f t="shared" si="520"/>
        <v>1329709.8994101565</v>
      </c>
      <c r="GQ28" s="423">
        <f t="shared" si="521"/>
        <v>24</v>
      </c>
      <c r="GR28" s="424">
        <f t="shared" si="522"/>
        <v>1</v>
      </c>
      <c r="GS28" s="432">
        <f t="shared" si="523"/>
        <v>2520</v>
      </c>
      <c r="GT28" s="424">
        <f t="shared" si="524"/>
        <v>5318839.5976406261</v>
      </c>
      <c r="GU28" s="423">
        <f t="shared" si="525"/>
        <v>288</v>
      </c>
      <c r="GV28" s="424">
        <f t="shared" si="526"/>
        <v>1</v>
      </c>
      <c r="GW28" s="432">
        <f t="shared" si="527"/>
        <v>30240</v>
      </c>
      <c r="GX28" s="424">
        <f t="shared" si="528"/>
        <v>63826075.171687514</v>
      </c>
      <c r="GZ28" s="424"/>
      <c r="HA28" s="430">
        <v>0.105</v>
      </c>
      <c r="HB28" s="424">
        <f t="shared" si="591"/>
        <v>1050</v>
      </c>
      <c r="HC28" s="433">
        <f t="shared" si="607"/>
        <v>0.1</v>
      </c>
      <c r="HD28" s="424">
        <f t="shared" si="592"/>
        <v>105</v>
      </c>
      <c r="HE28" s="423">
        <v>1</v>
      </c>
      <c r="HF28" s="424">
        <f t="shared" si="593"/>
        <v>105</v>
      </c>
      <c r="HG28" s="431">
        <f t="shared" si="529"/>
        <v>1</v>
      </c>
      <c r="HH28" s="424">
        <f t="shared" si="530"/>
        <v>105</v>
      </c>
      <c r="HI28" s="424">
        <v>1</v>
      </c>
      <c r="HJ28" s="424">
        <f t="shared" si="594"/>
        <v>2216.1831656835943</v>
      </c>
      <c r="HK28" s="424">
        <f t="shared" si="531"/>
        <v>232699.2323967774</v>
      </c>
      <c r="HL28" s="423">
        <f t="shared" si="532"/>
        <v>6</v>
      </c>
      <c r="HM28" s="424">
        <f t="shared" si="533"/>
        <v>1</v>
      </c>
      <c r="HN28" s="432">
        <f t="shared" si="534"/>
        <v>630</v>
      </c>
      <c r="HO28" s="424">
        <f t="shared" si="535"/>
        <v>1396195.3943806645</v>
      </c>
      <c r="HP28" s="423">
        <f t="shared" si="536"/>
        <v>24</v>
      </c>
      <c r="HQ28" s="424">
        <f t="shared" si="537"/>
        <v>1</v>
      </c>
      <c r="HR28" s="432">
        <f t="shared" si="538"/>
        <v>2520</v>
      </c>
      <c r="HS28" s="424">
        <f t="shared" si="539"/>
        <v>5584781.5775226578</v>
      </c>
      <c r="HT28" s="423">
        <f t="shared" si="540"/>
        <v>288</v>
      </c>
      <c r="HU28" s="424">
        <f t="shared" si="541"/>
        <v>1</v>
      </c>
      <c r="HV28" s="432">
        <f t="shared" si="542"/>
        <v>30240</v>
      </c>
      <c r="HW28" s="424">
        <f t="shared" si="543"/>
        <v>67017378.930271894</v>
      </c>
      <c r="HY28" s="424"/>
      <c r="HZ28" s="430">
        <v>0.105</v>
      </c>
      <c r="IA28" s="424">
        <f t="shared" si="595"/>
        <v>1050</v>
      </c>
      <c r="IB28" s="433">
        <f t="shared" si="608"/>
        <v>0.1</v>
      </c>
      <c r="IC28" s="424">
        <f t="shared" si="596"/>
        <v>105</v>
      </c>
      <c r="ID28" s="423">
        <v>1</v>
      </c>
      <c r="IE28" s="424">
        <f t="shared" si="597"/>
        <v>105</v>
      </c>
      <c r="IF28" s="431">
        <f t="shared" si="544"/>
        <v>1</v>
      </c>
      <c r="IG28" s="424">
        <f t="shared" si="545"/>
        <v>105</v>
      </c>
      <c r="IH28" s="424">
        <v>1</v>
      </c>
      <c r="II28" s="424">
        <f t="shared" si="598"/>
        <v>2326.9923239677742</v>
      </c>
      <c r="IJ28" s="424">
        <f t="shared" si="546"/>
        <v>244334.1940166163</v>
      </c>
      <c r="IK28" s="423">
        <f t="shared" si="547"/>
        <v>6</v>
      </c>
      <c r="IL28" s="424">
        <f t="shared" si="548"/>
        <v>1</v>
      </c>
      <c r="IM28" s="432">
        <f t="shared" si="549"/>
        <v>630</v>
      </c>
      <c r="IN28" s="424">
        <f t="shared" si="550"/>
        <v>1466005.1640996977</v>
      </c>
      <c r="IO28" s="423">
        <f t="shared" si="551"/>
        <v>24</v>
      </c>
      <c r="IP28" s="424">
        <f t="shared" si="552"/>
        <v>1</v>
      </c>
      <c r="IQ28" s="432">
        <f t="shared" si="553"/>
        <v>2520</v>
      </c>
      <c r="IR28" s="424">
        <f t="shared" si="554"/>
        <v>5864020.6563987909</v>
      </c>
      <c r="IS28" s="423">
        <f t="shared" si="555"/>
        <v>288</v>
      </c>
      <c r="IT28" s="424">
        <f t="shared" si="556"/>
        <v>1</v>
      </c>
      <c r="IU28" s="432">
        <f t="shared" si="557"/>
        <v>30240</v>
      </c>
      <c r="IV28" s="424">
        <f t="shared" si="558"/>
        <v>70368247.876785487</v>
      </c>
    </row>
    <row r="29" spans="2:256" x14ac:dyDescent="0.25">
      <c r="B29" s="422"/>
      <c r="C29" s="422"/>
      <c r="D29" s="422"/>
      <c r="E29" s="419" t="s">
        <v>148</v>
      </c>
      <c r="F29" s="423"/>
      <c r="G29" s="423"/>
      <c r="H29" s="424"/>
      <c r="I29" s="430">
        <v>7.0000000000000007E-2</v>
      </c>
      <c r="J29" s="424">
        <f t="shared" si="559"/>
        <v>140</v>
      </c>
      <c r="K29" s="433">
        <f t="shared" si="599"/>
        <v>0.1</v>
      </c>
      <c r="L29" s="424">
        <f t="shared" si="560"/>
        <v>14</v>
      </c>
      <c r="M29" s="423">
        <v>1</v>
      </c>
      <c r="N29" s="424">
        <f t="shared" si="561"/>
        <v>14</v>
      </c>
      <c r="O29" s="431">
        <f>'Parameters and Summary'!E79</f>
        <v>1</v>
      </c>
      <c r="P29" s="424">
        <f t="shared" si="410"/>
        <v>14</v>
      </c>
      <c r="Q29" s="424">
        <v>1</v>
      </c>
      <c r="R29" s="424">
        <f t="shared" si="562"/>
        <v>1500</v>
      </c>
      <c r="S29" s="424">
        <f t="shared" si="411"/>
        <v>21000</v>
      </c>
      <c r="T29" s="423">
        <f t="shared" si="412"/>
        <v>6</v>
      </c>
      <c r="U29" s="424">
        <f t="shared" si="413"/>
        <v>1</v>
      </c>
      <c r="V29" s="432">
        <f t="shared" si="414"/>
        <v>84</v>
      </c>
      <c r="W29" s="424">
        <f t="shared" si="415"/>
        <v>126000</v>
      </c>
      <c r="X29" s="423">
        <f t="shared" si="416"/>
        <v>24</v>
      </c>
      <c r="Y29" s="424">
        <f t="shared" si="417"/>
        <v>1</v>
      </c>
      <c r="Z29" s="432">
        <f t="shared" si="418"/>
        <v>336</v>
      </c>
      <c r="AA29" s="424">
        <f t="shared" si="419"/>
        <v>504000</v>
      </c>
      <c r="AB29" s="423">
        <f t="shared" si="420"/>
        <v>288</v>
      </c>
      <c r="AC29" s="424">
        <f t="shared" si="421"/>
        <v>1</v>
      </c>
      <c r="AD29" s="432">
        <f t="shared" si="422"/>
        <v>4032</v>
      </c>
      <c r="AE29" s="424">
        <f t="shared" si="423"/>
        <v>6048000</v>
      </c>
      <c r="AG29" s="424"/>
      <c r="AH29" s="430">
        <v>7.0000000000000007E-2</v>
      </c>
      <c r="AI29" s="424">
        <f t="shared" si="563"/>
        <v>280</v>
      </c>
      <c r="AJ29" s="433">
        <f t="shared" si="600"/>
        <v>0.1</v>
      </c>
      <c r="AK29" s="424">
        <f t="shared" si="564"/>
        <v>28</v>
      </c>
      <c r="AL29" s="423">
        <v>1</v>
      </c>
      <c r="AM29" s="424">
        <f t="shared" si="565"/>
        <v>28</v>
      </c>
      <c r="AN29" s="431">
        <f t="shared" si="424"/>
        <v>1</v>
      </c>
      <c r="AO29" s="424">
        <f t="shared" si="425"/>
        <v>28</v>
      </c>
      <c r="AP29" s="424">
        <v>1</v>
      </c>
      <c r="AQ29" s="424">
        <f t="shared" si="566"/>
        <v>1575</v>
      </c>
      <c r="AR29" s="424">
        <f t="shared" si="426"/>
        <v>44100</v>
      </c>
      <c r="AS29" s="423">
        <f t="shared" si="427"/>
        <v>6</v>
      </c>
      <c r="AT29" s="424">
        <f t="shared" si="428"/>
        <v>1</v>
      </c>
      <c r="AU29" s="432">
        <f t="shared" si="429"/>
        <v>168</v>
      </c>
      <c r="AV29" s="424">
        <f t="shared" si="430"/>
        <v>264600</v>
      </c>
      <c r="AW29" s="423">
        <f t="shared" si="431"/>
        <v>24</v>
      </c>
      <c r="AX29" s="424">
        <f t="shared" si="432"/>
        <v>1</v>
      </c>
      <c r="AY29" s="432">
        <f t="shared" si="433"/>
        <v>672</v>
      </c>
      <c r="AZ29" s="424">
        <f t="shared" si="434"/>
        <v>1058400</v>
      </c>
      <c r="BA29" s="423">
        <f t="shared" si="435"/>
        <v>288</v>
      </c>
      <c r="BB29" s="424">
        <f t="shared" si="436"/>
        <v>1</v>
      </c>
      <c r="BC29" s="432">
        <f t="shared" si="437"/>
        <v>8064</v>
      </c>
      <c r="BD29" s="424">
        <f t="shared" si="438"/>
        <v>12700800</v>
      </c>
      <c r="BF29" s="424"/>
      <c r="BG29" s="430">
        <v>7.0000000000000007E-2</v>
      </c>
      <c r="BH29" s="424">
        <f t="shared" si="567"/>
        <v>420.00000000000006</v>
      </c>
      <c r="BI29" s="433">
        <f t="shared" si="601"/>
        <v>0.1</v>
      </c>
      <c r="BJ29" s="424">
        <f t="shared" si="568"/>
        <v>42.000000000000007</v>
      </c>
      <c r="BK29" s="423">
        <v>1</v>
      </c>
      <c r="BL29" s="424">
        <f t="shared" si="569"/>
        <v>42.000000000000007</v>
      </c>
      <c r="BM29" s="431">
        <f t="shared" si="439"/>
        <v>1</v>
      </c>
      <c r="BN29" s="424">
        <f t="shared" si="440"/>
        <v>42.000000000000007</v>
      </c>
      <c r="BO29" s="424">
        <v>1</v>
      </c>
      <c r="BP29" s="424">
        <f t="shared" si="570"/>
        <v>1653.75</v>
      </c>
      <c r="BQ29" s="424">
        <f t="shared" si="441"/>
        <v>69457.500000000015</v>
      </c>
      <c r="BR29" s="423">
        <f t="shared" si="442"/>
        <v>6</v>
      </c>
      <c r="BS29" s="424">
        <f t="shared" si="443"/>
        <v>1</v>
      </c>
      <c r="BT29" s="432">
        <f t="shared" si="444"/>
        <v>252.00000000000006</v>
      </c>
      <c r="BU29" s="424">
        <f t="shared" si="445"/>
        <v>416745.00000000012</v>
      </c>
      <c r="BV29" s="423">
        <f t="shared" si="446"/>
        <v>24</v>
      </c>
      <c r="BW29" s="424">
        <f t="shared" si="447"/>
        <v>1</v>
      </c>
      <c r="BX29" s="432">
        <f t="shared" si="448"/>
        <v>1008.0000000000002</v>
      </c>
      <c r="BY29" s="424">
        <f t="shared" si="449"/>
        <v>1666980.0000000005</v>
      </c>
      <c r="BZ29" s="423">
        <f t="shared" si="450"/>
        <v>288</v>
      </c>
      <c r="CA29" s="424">
        <f t="shared" si="451"/>
        <v>1</v>
      </c>
      <c r="CB29" s="432">
        <f t="shared" si="452"/>
        <v>12096.000000000002</v>
      </c>
      <c r="CC29" s="424">
        <f t="shared" si="453"/>
        <v>20003760.000000004</v>
      </c>
      <c r="CE29" s="424"/>
      <c r="CF29" s="430">
        <v>7.0000000000000007E-2</v>
      </c>
      <c r="CG29" s="424">
        <f t="shared" si="571"/>
        <v>560</v>
      </c>
      <c r="CH29" s="433">
        <f t="shared" si="602"/>
        <v>0.1</v>
      </c>
      <c r="CI29" s="424">
        <f t="shared" si="572"/>
        <v>56</v>
      </c>
      <c r="CJ29" s="423">
        <v>1</v>
      </c>
      <c r="CK29" s="424">
        <f t="shared" si="573"/>
        <v>56</v>
      </c>
      <c r="CL29" s="431">
        <f t="shared" si="454"/>
        <v>1</v>
      </c>
      <c r="CM29" s="424">
        <f t="shared" si="455"/>
        <v>56</v>
      </c>
      <c r="CN29" s="424">
        <v>1</v>
      </c>
      <c r="CO29" s="424">
        <f t="shared" si="574"/>
        <v>1736.4375</v>
      </c>
      <c r="CP29" s="424">
        <f t="shared" si="456"/>
        <v>97240.5</v>
      </c>
      <c r="CQ29" s="423">
        <f t="shared" si="457"/>
        <v>6</v>
      </c>
      <c r="CR29" s="424">
        <f t="shared" si="458"/>
        <v>1</v>
      </c>
      <c r="CS29" s="432">
        <f t="shared" si="459"/>
        <v>336</v>
      </c>
      <c r="CT29" s="424">
        <f t="shared" si="460"/>
        <v>583443</v>
      </c>
      <c r="CU29" s="423">
        <f t="shared" si="461"/>
        <v>24</v>
      </c>
      <c r="CV29" s="424">
        <f t="shared" si="462"/>
        <v>1</v>
      </c>
      <c r="CW29" s="432">
        <f t="shared" si="463"/>
        <v>1344</v>
      </c>
      <c r="CX29" s="424">
        <f t="shared" si="464"/>
        <v>2333772</v>
      </c>
      <c r="CY29" s="423">
        <f t="shared" si="465"/>
        <v>288</v>
      </c>
      <c r="CZ29" s="424">
        <f t="shared" si="466"/>
        <v>1</v>
      </c>
      <c r="DA29" s="432">
        <f t="shared" si="467"/>
        <v>16128</v>
      </c>
      <c r="DB29" s="424">
        <f t="shared" si="468"/>
        <v>28005264</v>
      </c>
      <c r="DD29" s="424"/>
      <c r="DE29" s="430">
        <v>7.0000000000000007E-2</v>
      </c>
      <c r="DF29" s="424">
        <f t="shared" si="575"/>
        <v>700.00000000000011</v>
      </c>
      <c r="DG29" s="433">
        <f t="shared" si="603"/>
        <v>0.1</v>
      </c>
      <c r="DH29" s="424">
        <f t="shared" si="576"/>
        <v>70.000000000000014</v>
      </c>
      <c r="DI29" s="423">
        <v>1</v>
      </c>
      <c r="DJ29" s="424">
        <f t="shared" si="577"/>
        <v>70.000000000000014</v>
      </c>
      <c r="DK29" s="431">
        <f t="shared" si="469"/>
        <v>1</v>
      </c>
      <c r="DL29" s="424">
        <f t="shared" si="470"/>
        <v>70.000000000000014</v>
      </c>
      <c r="DM29" s="424">
        <v>1</v>
      </c>
      <c r="DN29" s="424">
        <f t="shared" si="578"/>
        <v>1823.2593750000001</v>
      </c>
      <c r="DO29" s="424">
        <f t="shared" si="471"/>
        <v>127628.15625000003</v>
      </c>
      <c r="DP29" s="423">
        <f t="shared" si="472"/>
        <v>6</v>
      </c>
      <c r="DQ29" s="424">
        <f t="shared" si="473"/>
        <v>1</v>
      </c>
      <c r="DR29" s="432">
        <f t="shared" si="474"/>
        <v>420.00000000000011</v>
      </c>
      <c r="DS29" s="424">
        <f t="shared" si="475"/>
        <v>765768.93750000023</v>
      </c>
      <c r="DT29" s="423">
        <f t="shared" si="476"/>
        <v>24</v>
      </c>
      <c r="DU29" s="424">
        <f t="shared" si="477"/>
        <v>1</v>
      </c>
      <c r="DV29" s="432">
        <f t="shared" si="478"/>
        <v>1680.0000000000005</v>
      </c>
      <c r="DW29" s="424">
        <f t="shared" si="479"/>
        <v>3063075.7500000009</v>
      </c>
      <c r="DX29" s="423">
        <f t="shared" si="480"/>
        <v>288</v>
      </c>
      <c r="DY29" s="424">
        <f t="shared" si="481"/>
        <v>1</v>
      </c>
      <c r="DZ29" s="432">
        <f t="shared" si="482"/>
        <v>20160.000000000004</v>
      </c>
      <c r="EA29" s="424">
        <f t="shared" si="483"/>
        <v>36756909.000000007</v>
      </c>
      <c r="EC29" s="424"/>
      <c r="ED29" s="430">
        <v>7.0000000000000007E-2</v>
      </c>
      <c r="EE29" s="424">
        <f t="shared" si="579"/>
        <v>700.00000000000011</v>
      </c>
      <c r="EF29" s="433">
        <f t="shared" si="604"/>
        <v>0.1</v>
      </c>
      <c r="EG29" s="424">
        <f t="shared" si="580"/>
        <v>70.000000000000014</v>
      </c>
      <c r="EH29" s="423">
        <v>1</v>
      </c>
      <c r="EI29" s="424">
        <f t="shared" si="581"/>
        <v>70.000000000000014</v>
      </c>
      <c r="EJ29" s="431">
        <f t="shared" si="484"/>
        <v>1</v>
      </c>
      <c r="EK29" s="424">
        <f t="shared" si="485"/>
        <v>70.000000000000014</v>
      </c>
      <c r="EL29" s="424">
        <v>1</v>
      </c>
      <c r="EM29" s="424">
        <f t="shared" si="582"/>
        <v>1914.4223437500002</v>
      </c>
      <c r="EN29" s="424">
        <f t="shared" si="486"/>
        <v>134009.56406250005</v>
      </c>
      <c r="EO29" s="423">
        <f t="shared" si="487"/>
        <v>6</v>
      </c>
      <c r="EP29" s="424">
        <f t="shared" si="488"/>
        <v>1</v>
      </c>
      <c r="EQ29" s="432">
        <f t="shared" si="489"/>
        <v>420.00000000000011</v>
      </c>
      <c r="ER29" s="424">
        <f t="shared" si="490"/>
        <v>804057.38437500026</v>
      </c>
      <c r="ES29" s="423">
        <f t="shared" si="491"/>
        <v>24</v>
      </c>
      <c r="ET29" s="424">
        <f t="shared" si="492"/>
        <v>1</v>
      </c>
      <c r="EU29" s="432">
        <f t="shared" si="493"/>
        <v>1680.0000000000005</v>
      </c>
      <c r="EV29" s="424">
        <f t="shared" si="494"/>
        <v>3216229.537500001</v>
      </c>
      <c r="EW29" s="423">
        <f t="shared" si="495"/>
        <v>288</v>
      </c>
      <c r="EX29" s="424">
        <f t="shared" si="496"/>
        <v>1</v>
      </c>
      <c r="EY29" s="432">
        <f t="shared" si="497"/>
        <v>20160.000000000004</v>
      </c>
      <c r="EZ29" s="424">
        <f t="shared" si="498"/>
        <v>38594754.45000001</v>
      </c>
      <c r="FB29" s="424"/>
      <c r="FC29" s="430">
        <v>7.0000000000000007E-2</v>
      </c>
      <c r="FD29" s="424">
        <f t="shared" si="583"/>
        <v>700.00000000000011</v>
      </c>
      <c r="FE29" s="433">
        <f t="shared" si="605"/>
        <v>0.1</v>
      </c>
      <c r="FF29" s="424">
        <f t="shared" si="584"/>
        <v>70.000000000000014</v>
      </c>
      <c r="FG29" s="423">
        <v>1</v>
      </c>
      <c r="FH29" s="424">
        <f t="shared" si="585"/>
        <v>70.000000000000014</v>
      </c>
      <c r="FI29" s="431">
        <f t="shared" si="499"/>
        <v>1</v>
      </c>
      <c r="FJ29" s="424">
        <f t="shared" si="500"/>
        <v>70.000000000000014</v>
      </c>
      <c r="FK29" s="424">
        <v>1</v>
      </c>
      <c r="FL29" s="424">
        <f t="shared" si="586"/>
        <v>2010.1434609375003</v>
      </c>
      <c r="FM29" s="424">
        <f t="shared" si="501"/>
        <v>140710.04226562506</v>
      </c>
      <c r="FN29" s="423">
        <f t="shared" si="502"/>
        <v>6</v>
      </c>
      <c r="FO29" s="424">
        <f t="shared" si="503"/>
        <v>1</v>
      </c>
      <c r="FP29" s="432">
        <f t="shared" si="504"/>
        <v>420.00000000000011</v>
      </c>
      <c r="FQ29" s="424">
        <f t="shared" si="505"/>
        <v>844260.25359375041</v>
      </c>
      <c r="FR29" s="423">
        <f t="shared" si="506"/>
        <v>24</v>
      </c>
      <c r="FS29" s="424">
        <f t="shared" si="507"/>
        <v>1</v>
      </c>
      <c r="FT29" s="432">
        <f t="shared" si="508"/>
        <v>1680.0000000000005</v>
      </c>
      <c r="FU29" s="424">
        <f t="shared" si="509"/>
        <v>3377041.0143750017</v>
      </c>
      <c r="FV29" s="423">
        <f t="shared" si="510"/>
        <v>288</v>
      </c>
      <c r="FW29" s="424">
        <f t="shared" si="511"/>
        <v>1</v>
      </c>
      <c r="FX29" s="432">
        <f t="shared" si="512"/>
        <v>20160.000000000004</v>
      </c>
      <c r="FY29" s="424">
        <f t="shared" si="513"/>
        <v>40524492.172500014</v>
      </c>
      <c r="GA29" s="424"/>
      <c r="GB29" s="430">
        <v>7.0000000000000007E-2</v>
      </c>
      <c r="GC29" s="424">
        <f t="shared" si="587"/>
        <v>700.00000000000011</v>
      </c>
      <c r="GD29" s="433">
        <f t="shared" si="606"/>
        <v>0.1</v>
      </c>
      <c r="GE29" s="424">
        <f t="shared" si="588"/>
        <v>70.000000000000014</v>
      </c>
      <c r="GF29" s="423">
        <v>1</v>
      </c>
      <c r="GG29" s="424">
        <f t="shared" si="589"/>
        <v>70.000000000000014</v>
      </c>
      <c r="GH29" s="431">
        <f t="shared" si="514"/>
        <v>1</v>
      </c>
      <c r="GI29" s="424">
        <f t="shared" si="515"/>
        <v>70.000000000000014</v>
      </c>
      <c r="GJ29" s="424">
        <v>1</v>
      </c>
      <c r="GK29" s="424">
        <f t="shared" si="590"/>
        <v>2110.6506339843754</v>
      </c>
      <c r="GL29" s="424">
        <f t="shared" si="516"/>
        <v>147745.54437890631</v>
      </c>
      <c r="GM29" s="423">
        <f t="shared" si="517"/>
        <v>6</v>
      </c>
      <c r="GN29" s="424">
        <f t="shared" si="518"/>
        <v>1</v>
      </c>
      <c r="GO29" s="432">
        <f t="shared" si="519"/>
        <v>420.00000000000011</v>
      </c>
      <c r="GP29" s="424">
        <f t="shared" si="520"/>
        <v>886473.26627343788</v>
      </c>
      <c r="GQ29" s="423">
        <f t="shared" si="521"/>
        <v>24</v>
      </c>
      <c r="GR29" s="424">
        <f t="shared" si="522"/>
        <v>1</v>
      </c>
      <c r="GS29" s="432">
        <f t="shared" si="523"/>
        <v>1680.0000000000005</v>
      </c>
      <c r="GT29" s="424">
        <f t="shared" si="524"/>
        <v>3545893.0650937515</v>
      </c>
      <c r="GU29" s="423">
        <f t="shared" si="525"/>
        <v>288</v>
      </c>
      <c r="GV29" s="424">
        <f t="shared" si="526"/>
        <v>1</v>
      </c>
      <c r="GW29" s="432">
        <f t="shared" si="527"/>
        <v>20160.000000000004</v>
      </c>
      <c r="GX29" s="424">
        <f t="shared" si="528"/>
        <v>42550716.781125017</v>
      </c>
      <c r="GZ29" s="424"/>
      <c r="HA29" s="430">
        <v>7.0000000000000007E-2</v>
      </c>
      <c r="HB29" s="424">
        <f t="shared" si="591"/>
        <v>700.00000000000011</v>
      </c>
      <c r="HC29" s="433">
        <f t="shared" si="607"/>
        <v>0.1</v>
      </c>
      <c r="HD29" s="424">
        <f t="shared" si="592"/>
        <v>70.000000000000014</v>
      </c>
      <c r="HE29" s="423">
        <v>1</v>
      </c>
      <c r="HF29" s="424">
        <f t="shared" si="593"/>
        <v>70.000000000000014</v>
      </c>
      <c r="HG29" s="431">
        <f t="shared" si="529"/>
        <v>1</v>
      </c>
      <c r="HH29" s="424">
        <f t="shared" si="530"/>
        <v>70.000000000000014</v>
      </c>
      <c r="HI29" s="424">
        <v>1</v>
      </c>
      <c r="HJ29" s="424">
        <f t="shared" si="594"/>
        <v>2216.1831656835943</v>
      </c>
      <c r="HK29" s="424">
        <f t="shared" si="531"/>
        <v>155132.82159785164</v>
      </c>
      <c r="HL29" s="423">
        <f t="shared" si="532"/>
        <v>6</v>
      </c>
      <c r="HM29" s="424">
        <f t="shared" si="533"/>
        <v>1</v>
      </c>
      <c r="HN29" s="432">
        <f t="shared" si="534"/>
        <v>420.00000000000011</v>
      </c>
      <c r="HO29" s="424">
        <f t="shared" si="535"/>
        <v>930796.92958710983</v>
      </c>
      <c r="HP29" s="423">
        <f t="shared" si="536"/>
        <v>24</v>
      </c>
      <c r="HQ29" s="424">
        <f t="shared" si="537"/>
        <v>1</v>
      </c>
      <c r="HR29" s="432">
        <f t="shared" si="538"/>
        <v>1680.0000000000005</v>
      </c>
      <c r="HS29" s="424">
        <f t="shared" si="539"/>
        <v>3723187.7183484393</v>
      </c>
      <c r="HT29" s="423">
        <f t="shared" si="540"/>
        <v>288</v>
      </c>
      <c r="HU29" s="424">
        <f t="shared" si="541"/>
        <v>1</v>
      </c>
      <c r="HV29" s="432">
        <f t="shared" si="542"/>
        <v>20160.000000000004</v>
      </c>
      <c r="HW29" s="424">
        <f t="shared" si="543"/>
        <v>44678252.62018127</v>
      </c>
      <c r="HY29" s="424"/>
      <c r="HZ29" s="430">
        <v>7.0000000000000007E-2</v>
      </c>
      <c r="IA29" s="424">
        <f t="shared" si="595"/>
        <v>700.00000000000011</v>
      </c>
      <c r="IB29" s="433">
        <f t="shared" si="608"/>
        <v>0.1</v>
      </c>
      <c r="IC29" s="424">
        <f t="shared" si="596"/>
        <v>70.000000000000014</v>
      </c>
      <c r="ID29" s="423">
        <v>1</v>
      </c>
      <c r="IE29" s="424">
        <f t="shared" si="597"/>
        <v>70.000000000000014</v>
      </c>
      <c r="IF29" s="431">
        <f t="shared" si="544"/>
        <v>1</v>
      </c>
      <c r="IG29" s="424">
        <f t="shared" si="545"/>
        <v>70.000000000000014</v>
      </c>
      <c r="IH29" s="424">
        <v>1</v>
      </c>
      <c r="II29" s="424">
        <f t="shared" si="598"/>
        <v>2326.9923239677742</v>
      </c>
      <c r="IJ29" s="424">
        <f t="shared" si="546"/>
        <v>162889.46267774422</v>
      </c>
      <c r="IK29" s="423">
        <f t="shared" si="547"/>
        <v>6</v>
      </c>
      <c r="IL29" s="424">
        <f t="shared" si="548"/>
        <v>1</v>
      </c>
      <c r="IM29" s="432">
        <f t="shared" si="549"/>
        <v>420.00000000000011</v>
      </c>
      <c r="IN29" s="424">
        <f t="shared" si="550"/>
        <v>977336.77606646542</v>
      </c>
      <c r="IO29" s="423">
        <f t="shared" si="551"/>
        <v>24</v>
      </c>
      <c r="IP29" s="424">
        <f t="shared" si="552"/>
        <v>1</v>
      </c>
      <c r="IQ29" s="432">
        <f t="shared" si="553"/>
        <v>1680.0000000000005</v>
      </c>
      <c r="IR29" s="424">
        <f t="shared" si="554"/>
        <v>3909347.1042658617</v>
      </c>
      <c r="IS29" s="423">
        <f t="shared" si="555"/>
        <v>288</v>
      </c>
      <c r="IT29" s="424">
        <f t="shared" si="556"/>
        <v>1</v>
      </c>
      <c r="IU29" s="432">
        <f t="shared" si="557"/>
        <v>20160.000000000004</v>
      </c>
      <c r="IV29" s="424">
        <f t="shared" si="558"/>
        <v>46912165.251190335</v>
      </c>
    </row>
    <row r="30" spans="2:256" x14ac:dyDescent="0.25">
      <c r="B30" s="422"/>
      <c r="C30" s="422"/>
      <c r="D30" s="422"/>
      <c r="E30" s="419"/>
      <c r="F30" s="423"/>
      <c r="G30" s="423"/>
      <c r="H30" s="424"/>
      <c r="I30" s="430"/>
      <c r="J30" s="424"/>
      <c r="K30" s="433"/>
      <c r="L30" s="424"/>
      <c r="M30" s="423"/>
      <c r="N30" s="424"/>
      <c r="O30" s="431"/>
      <c r="P30" s="424"/>
      <c r="Q30" s="424"/>
      <c r="R30" s="424"/>
      <c r="S30" s="426">
        <f>SUM(S24:S29)/N23</f>
        <v>1500</v>
      </c>
      <c r="T30" s="423"/>
      <c r="U30" s="424"/>
      <c r="V30" s="432"/>
      <c r="W30" s="424"/>
      <c r="X30" s="423"/>
      <c r="Y30" s="424"/>
      <c r="Z30" s="432"/>
      <c r="AA30" s="424"/>
      <c r="AB30" s="423"/>
      <c r="AC30" s="424"/>
      <c r="AD30" s="432"/>
      <c r="AE30" s="424"/>
      <c r="AG30" s="424"/>
      <c r="AH30" s="430"/>
      <c r="AI30" s="424"/>
      <c r="AJ30" s="433"/>
      <c r="AK30" s="424"/>
      <c r="AL30" s="423"/>
      <c r="AM30" s="424"/>
      <c r="AN30" s="431"/>
      <c r="AO30" s="424"/>
      <c r="AP30" s="424"/>
      <c r="AQ30" s="424"/>
      <c r="AR30" s="424"/>
      <c r="AS30" s="423"/>
      <c r="AT30" s="424"/>
      <c r="AU30" s="432"/>
      <c r="AV30" s="424"/>
      <c r="AW30" s="423"/>
      <c r="AX30" s="424"/>
      <c r="AY30" s="432"/>
      <c r="AZ30" s="424"/>
      <c r="BA30" s="423"/>
      <c r="BB30" s="424"/>
      <c r="BC30" s="432"/>
      <c r="BD30" s="424"/>
      <c r="BF30" s="424"/>
      <c r="BG30" s="430"/>
      <c r="BH30" s="424"/>
      <c r="BI30" s="433"/>
      <c r="BJ30" s="424"/>
      <c r="BK30" s="423"/>
      <c r="BL30" s="424"/>
      <c r="BM30" s="431"/>
      <c r="BN30" s="424"/>
      <c r="BO30" s="424"/>
      <c r="BP30" s="424"/>
      <c r="BQ30" s="424"/>
      <c r="BR30" s="423"/>
      <c r="BS30" s="424"/>
      <c r="BT30" s="432"/>
      <c r="BU30" s="424"/>
      <c r="BV30" s="423"/>
      <c r="BW30" s="424"/>
      <c r="BX30" s="432"/>
      <c r="BY30" s="424"/>
      <c r="BZ30" s="423"/>
      <c r="CA30" s="424"/>
      <c r="CB30" s="432"/>
      <c r="CC30" s="424"/>
      <c r="CE30" s="424"/>
      <c r="CF30" s="430"/>
      <c r="CG30" s="424"/>
      <c r="CH30" s="433"/>
      <c r="CI30" s="424"/>
      <c r="CJ30" s="423"/>
      <c r="CK30" s="424"/>
      <c r="CL30" s="431"/>
      <c r="CM30" s="424"/>
      <c r="CN30" s="424"/>
      <c r="CO30" s="424"/>
      <c r="CP30" s="424"/>
      <c r="CQ30" s="423"/>
      <c r="CR30" s="424"/>
      <c r="CS30" s="432"/>
      <c r="CT30" s="424"/>
      <c r="CU30" s="423"/>
      <c r="CV30" s="424"/>
      <c r="CW30" s="432"/>
      <c r="CX30" s="424"/>
      <c r="CY30" s="423"/>
      <c r="CZ30" s="424"/>
      <c r="DA30" s="432"/>
      <c r="DB30" s="424"/>
      <c r="DD30" s="424"/>
      <c r="DE30" s="430"/>
      <c r="DF30" s="424"/>
      <c r="DG30" s="433"/>
      <c r="DH30" s="424"/>
      <c r="DI30" s="423"/>
      <c r="DJ30" s="424"/>
      <c r="DK30" s="431"/>
      <c r="DL30" s="424"/>
      <c r="DM30" s="424"/>
      <c r="DN30" s="424"/>
      <c r="DO30" s="424"/>
      <c r="DP30" s="423"/>
      <c r="DQ30" s="424"/>
      <c r="DR30" s="432"/>
      <c r="DS30" s="424"/>
      <c r="DT30" s="423"/>
      <c r="DU30" s="424"/>
      <c r="DV30" s="432"/>
      <c r="DW30" s="424"/>
      <c r="DX30" s="423"/>
      <c r="DY30" s="424"/>
      <c r="DZ30" s="432"/>
      <c r="EA30" s="424"/>
      <c r="EC30" s="424"/>
      <c r="ED30" s="430"/>
      <c r="EE30" s="424"/>
      <c r="EF30" s="433"/>
      <c r="EG30" s="424"/>
      <c r="EH30" s="423"/>
      <c r="EI30" s="424"/>
      <c r="EJ30" s="431"/>
      <c r="EK30" s="424"/>
      <c r="EL30" s="424"/>
      <c r="EM30" s="424"/>
      <c r="EN30" s="424"/>
      <c r="EO30" s="423"/>
      <c r="EP30" s="424"/>
      <c r="EQ30" s="432"/>
      <c r="ER30" s="424"/>
      <c r="ES30" s="423"/>
      <c r="ET30" s="424"/>
      <c r="EU30" s="432"/>
      <c r="EV30" s="424"/>
      <c r="EW30" s="423"/>
      <c r="EX30" s="424"/>
      <c r="EY30" s="432"/>
      <c r="EZ30" s="424"/>
      <c r="FB30" s="424"/>
      <c r="FC30" s="430"/>
      <c r="FD30" s="424"/>
      <c r="FE30" s="433"/>
      <c r="FF30" s="424"/>
      <c r="FG30" s="423"/>
      <c r="FH30" s="424"/>
      <c r="FI30" s="431"/>
      <c r="FJ30" s="424"/>
      <c r="FK30" s="424"/>
      <c r="FL30" s="424"/>
      <c r="FM30" s="424"/>
      <c r="FN30" s="423"/>
      <c r="FO30" s="424"/>
      <c r="FP30" s="432"/>
      <c r="FQ30" s="424"/>
      <c r="FR30" s="423"/>
      <c r="FS30" s="424"/>
      <c r="FT30" s="432"/>
      <c r="FU30" s="424"/>
      <c r="FV30" s="423"/>
      <c r="FW30" s="424"/>
      <c r="FX30" s="432"/>
      <c r="FY30" s="424"/>
      <c r="GA30" s="424"/>
      <c r="GB30" s="430"/>
      <c r="GC30" s="424"/>
      <c r="GD30" s="433"/>
      <c r="GE30" s="424"/>
      <c r="GF30" s="423"/>
      <c r="GG30" s="424"/>
      <c r="GH30" s="431"/>
      <c r="GI30" s="424"/>
      <c r="GJ30" s="424"/>
      <c r="GK30" s="424"/>
      <c r="GL30" s="424"/>
      <c r="GM30" s="423"/>
      <c r="GN30" s="424"/>
      <c r="GO30" s="432"/>
      <c r="GP30" s="424"/>
      <c r="GQ30" s="423"/>
      <c r="GR30" s="424"/>
      <c r="GS30" s="432"/>
      <c r="GT30" s="424"/>
      <c r="GU30" s="423"/>
      <c r="GV30" s="424"/>
      <c r="GW30" s="432"/>
      <c r="GX30" s="424"/>
      <c r="GZ30" s="424"/>
      <c r="HA30" s="430"/>
      <c r="HB30" s="424"/>
      <c r="HC30" s="433"/>
      <c r="HD30" s="424"/>
      <c r="HE30" s="423"/>
      <c r="HF30" s="424"/>
      <c r="HG30" s="431"/>
      <c r="HH30" s="424"/>
      <c r="HI30" s="424"/>
      <c r="HJ30" s="424"/>
      <c r="HK30" s="424"/>
      <c r="HL30" s="423"/>
      <c r="HM30" s="424"/>
      <c r="HN30" s="432"/>
      <c r="HO30" s="424"/>
      <c r="HP30" s="423"/>
      <c r="HQ30" s="424"/>
      <c r="HR30" s="432"/>
      <c r="HS30" s="424"/>
      <c r="HT30" s="423"/>
      <c r="HU30" s="424"/>
      <c r="HV30" s="432"/>
      <c r="HW30" s="424"/>
      <c r="HY30" s="424"/>
      <c r="HZ30" s="430"/>
      <c r="IA30" s="424"/>
      <c r="IB30" s="433"/>
      <c r="IC30" s="424"/>
      <c r="ID30" s="423"/>
      <c r="IE30" s="424"/>
      <c r="IF30" s="431"/>
      <c r="IG30" s="424"/>
      <c r="IH30" s="424"/>
      <c r="II30" s="424"/>
      <c r="IJ30" s="424"/>
      <c r="IK30" s="423"/>
      <c r="IL30" s="424"/>
      <c r="IM30" s="432"/>
      <c r="IN30" s="424"/>
      <c r="IO30" s="423"/>
      <c r="IP30" s="424"/>
      <c r="IQ30" s="432"/>
      <c r="IR30" s="424"/>
      <c r="IS30" s="423"/>
      <c r="IT30" s="424"/>
      <c r="IU30" s="432"/>
      <c r="IV30" s="424"/>
    </row>
    <row r="31" spans="2:256" x14ac:dyDescent="0.25">
      <c r="B31" s="422"/>
      <c r="C31" s="422" t="s">
        <v>0</v>
      </c>
      <c r="D31" s="422"/>
      <c r="E31" s="419"/>
      <c r="F31" s="423"/>
      <c r="G31" s="423"/>
      <c r="H31" s="434">
        <f>H23+H16+H9</f>
        <v>6000</v>
      </c>
      <c r="I31" s="433"/>
      <c r="J31" s="434">
        <f>SUM(J10:J15)+SUM(J17:J22)+SUM(J24:J29)</f>
        <v>6000</v>
      </c>
      <c r="K31" s="435"/>
      <c r="L31" s="434">
        <f>SUM(L10:L15)+SUM(L17:L22)+SUM(L24:L29)</f>
        <v>3700</v>
      </c>
      <c r="M31" s="423"/>
      <c r="N31" s="434">
        <f>SUM(N10:N15)+SUM(N17:N22)+SUM(N24:N29)</f>
        <v>3700</v>
      </c>
      <c r="O31" s="423"/>
      <c r="P31" s="423"/>
      <c r="Q31" s="434">
        <f>SUM(Q10:Q15)+SUM(Q17:Q22)+SUM(Q24:Q29)</f>
        <v>114</v>
      </c>
      <c r="R31" s="432"/>
      <c r="S31" s="434">
        <f>SUM(S9:S30)</f>
        <v>52078500</v>
      </c>
      <c r="T31" s="423"/>
      <c r="U31" s="434">
        <f>SUM(U10:U15)+SUM(U17:U22)+SUM(U24:U29)</f>
        <v>114</v>
      </c>
      <c r="V31" s="434">
        <f>SUM(V9:V29)</f>
        <v>22200</v>
      </c>
      <c r="W31" s="434">
        <f>SUM(W9:W29)</f>
        <v>312300000</v>
      </c>
      <c r="X31" s="423"/>
      <c r="Y31" s="434">
        <f>SUM(Y10:Y15)+SUM(Y17:Y22)+SUM(Y24:Y29)</f>
        <v>114</v>
      </c>
      <c r="Z31" s="434">
        <f>SUM(Z9:Z29)</f>
        <v>832800</v>
      </c>
      <c r="AA31" s="434">
        <f>SUM(AA9:AA29)</f>
        <v>1249200000</v>
      </c>
      <c r="AB31" s="423"/>
      <c r="AC31" s="423"/>
      <c r="AD31" s="434">
        <f>SUM(AD9:AD29)</f>
        <v>9993600</v>
      </c>
      <c r="AE31" s="434">
        <f>SUM(AE9:AE29)</f>
        <v>14990400000</v>
      </c>
      <c r="AG31" s="434">
        <f>AG23+AG16+AG9</f>
        <v>12000</v>
      </c>
      <c r="AH31" s="433"/>
      <c r="AI31" s="434">
        <f>SUM(AI10:AI15)+SUM(AI17:AI22)+SUM(AI24:AI29)</f>
        <v>12000</v>
      </c>
      <c r="AJ31" s="435"/>
      <c r="AK31" s="434">
        <f>SUM(AK10:AK15)+SUM(AK17:AK22)+SUM(AK24:AK29)</f>
        <v>7400</v>
      </c>
      <c r="AL31" s="423"/>
      <c r="AM31" s="434">
        <f>SUM(AM10:AM15)+SUM(AM17:AM22)+SUM(AM24:AM29)</f>
        <v>7400</v>
      </c>
      <c r="AN31" s="423"/>
      <c r="AO31" s="423"/>
      <c r="AP31" s="434">
        <f>SUM(AP10:AP15)+SUM(AP17:AP22)+SUM(AP24:AP29)</f>
        <v>114</v>
      </c>
      <c r="AQ31" s="432"/>
      <c r="AR31" s="434">
        <f>SUM(AR9:AR29)</f>
        <v>109333350</v>
      </c>
      <c r="AS31" s="423"/>
      <c r="AT31" s="434">
        <f>SUM(AT10:AT15)+SUM(AT17:AT22)+SUM(AT24:AT29)</f>
        <v>114</v>
      </c>
      <c r="AU31" s="434">
        <f>SUM(AU9:AU29)</f>
        <v>44400</v>
      </c>
      <c r="AV31" s="434">
        <f>SUM(AV9:AV29)</f>
        <v>655830000</v>
      </c>
      <c r="AW31" s="423"/>
      <c r="AX31" s="434">
        <f>SUM(AX10:AX15)+SUM(AX17:AX22)+SUM(AX24:AX29)</f>
        <v>114</v>
      </c>
      <c r="AY31" s="434">
        <f>SUM(AY9:AY29)</f>
        <v>1665600</v>
      </c>
      <c r="AZ31" s="434">
        <f>SUM(AZ9:AZ29)</f>
        <v>2623320000</v>
      </c>
      <c r="BA31" s="423"/>
      <c r="BB31" s="423"/>
      <c r="BC31" s="434">
        <f>SUM(BC9:BC29)</f>
        <v>19987200</v>
      </c>
      <c r="BD31" s="434">
        <f>SUM(BD9:BD29)</f>
        <v>31479840000</v>
      </c>
      <c r="BF31" s="434">
        <f>BF23+BF16+BF9</f>
        <v>18000</v>
      </c>
      <c r="BG31" s="433"/>
      <c r="BH31" s="434">
        <f>SUM(BH10:BH15)+SUM(BH17:BH22)+SUM(BH24:BH29)</f>
        <v>18000</v>
      </c>
      <c r="BI31" s="435"/>
      <c r="BJ31" s="434">
        <f>SUM(BJ10:BJ15)+SUM(BJ17:BJ22)+SUM(BJ24:BJ29)</f>
        <v>11100</v>
      </c>
      <c r="BK31" s="423"/>
      <c r="BL31" s="434">
        <f>SUM(BL10:BL15)+SUM(BL17:BL22)+SUM(BL24:BL29)</f>
        <v>11100</v>
      </c>
      <c r="BM31" s="423"/>
      <c r="BN31" s="423"/>
      <c r="BO31" s="434">
        <f>SUM(BO10:BO15)+SUM(BO17:BO22)+SUM(BO24:BO29)</f>
        <v>114</v>
      </c>
      <c r="BP31" s="432"/>
      <c r="BQ31" s="434">
        <f>SUM(BQ9:BQ29)</f>
        <v>172180181.25</v>
      </c>
      <c r="BR31" s="423"/>
      <c r="BS31" s="434">
        <f>SUM(BS10:BS15)+SUM(BS17:BS22)+SUM(BS24:BS29)</f>
        <v>114</v>
      </c>
      <c r="BT31" s="434">
        <f>SUM(BT9:BT29)</f>
        <v>66600</v>
      </c>
      <c r="BU31" s="434">
        <f>SUM(BU9:BU29)</f>
        <v>1032932250</v>
      </c>
      <c r="BV31" s="423"/>
      <c r="BW31" s="434">
        <f>SUM(BW10:BW15)+SUM(BW17:BW22)+SUM(BW24:BW29)</f>
        <v>114</v>
      </c>
      <c r="BX31" s="434">
        <f>SUM(BX9:BX29)</f>
        <v>2498400</v>
      </c>
      <c r="BY31" s="434">
        <f>SUM(BY9:BY29)</f>
        <v>4131729000</v>
      </c>
      <c r="BZ31" s="423"/>
      <c r="CA31" s="423"/>
      <c r="CB31" s="434">
        <f>SUM(CB9:CB29)</f>
        <v>29980800</v>
      </c>
      <c r="CC31" s="434">
        <f>SUM(CC9:CC29)</f>
        <v>49580748000</v>
      </c>
      <c r="CE31" s="434">
        <f>CE23+CE16+CE9</f>
        <v>24000</v>
      </c>
      <c r="CF31" s="433"/>
      <c r="CG31" s="434">
        <f>SUM(CG10:CG15)+SUM(CG17:CG22)+SUM(CG24:CG29)</f>
        <v>24000</v>
      </c>
      <c r="CH31" s="435"/>
      <c r="CI31" s="434">
        <f>SUM(CI10:CI15)+SUM(CI17:CI22)+SUM(CI24:CI29)</f>
        <v>14800</v>
      </c>
      <c r="CJ31" s="423"/>
      <c r="CK31" s="434">
        <f>SUM(CK10:CK15)+SUM(CK17:CK22)+SUM(CK24:CK29)</f>
        <v>14800</v>
      </c>
      <c r="CL31" s="423"/>
      <c r="CM31" s="423"/>
      <c r="CN31" s="434">
        <f>SUM(CN10:CN15)+SUM(CN17:CN22)+SUM(CN24:CN29)</f>
        <v>114</v>
      </c>
      <c r="CO31" s="432"/>
      <c r="CP31" s="434">
        <f>SUM(CP9:CP29)</f>
        <v>241017525</v>
      </c>
      <c r="CQ31" s="423"/>
      <c r="CR31" s="434">
        <f>SUM(CR10:CR15)+SUM(CR17:CR22)+SUM(CR24:CR29)</f>
        <v>114</v>
      </c>
      <c r="CS31" s="434">
        <f>SUM(CS9:CS29)</f>
        <v>88800</v>
      </c>
      <c r="CT31" s="434">
        <f>SUM(CT9:CT29)</f>
        <v>1446105150</v>
      </c>
      <c r="CU31" s="423"/>
      <c r="CV31" s="434">
        <f>SUM(CV10:CV15)+SUM(CV17:CV22)+SUM(CV24:CV29)</f>
        <v>114</v>
      </c>
      <c r="CW31" s="434">
        <f>SUM(CW9:CW29)</f>
        <v>3331200</v>
      </c>
      <c r="CX31" s="434">
        <f>SUM(CX9:CX29)</f>
        <v>5784420600</v>
      </c>
      <c r="CY31" s="423"/>
      <c r="CZ31" s="423"/>
      <c r="DA31" s="434">
        <f>SUM(DA9:DA29)</f>
        <v>39974400</v>
      </c>
      <c r="DB31" s="434">
        <f>SUM(DB9:DB29)</f>
        <v>69413047200</v>
      </c>
      <c r="DD31" s="434">
        <f>DD23+DD16+DD9</f>
        <v>30000</v>
      </c>
      <c r="DE31" s="433"/>
      <c r="DF31" s="434">
        <f>SUM(DF10:DF15)+SUM(DF17:DF22)+SUM(DF24:DF29)</f>
        <v>30000</v>
      </c>
      <c r="DG31" s="435"/>
      <c r="DH31" s="434">
        <f>SUM(DH10:DH15)+SUM(DH17:DH22)+SUM(DH24:DH29)</f>
        <v>18500</v>
      </c>
      <c r="DI31" s="423"/>
      <c r="DJ31" s="434">
        <f>SUM(DJ10:DJ15)+SUM(DJ17:DJ22)+SUM(DJ24:DJ29)</f>
        <v>18500</v>
      </c>
      <c r="DK31" s="423"/>
      <c r="DL31" s="423"/>
      <c r="DM31" s="434">
        <f>SUM(DM10:DM15)+SUM(DM17:DM22)+SUM(DM24:DM29)</f>
        <v>114</v>
      </c>
      <c r="DN31" s="432"/>
      <c r="DO31" s="434">
        <f>SUM(DO9:DO29)</f>
        <v>316335501.5625</v>
      </c>
      <c r="DP31" s="423"/>
      <c r="DQ31" s="434">
        <f>SUM(DQ10:DQ15)+SUM(DQ17:DQ22)+SUM(DQ24:DQ29)</f>
        <v>114</v>
      </c>
      <c r="DR31" s="434">
        <f>SUM(DR9:DR29)</f>
        <v>111000</v>
      </c>
      <c r="DS31" s="434">
        <f>SUM(DS9:DS29)</f>
        <v>1898013009.375</v>
      </c>
      <c r="DT31" s="423"/>
      <c r="DU31" s="434">
        <f>SUM(DU10:DU15)+SUM(DU17:DU22)+SUM(DU24:DU29)</f>
        <v>114</v>
      </c>
      <c r="DV31" s="434">
        <f>SUM(DV9:DV29)</f>
        <v>4164000</v>
      </c>
      <c r="DW31" s="434">
        <f>SUM(DW9:DW29)</f>
        <v>7592052037.5</v>
      </c>
      <c r="DX31" s="423"/>
      <c r="DY31" s="423"/>
      <c r="DZ31" s="434">
        <f>SUM(DZ9:DZ29)</f>
        <v>49968000</v>
      </c>
      <c r="EA31" s="434">
        <f>SUM(EA9:EA29)</f>
        <v>91104624450</v>
      </c>
      <c r="EC31" s="434">
        <f>EC23+EC16+EC9</f>
        <v>30000</v>
      </c>
      <c r="ED31" s="433"/>
      <c r="EE31" s="434">
        <f>SUM(EE10:EE15)+SUM(EE17:EE22)+SUM(EE24:EE29)</f>
        <v>30000</v>
      </c>
      <c r="EF31" s="435"/>
      <c r="EG31" s="434">
        <f>SUM(EG10:EG15)+SUM(EG17:EG22)+SUM(EG24:EG29)</f>
        <v>18500</v>
      </c>
      <c r="EH31" s="423"/>
      <c r="EI31" s="434">
        <f>SUM(EI10:EI15)+SUM(EI17:EI22)+SUM(EI24:EI29)</f>
        <v>18500</v>
      </c>
      <c r="EJ31" s="423"/>
      <c r="EK31" s="423"/>
      <c r="EL31" s="434">
        <f>SUM(EL10:EL15)+SUM(EL17:EL22)+SUM(EL24:EL29)</f>
        <v>114</v>
      </c>
      <c r="EM31" s="432"/>
      <c r="EN31" s="434">
        <f>SUM(EN9:EN29)</f>
        <v>332152276.64062506</v>
      </c>
      <c r="EO31" s="423"/>
      <c r="EP31" s="434">
        <f>SUM(EP10:EP15)+SUM(EP17:EP22)+SUM(EP24:EP29)</f>
        <v>114</v>
      </c>
      <c r="EQ31" s="434">
        <f>SUM(EQ9:EQ29)</f>
        <v>111000</v>
      </c>
      <c r="ER31" s="434">
        <f>SUM(ER9:ER29)</f>
        <v>1992913659.8437502</v>
      </c>
      <c r="ES31" s="423"/>
      <c r="ET31" s="434">
        <f>SUM(ET10:ET15)+SUM(ET17:ET22)+SUM(ET24:ET29)</f>
        <v>114</v>
      </c>
      <c r="EU31" s="434">
        <f>SUM(EU9:EU29)</f>
        <v>4164000</v>
      </c>
      <c r="EV31" s="434">
        <f>SUM(EV9:EV29)</f>
        <v>7971654639.375001</v>
      </c>
      <c r="EW31" s="423"/>
      <c r="EX31" s="423"/>
      <c r="EY31" s="434">
        <f>SUM(EY9:EY29)</f>
        <v>49968000</v>
      </c>
      <c r="EZ31" s="434">
        <f>SUM(EZ9:EZ29)</f>
        <v>95659855672.5</v>
      </c>
      <c r="FB31" s="434">
        <f>FB23+FB16+FB9</f>
        <v>30000</v>
      </c>
      <c r="FC31" s="433"/>
      <c r="FD31" s="434">
        <f>SUM(FD10:FD15)+SUM(FD17:FD22)+SUM(FD24:FD29)</f>
        <v>30000</v>
      </c>
      <c r="FE31" s="435"/>
      <c r="FF31" s="434">
        <f>SUM(FF10:FF15)+SUM(FF17:FF22)+SUM(FF24:FF29)</f>
        <v>18500</v>
      </c>
      <c r="FG31" s="423"/>
      <c r="FH31" s="434">
        <f>SUM(FH10:FH15)+SUM(FH17:FH22)+SUM(FH24:FH29)</f>
        <v>18500</v>
      </c>
      <c r="FI31" s="423"/>
      <c r="FJ31" s="423"/>
      <c r="FK31" s="434">
        <f>SUM(FK10:FK15)+SUM(FK17:FK22)+SUM(FK24:FK29)</f>
        <v>114</v>
      </c>
      <c r="FL31" s="432"/>
      <c r="FM31" s="434">
        <f>SUM(FM9:FM29)</f>
        <v>348759890.47265637</v>
      </c>
      <c r="FN31" s="423"/>
      <c r="FO31" s="434">
        <f>SUM(FO10:FO15)+SUM(FO17:FO22)+SUM(FO24:FO29)</f>
        <v>114</v>
      </c>
      <c r="FP31" s="434">
        <f>SUM(FP9:FP29)</f>
        <v>111000</v>
      </c>
      <c r="FQ31" s="434">
        <f>SUM(FQ9:FQ29)</f>
        <v>2092559342.8359377</v>
      </c>
      <c r="FR31" s="423"/>
      <c r="FS31" s="434">
        <f>SUM(FS10:FS15)+SUM(FS17:FS22)+SUM(FS24:FS29)</f>
        <v>114</v>
      </c>
      <c r="FT31" s="434">
        <f>SUM(FT9:FT29)</f>
        <v>4164000</v>
      </c>
      <c r="FU31" s="434">
        <f>SUM(FU9:FU29)</f>
        <v>8370237371.343751</v>
      </c>
      <c r="FV31" s="423"/>
      <c r="FW31" s="423"/>
      <c r="FX31" s="434">
        <f>SUM(FX9:FX29)</f>
        <v>49968000</v>
      </c>
      <c r="FY31" s="434">
        <f>SUM(FY9:FY29)</f>
        <v>100442848456.125</v>
      </c>
      <c r="GA31" s="434">
        <f>GA23+GA16+GA9</f>
        <v>30000</v>
      </c>
      <c r="GB31" s="433"/>
      <c r="GC31" s="434">
        <f>SUM(GC10:GC15)+SUM(GC17:GC22)+SUM(GC24:GC29)</f>
        <v>30000</v>
      </c>
      <c r="GD31" s="435"/>
      <c r="GE31" s="434">
        <f>SUM(GE10:GE15)+SUM(GE17:GE22)+SUM(GE24:GE29)</f>
        <v>18500</v>
      </c>
      <c r="GF31" s="423"/>
      <c r="GG31" s="434">
        <f>SUM(GG10:GG15)+SUM(GG17:GG22)+SUM(GG24:GG29)</f>
        <v>18500</v>
      </c>
      <c r="GH31" s="423"/>
      <c r="GI31" s="423"/>
      <c r="GJ31" s="434">
        <f>SUM(GJ10:GJ15)+SUM(GJ17:GJ22)+SUM(GJ24:GJ29)</f>
        <v>114</v>
      </c>
      <c r="GK31" s="432"/>
      <c r="GL31" s="434">
        <f>SUM(GL9:GL29)</f>
        <v>366197884.99628901</v>
      </c>
      <c r="GM31" s="423"/>
      <c r="GN31" s="434">
        <f>SUM(GN10:GN15)+SUM(GN17:GN22)+SUM(GN24:GN29)</f>
        <v>114</v>
      </c>
      <c r="GO31" s="434">
        <f>SUM(GO9:GO29)</f>
        <v>111000</v>
      </c>
      <c r="GP31" s="434">
        <f>SUM(GP9:GP29)</f>
        <v>2197187309.977736</v>
      </c>
      <c r="GQ31" s="423"/>
      <c r="GR31" s="434">
        <f>SUM(GR10:GR15)+SUM(GR17:GR22)+SUM(GR24:GR29)</f>
        <v>114</v>
      </c>
      <c r="GS31" s="434">
        <f>SUM(GS9:GS29)</f>
        <v>4164000</v>
      </c>
      <c r="GT31" s="434">
        <f>SUM(GT9:GT29)</f>
        <v>8788749239.910944</v>
      </c>
      <c r="GU31" s="423"/>
      <c r="GV31" s="423"/>
      <c r="GW31" s="434">
        <f>SUM(GW9:GW29)</f>
        <v>49968000</v>
      </c>
      <c r="GX31" s="434">
        <f>SUM(GX9:GX29)</f>
        <v>105464990878.93127</v>
      </c>
      <c r="GZ31" s="434">
        <f>GZ23+GZ16+GZ9</f>
        <v>30000</v>
      </c>
      <c r="HA31" s="433"/>
      <c r="HB31" s="434">
        <f>SUM(HB10:HB15)+SUM(HB17:HB22)+SUM(HB24:HB29)</f>
        <v>30000</v>
      </c>
      <c r="HC31" s="435"/>
      <c r="HD31" s="434">
        <f>SUM(HD10:HD15)+SUM(HD17:HD22)+SUM(HD24:HD29)</f>
        <v>18500</v>
      </c>
      <c r="HE31" s="423"/>
      <c r="HF31" s="434">
        <f>SUM(HF10:HF15)+SUM(HF17:HF22)+SUM(HF24:HF29)</f>
        <v>18500</v>
      </c>
      <c r="HG31" s="423"/>
      <c r="HH31" s="423"/>
      <c r="HI31" s="434">
        <f>SUM(HI10:HI15)+SUM(HI17:HI22)+SUM(HI24:HI29)</f>
        <v>114</v>
      </c>
      <c r="HJ31" s="432"/>
      <c r="HK31" s="434">
        <f>SUM(HK9:HK29)</f>
        <v>384507779.2461037</v>
      </c>
      <c r="HL31" s="423"/>
      <c r="HM31" s="434">
        <f>SUM(HM10:HM15)+SUM(HM17:HM22)+SUM(HM24:HM29)</f>
        <v>114</v>
      </c>
      <c r="HN31" s="434">
        <f>SUM(HN9:HN29)</f>
        <v>111000</v>
      </c>
      <c r="HO31" s="434">
        <f>SUM(HO9:HO29)</f>
        <v>2307046675.4766212</v>
      </c>
      <c r="HP31" s="423"/>
      <c r="HQ31" s="434">
        <f>SUM(HQ10:HQ15)+SUM(HQ17:HQ22)+SUM(HQ24:HQ29)</f>
        <v>114</v>
      </c>
      <c r="HR31" s="434">
        <f>SUM(HR9:HR29)</f>
        <v>4164000</v>
      </c>
      <c r="HS31" s="434">
        <f>SUM(HS9:HS29)</f>
        <v>9228186701.9064846</v>
      </c>
      <c r="HT31" s="423"/>
      <c r="HU31" s="423"/>
      <c r="HV31" s="434">
        <f>SUM(HV9:HV29)</f>
        <v>49968000</v>
      </c>
      <c r="HW31" s="434">
        <f>SUM(HW9:HW29)</f>
        <v>110738240422.87784</v>
      </c>
      <c r="HY31" s="434">
        <f>HY23+HY16+HY9</f>
        <v>30000</v>
      </c>
      <c r="HZ31" s="433"/>
      <c r="IA31" s="434">
        <f>SUM(IA10:IA15)+SUM(IA17:IA22)+SUM(IA24:IA29)</f>
        <v>30000</v>
      </c>
      <c r="IB31" s="435"/>
      <c r="IC31" s="434">
        <f>SUM(IC10:IC15)+SUM(IC17:IC22)+SUM(IC24:IC29)</f>
        <v>18500</v>
      </c>
      <c r="ID31" s="423"/>
      <c r="IE31" s="434">
        <f>SUM(IE10:IE15)+SUM(IE17:IE22)+SUM(IE24:IE29)</f>
        <v>18500</v>
      </c>
      <c r="IF31" s="423"/>
      <c r="IG31" s="423"/>
      <c r="IH31" s="434">
        <f>SUM(IH10:IH15)+SUM(IH17:IH22)+SUM(IH24:IH29)</f>
        <v>114</v>
      </c>
      <c r="II31" s="432"/>
      <c r="IJ31" s="434">
        <f>SUM(IJ9:IJ29)</f>
        <v>403733168.20840877</v>
      </c>
      <c r="IK31" s="423"/>
      <c r="IL31" s="434">
        <f>SUM(IL10:IL15)+SUM(IL17:IL22)+SUM(IL24:IL29)</f>
        <v>114</v>
      </c>
      <c r="IM31" s="434">
        <f>SUM(IM9:IM29)</f>
        <v>111000</v>
      </c>
      <c r="IN31" s="434">
        <f>SUM(IN9:IN29)</f>
        <v>2422399009.2504525</v>
      </c>
      <c r="IO31" s="423"/>
      <c r="IP31" s="434">
        <f>SUM(IP10:IP15)+SUM(IP17:IP22)+SUM(IP24:IP29)</f>
        <v>114</v>
      </c>
      <c r="IQ31" s="434">
        <f>SUM(IQ9:IQ29)</f>
        <v>4164000</v>
      </c>
      <c r="IR31" s="434">
        <f>SUM(IR9:IR29)</f>
        <v>9689596037.0018101</v>
      </c>
      <c r="IS31" s="423"/>
      <c r="IT31" s="423"/>
      <c r="IU31" s="434">
        <f>SUM(IU9:IU29)</f>
        <v>49968000</v>
      </c>
      <c r="IV31" s="434">
        <f>SUM(IV9:IV29)</f>
        <v>116275152444.02174</v>
      </c>
    </row>
    <row r="32" spans="2:256" x14ac:dyDescent="0.25">
      <c r="W32" s="436">
        <f>W31/T29</f>
        <v>52050000</v>
      </c>
      <c r="AA32" s="436">
        <f>AA31/X29</f>
        <v>52050000</v>
      </c>
      <c r="AE32" s="436">
        <f>AE31/AB29</f>
        <v>52050000</v>
      </c>
      <c r="AV32" s="436">
        <f>AV31/AS29</f>
        <v>109305000</v>
      </c>
      <c r="AZ32" s="436">
        <f>AZ31/AW29</f>
        <v>109305000</v>
      </c>
      <c r="BD32" s="436">
        <f>BD31/BA29</f>
        <v>109305000</v>
      </c>
      <c r="BU32" s="436">
        <f>BU31/BR29</f>
        <v>172155375</v>
      </c>
      <c r="BY32" s="436">
        <f>BY31/BV29</f>
        <v>172155375</v>
      </c>
      <c r="CC32" s="436">
        <f>CC31/BZ29</f>
        <v>172155375</v>
      </c>
      <c r="CT32" s="436">
        <f>CT31/CQ29</f>
        <v>241017525</v>
      </c>
      <c r="CX32" s="436">
        <f>CX31/CU29</f>
        <v>241017525</v>
      </c>
      <c r="DB32" s="436">
        <f>DB31/CY29</f>
        <v>241017525</v>
      </c>
      <c r="DS32" s="436">
        <f>DS31/DP29</f>
        <v>316335501.5625</v>
      </c>
      <c r="DW32" s="436">
        <f>DW31/DT29</f>
        <v>316335501.5625</v>
      </c>
      <c r="EA32" s="436">
        <f>EA31/DX29</f>
        <v>316335501.5625</v>
      </c>
      <c r="ER32" s="436">
        <f>ER31/EO29</f>
        <v>332152276.64062506</v>
      </c>
      <c r="EV32" s="436">
        <f>EV31/ES29</f>
        <v>332152276.64062506</v>
      </c>
      <c r="EZ32" s="436">
        <f>EZ31/EW29</f>
        <v>332152276.640625</v>
      </c>
      <c r="FQ32" s="436">
        <f>FQ31/FN29</f>
        <v>348759890.47265631</v>
      </c>
      <c r="FU32" s="436">
        <f>FU31/FR29</f>
        <v>348759890.47265631</v>
      </c>
      <c r="FY32" s="436">
        <f>FY31/FV29</f>
        <v>348759890.47265625</v>
      </c>
      <c r="GP32" s="436">
        <f>GP31/GM29</f>
        <v>366197884.99628931</v>
      </c>
      <c r="GT32" s="436">
        <f>GT31/GQ29</f>
        <v>366197884.99628931</v>
      </c>
      <c r="GX32" s="436">
        <f>GX31/GU29</f>
        <v>366197884.99628913</v>
      </c>
      <c r="HO32" s="436">
        <f>HO31/HL29</f>
        <v>384507779.24610353</v>
      </c>
      <c r="HS32" s="436">
        <f>HS31/HP29</f>
        <v>384507779.24610353</v>
      </c>
      <c r="HW32" s="436">
        <f>HW31/HT29</f>
        <v>384507779.24610358</v>
      </c>
      <c r="IN32" s="436">
        <f>IN31/IK29</f>
        <v>403733168.20840877</v>
      </c>
      <c r="IR32" s="436">
        <f>IR31/IO29</f>
        <v>403733168.20840877</v>
      </c>
      <c r="IV32" s="436">
        <f>IV31/IS29</f>
        <v>403733168.20840883</v>
      </c>
    </row>
    <row r="33" spans="1:256" x14ac:dyDescent="0.25">
      <c r="H33" s="437"/>
      <c r="S33" s="436">
        <f>S30+S23+S16</f>
        <v>28500</v>
      </c>
      <c r="AA33" s="438" t="b">
        <f>AA32=W32</f>
        <v>1</v>
      </c>
      <c r="AE33" s="438" t="b">
        <f>AE32=W32</f>
        <v>1</v>
      </c>
      <c r="AG33" s="437"/>
      <c r="AP33" s="436">
        <f>AR33+AR23+AR16</f>
        <v>29925</v>
      </c>
      <c r="AR33" s="436">
        <f>SUM(AR24:AR29)/400</f>
        <v>1575</v>
      </c>
      <c r="AZ33" s="438" t="b">
        <f>AZ32=AV32</f>
        <v>1</v>
      </c>
      <c r="BD33" s="438" t="b">
        <f>BD32=AV32</f>
        <v>1</v>
      </c>
      <c r="BF33" s="437"/>
      <c r="BY33" s="438" t="b">
        <f>BY32=BU32</f>
        <v>1</v>
      </c>
      <c r="CC33" s="438" t="b">
        <f>CC32=BU32</f>
        <v>1</v>
      </c>
      <c r="CE33" s="437"/>
      <c r="CX33" s="438" t="b">
        <f>CX32=CT32</f>
        <v>1</v>
      </c>
      <c r="DB33" s="438" t="b">
        <f>DB32=CT32</f>
        <v>1</v>
      </c>
      <c r="DD33" s="437"/>
      <c r="DW33" s="438" t="b">
        <f>DW32=DS32</f>
        <v>1</v>
      </c>
      <c r="EA33" s="438" t="b">
        <f>EA32=DS32</f>
        <v>1</v>
      </c>
      <c r="EC33" s="437"/>
      <c r="EV33" s="438" t="b">
        <f>EV32=ER32</f>
        <v>1</v>
      </c>
      <c r="EZ33" s="438" t="b">
        <f>EZ32=ER32</f>
        <v>1</v>
      </c>
      <c r="FB33" s="437"/>
      <c r="FU33" s="438" t="b">
        <f>FU32=FQ32</f>
        <v>1</v>
      </c>
      <c r="FY33" s="438" t="b">
        <f>FY32=FQ32</f>
        <v>1</v>
      </c>
      <c r="GA33" s="437"/>
      <c r="GT33" s="438" t="b">
        <f>GT32=GP32</f>
        <v>1</v>
      </c>
      <c r="GX33" s="438" t="b">
        <f>GX32=GP32</f>
        <v>1</v>
      </c>
      <c r="GZ33" s="437"/>
      <c r="HS33" s="438" t="b">
        <f>HS32=HO32</f>
        <v>1</v>
      </c>
      <c r="HW33" s="438" t="b">
        <f>HW32=HO32</f>
        <v>1</v>
      </c>
      <c r="HY33" s="437"/>
      <c r="IR33" s="438" t="b">
        <f>IR32=IN32</f>
        <v>1</v>
      </c>
      <c r="IV33" s="438" t="b">
        <f>IV32=IN32</f>
        <v>1</v>
      </c>
    </row>
    <row r="34" spans="1:256" x14ac:dyDescent="0.25">
      <c r="B34" s="408"/>
    </row>
    <row r="35" spans="1:256" ht="11.5" customHeight="1" x14ac:dyDescent="0.25">
      <c r="B35" s="439"/>
      <c r="C35" s="439"/>
      <c r="D35" s="439"/>
      <c r="E35" s="440"/>
      <c r="F35" s="439"/>
      <c r="G35" s="439"/>
      <c r="H35" s="439"/>
      <c r="I35" s="441"/>
      <c r="J35" s="442"/>
      <c r="K35" s="441"/>
      <c r="L35" s="442"/>
      <c r="M35" s="442"/>
      <c r="N35" s="442"/>
      <c r="O35" s="442"/>
      <c r="P35" s="442"/>
      <c r="Q35" s="439"/>
      <c r="R35" s="442"/>
      <c r="S35" s="442"/>
      <c r="T35" s="439"/>
      <c r="U35" s="439"/>
      <c r="V35" s="439"/>
      <c r="W35" s="439"/>
      <c r="X35" s="439"/>
      <c r="Y35" s="439"/>
      <c r="Z35" s="439"/>
      <c r="AA35" s="439"/>
      <c r="AG35" s="439"/>
      <c r="AH35" s="441"/>
      <c r="AI35" s="442"/>
      <c r="AJ35" s="441"/>
      <c r="AK35" s="442"/>
      <c r="AL35" s="442"/>
      <c r="AM35" s="442"/>
      <c r="AN35" s="442"/>
      <c r="AO35" s="442"/>
      <c r="AP35" s="439"/>
      <c r="AQ35" s="442"/>
      <c r="AR35" s="442"/>
      <c r="AS35" s="439"/>
      <c r="AT35" s="439"/>
      <c r="AU35" s="439"/>
      <c r="AV35" s="439"/>
      <c r="AW35" s="439"/>
      <c r="AX35" s="439"/>
      <c r="AY35" s="439"/>
      <c r="AZ35" s="439"/>
      <c r="BF35" s="439"/>
      <c r="BG35" s="441"/>
      <c r="BH35" s="442"/>
      <c r="BI35" s="441"/>
      <c r="BJ35" s="442"/>
      <c r="BK35" s="442"/>
      <c r="BL35" s="442"/>
      <c r="BM35" s="442"/>
      <c r="BN35" s="442"/>
      <c r="BO35" s="439"/>
      <c r="BP35" s="442"/>
      <c r="BQ35" s="442"/>
      <c r="BR35" s="439"/>
      <c r="BS35" s="439"/>
      <c r="BT35" s="439"/>
      <c r="BU35" s="439"/>
      <c r="BV35" s="439"/>
      <c r="BW35" s="439"/>
      <c r="BX35" s="439"/>
      <c r="BY35" s="439"/>
      <c r="CE35" s="439"/>
      <c r="CF35" s="441"/>
      <c r="CG35" s="442"/>
      <c r="CH35" s="441"/>
      <c r="CI35" s="442"/>
      <c r="CJ35" s="442"/>
      <c r="CK35" s="442"/>
      <c r="CL35" s="442"/>
      <c r="CM35" s="442"/>
      <c r="CN35" s="439"/>
      <c r="CO35" s="442"/>
      <c r="CP35" s="442"/>
      <c r="CQ35" s="439"/>
      <c r="CR35" s="439"/>
      <c r="CS35" s="439"/>
      <c r="CT35" s="439"/>
      <c r="CU35" s="439"/>
      <c r="CV35" s="439"/>
      <c r="CW35" s="439"/>
      <c r="CX35" s="439"/>
      <c r="DD35" s="439"/>
      <c r="DE35" s="441"/>
      <c r="DF35" s="442"/>
      <c r="DG35" s="441"/>
      <c r="DH35" s="442"/>
      <c r="DI35" s="442"/>
      <c r="DJ35" s="442"/>
      <c r="DK35" s="442"/>
      <c r="DL35" s="442"/>
      <c r="DM35" s="439"/>
      <c r="DN35" s="442"/>
      <c r="DO35" s="442"/>
      <c r="DP35" s="439"/>
      <c r="DQ35" s="439"/>
      <c r="DR35" s="439"/>
      <c r="DS35" s="439"/>
      <c r="DT35" s="439"/>
      <c r="DU35" s="439"/>
      <c r="DV35" s="439"/>
      <c r="DW35" s="439"/>
      <c r="EC35" s="439"/>
      <c r="ED35" s="441"/>
      <c r="EE35" s="442"/>
      <c r="EF35" s="441"/>
      <c r="EG35" s="442"/>
      <c r="EH35" s="442"/>
      <c r="EI35" s="442"/>
      <c r="EJ35" s="442"/>
      <c r="EK35" s="442"/>
      <c r="EL35" s="439"/>
      <c r="EM35" s="442"/>
      <c r="EN35" s="442"/>
      <c r="EO35" s="439"/>
      <c r="EP35" s="439"/>
      <c r="EQ35" s="439"/>
      <c r="ER35" s="439"/>
      <c r="ES35" s="439"/>
      <c r="ET35" s="439"/>
      <c r="EU35" s="439"/>
      <c r="EV35" s="439"/>
      <c r="FB35" s="439"/>
      <c r="FC35" s="441"/>
      <c r="FD35" s="442"/>
      <c r="FE35" s="441"/>
      <c r="FF35" s="442"/>
      <c r="FG35" s="442"/>
      <c r="FH35" s="442"/>
      <c r="FI35" s="442"/>
      <c r="FJ35" s="442"/>
      <c r="FK35" s="439"/>
      <c r="FL35" s="442"/>
      <c r="FM35" s="442"/>
      <c r="FN35" s="439"/>
      <c r="FO35" s="439"/>
      <c r="FP35" s="439"/>
      <c r="FQ35" s="439"/>
      <c r="FR35" s="439"/>
      <c r="FS35" s="439"/>
      <c r="FT35" s="439"/>
      <c r="FU35" s="439"/>
      <c r="GA35" s="439"/>
      <c r="GB35" s="441"/>
      <c r="GC35" s="442"/>
      <c r="GD35" s="441"/>
      <c r="GE35" s="442"/>
      <c r="GF35" s="442"/>
      <c r="GG35" s="442"/>
      <c r="GH35" s="442"/>
      <c r="GI35" s="442"/>
      <c r="GJ35" s="439"/>
      <c r="GK35" s="442"/>
      <c r="GL35" s="442"/>
      <c r="GM35" s="439"/>
      <c r="GN35" s="439"/>
      <c r="GO35" s="439"/>
      <c r="GP35" s="439"/>
      <c r="GQ35" s="439"/>
      <c r="GR35" s="439"/>
      <c r="GS35" s="439"/>
      <c r="GT35" s="439"/>
      <c r="GZ35" s="439"/>
      <c r="HA35" s="441"/>
      <c r="HB35" s="442"/>
      <c r="HC35" s="441"/>
      <c r="HD35" s="442"/>
      <c r="HE35" s="442"/>
      <c r="HF35" s="442"/>
      <c r="HG35" s="442"/>
      <c r="HH35" s="442"/>
      <c r="HI35" s="439"/>
      <c r="HJ35" s="442"/>
      <c r="HK35" s="442"/>
      <c r="HL35" s="439"/>
      <c r="HM35" s="439"/>
      <c r="HN35" s="439"/>
      <c r="HO35" s="439"/>
      <c r="HP35" s="439"/>
      <c r="HQ35" s="439"/>
      <c r="HR35" s="439"/>
      <c r="HS35" s="439"/>
      <c r="HY35" s="439"/>
      <c r="HZ35" s="441"/>
      <c r="IA35" s="442"/>
      <c r="IB35" s="441"/>
      <c r="IC35" s="442"/>
      <c r="ID35" s="442"/>
      <c r="IE35" s="442"/>
      <c r="IF35" s="442"/>
      <c r="IG35" s="442"/>
      <c r="IH35" s="439"/>
      <c r="II35" s="442"/>
      <c r="IJ35" s="442"/>
      <c r="IK35" s="439"/>
      <c r="IL35" s="439"/>
      <c r="IM35" s="439"/>
      <c r="IN35" s="439"/>
      <c r="IO35" s="439"/>
      <c r="IP35" s="439"/>
      <c r="IQ35" s="439"/>
      <c r="IR35" s="439"/>
    </row>
    <row r="36" spans="1:256" x14ac:dyDescent="0.25">
      <c r="B36" s="408" t="s">
        <v>155</v>
      </c>
      <c r="C36" s="421"/>
      <c r="D36" s="421"/>
      <c r="F36" s="421"/>
      <c r="G36" s="421"/>
      <c r="H36" s="421"/>
      <c r="I36" s="443"/>
      <c r="J36" s="421"/>
      <c r="K36" s="443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G36" s="421"/>
      <c r="AH36" s="443"/>
      <c r="AI36" s="421"/>
      <c r="AJ36" s="443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F36" s="421"/>
      <c r="BG36" s="443"/>
      <c r="BH36" s="421"/>
      <c r="BI36" s="443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1"/>
      <c r="BY36" s="421"/>
      <c r="CE36" s="421"/>
      <c r="CF36" s="443"/>
      <c r="CG36" s="421"/>
      <c r="CH36" s="443"/>
      <c r="CI36" s="421"/>
      <c r="CJ36" s="421"/>
      <c r="CK36" s="421"/>
      <c r="CL36" s="421"/>
      <c r="CM36" s="421"/>
      <c r="CN36" s="421"/>
      <c r="CO36" s="421"/>
      <c r="CP36" s="421"/>
      <c r="CQ36" s="421"/>
      <c r="CR36" s="421"/>
      <c r="CS36" s="421"/>
      <c r="CT36" s="421"/>
      <c r="CU36" s="421"/>
      <c r="CV36" s="421"/>
      <c r="CW36" s="421"/>
      <c r="CX36" s="421"/>
      <c r="DD36" s="421"/>
      <c r="DE36" s="443"/>
      <c r="DF36" s="421"/>
      <c r="DG36" s="443"/>
      <c r="DH36" s="421"/>
      <c r="DI36" s="421"/>
      <c r="DJ36" s="421"/>
      <c r="DK36" s="421"/>
      <c r="DL36" s="421"/>
      <c r="DM36" s="421"/>
      <c r="DN36" s="421"/>
      <c r="DO36" s="421"/>
      <c r="DP36" s="421"/>
      <c r="DQ36" s="421"/>
      <c r="DR36" s="421"/>
      <c r="DS36" s="421"/>
      <c r="DT36" s="421"/>
      <c r="DU36" s="421"/>
      <c r="DV36" s="421"/>
      <c r="DW36" s="421"/>
      <c r="EC36" s="421"/>
      <c r="ED36" s="443"/>
      <c r="EE36" s="421"/>
      <c r="EF36" s="443"/>
      <c r="EG36" s="421"/>
      <c r="EH36" s="421"/>
      <c r="EI36" s="421"/>
      <c r="EJ36" s="421"/>
      <c r="EK36" s="421"/>
      <c r="EL36" s="421"/>
      <c r="EM36" s="421"/>
      <c r="EN36" s="421"/>
      <c r="EO36" s="421"/>
      <c r="EP36" s="421"/>
      <c r="EQ36" s="421"/>
      <c r="ER36" s="421"/>
      <c r="ES36" s="421"/>
      <c r="ET36" s="421"/>
      <c r="EU36" s="421"/>
      <c r="EV36" s="421"/>
      <c r="FB36" s="421"/>
      <c r="FC36" s="443"/>
      <c r="FD36" s="421"/>
      <c r="FE36" s="443"/>
      <c r="FF36" s="421"/>
      <c r="FG36" s="421"/>
      <c r="FH36" s="421"/>
      <c r="FI36" s="421"/>
      <c r="FJ36" s="421"/>
      <c r="FK36" s="421"/>
      <c r="FL36" s="421"/>
      <c r="FM36" s="421"/>
      <c r="FN36" s="421"/>
      <c r="FO36" s="421"/>
      <c r="FP36" s="421"/>
      <c r="FQ36" s="421"/>
      <c r="FR36" s="421"/>
      <c r="FS36" s="421"/>
      <c r="FT36" s="421"/>
      <c r="FU36" s="421"/>
      <c r="GA36" s="421"/>
      <c r="GB36" s="443"/>
      <c r="GC36" s="421"/>
      <c r="GD36" s="443"/>
      <c r="GE36" s="421"/>
      <c r="GF36" s="421"/>
      <c r="GG36" s="421"/>
      <c r="GH36" s="421"/>
      <c r="GI36" s="421"/>
      <c r="GJ36" s="421"/>
      <c r="GK36" s="421"/>
      <c r="GL36" s="421"/>
      <c r="GM36" s="421"/>
      <c r="GN36" s="421"/>
      <c r="GO36" s="421"/>
      <c r="GP36" s="421"/>
      <c r="GQ36" s="421"/>
      <c r="GR36" s="421"/>
      <c r="GS36" s="421"/>
      <c r="GT36" s="421"/>
      <c r="GZ36" s="421"/>
      <c r="HA36" s="443"/>
      <c r="HB36" s="421"/>
      <c r="HC36" s="443"/>
      <c r="HD36" s="421"/>
      <c r="HE36" s="421"/>
      <c r="HF36" s="421"/>
      <c r="HG36" s="421"/>
      <c r="HH36" s="421"/>
      <c r="HI36" s="421"/>
      <c r="HJ36" s="421"/>
      <c r="HK36" s="421"/>
      <c r="HL36" s="421"/>
      <c r="HM36" s="421"/>
      <c r="HN36" s="421"/>
      <c r="HO36" s="421"/>
      <c r="HP36" s="421"/>
      <c r="HQ36" s="421"/>
      <c r="HR36" s="421"/>
      <c r="HS36" s="421"/>
      <c r="HY36" s="421"/>
      <c r="HZ36" s="443"/>
      <c r="IA36" s="421"/>
      <c r="IB36" s="443"/>
      <c r="IC36" s="421"/>
      <c r="ID36" s="421"/>
      <c r="IE36" s="421"/>
      <c r="IF36" s="421"/>
      <c r="IG36" s="421"/>
      <c r="IH36" s="421"/>
      <c r="II36" s="421"/>
      <c r="IJ36" s="421"/>
      <c r="IK36" s="421"/>
      <c r="IL36" s="421"/>
      <c r="IM36" s="421"/>
      <c r="IN36" s="421"/>
      <c r="IO36" s="421"/>
      <c r="IP36" s="421"/>
      <c r="IQ36" s="421"/>
      <c r="IR36" s="421"/>
    </row>
    <row r="37" spans="1:256" ht="14.5" customHeight="1" x14ac:dyDescent="0.25">
      <c r="H37" s="620" t="s">
        <v>2</v>
      </c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620"/>
      <c r="AB37" s="620"/>
      <c r="AC37" s="620"/>
      <c r="AD37" s="620"/>
      <c r="AE37" s="620"/>
      <c r="AG37" s="620" t="s">
        <v>3</v>
      </c>
      <c r="AH37" s="620"/>
      <c r="AI37" s="620"/>
      <c r="AJ37" s="620"/>
      <c r="AK37" s="620"/>
      <c r="AL37" s="620"/>
      <c r="AM37" s="620"/>
      <c r="AN37" s="620"/>
      <c r="AO37" s="620"/>
      <c r="AP37" s="620"/>
      <c r="AQ37" s="620"/>
      <c r="AR37" s="620"/>
      <c r="AS37" s="620"/>
      <c r="AT37" s="620"/>
      <c r="AU37" s="620"/>
      <c r="AV37" s="620"/>
      <c r="AW37" s="620"/>
      <c r="AX37" s="620"/>
      <c r="AY37" s="620"/>
      <c r="AZ37" s="620"/>
      <c r="BA37" s="620"/>
      <c r="BB37" s="620"/>
      <c r="BC37" s="620"/>
      <c r="BD37" s="620"/>
      <c r="BF37" s="620" t="s">
        <v>4</v>
      </c>
      <c r="BG37" s="620"/>
      <c r="BH37" s="620"/>
      <c r="BI37" s="620"/>
      <c r="BJ37" s="620"/>
      <c r="BK37" s="620"/>
      <c r="BL37" s="620"/>
      <c r="BM37" s="620"/>
      <c r="BN37" s="620"/>
      <c r="BO37" s="620"/>
      <c r="BP37" s="620"/>
      <c r="BQ37" s="620"/>
      <c r="BR37" s="620"/>
      <c r="BS37" s="620"/>
      <c r="BT37" s="620"/>
      <c r="BU37" s="620"/>
      <c r="BV37" s="620"/>
      <c r="BW37" s="620"/>
      <c r="BX37" s="620"/>
      <c r="BY37" s="620"/>
      <c r="BZ37" s="620"/>
      <c r="CA37" s="620"/>
      <c r="CB37" s="620"/>
      <c r="CC37" s="620"/>
      <c r="CE37" s="620" t="s">
        <v>5</v>
      </c>
      <c r="CF37" s="620"/>
      <c r="CG37" s="620"/>
      <c r="CH37" s="620"/>
      <c r="CI37" s="620"/>
      <c r="CJ37" s="620"/>
      <c r="CK37" s="620"/>
      <c r="CL37" s="620"/>
      <c r="CM37" s="620"/>
      <c r="CN37" s="620"/>
      <c r="CO37" s="620"/>
      <c r="CP37" s="620"/>
      <c r="CQ37" s="620"/>
      <c r="CR37" s="620"/>
      <c r="CS37" s="620"/>
      <c r="CT37" s="620"/>
      <c r="CU37" s="620"/>
      <c r="CV37" s="620"/>
      <c r="CW37" s="620"/>
      <c r="CX37" s="620"/>
      <c r="CY37" s="620"/>
      <c r="CZ37" s="620"/>
      <c r="DA37" s="620"/>
      <c r="DB37" s="620"/>
      <c r="DD37" s="620" t="s">
        <v>6</v>
      </c>
      <c r="DE37" s="620"/>
      <c r="DF37" s="620"/>
      <c r="DG37" s="620"/>
      <c r="DH37" s="620"/>
      <c r="DI37" s="620"/>
      <c r="DJ37" s="620"/>
      <c r="DK37" s="620"/>
      <c r="DL37" s="620"/>
      <c r="DM37" s="620"/>
      <c r="DN37" s="620"/>
      <c r="DO37" s="620"/>
      <c r="DP37" s="620"/>
      <c r="DQ37" s="620"/>
      <c r="DR37" s="620"/>
      <c r="DS37" s="620"/>
      <c r="DT37" s="620"/>
      <c r="DU37" s="620"/>
      <c r="DV37" s="620"/>
      <c r="DW37" s="620"/>
      <c r="DX37" s="620"/>
      <c r="DY37" s="620"/>
      <c r="DZ37" s="620"/>
      <c r="EA37" s="620"/>
      <c r="EC37" s="620" t="s">
        <v>104</v>
      </c>
      <c r="ED37" s="620"/>
      <c r="EE37" s="620"/>
      <c r="EF37" s="620"/>
      <c r="EG37" s="620"/>
      <c r="EH37" s="620"/>
      <c r="EI37" s="620"/>
      <c r="EJ37" s="620"/>
      <c r="EK37" s="620"/>
      <c r="EL37" s="620"/>
      <c r="EM37" s="620"/>
      <c r="EN37" s="620"/>
      <c r="EO37" s="620"/>
      <c r="EP37" s="620"/>
      <c r="EQ37" s="620"/>
      <c r="ER37" s="620"/>
      <c r="ES37" s="620"/>
      <c r="ET37" s="620"/>
      <c r="EU37" s="620"/>
      <c r="EV37" s="620"/>
      <c r="EW37" s="620"/>
      <c r="EX37" s="620"/>
      <c r="EY37" s="620"/>
      <c r="EZ37" s="620"/>
      <c r="FB37" s="620" t="s">
        <v>105</v>
      </c>
      <c r="FC37" s="620"/>
      <c r="FD37" s="620"/>
      <c r="FE37" s="620"/>
      <c r="FF37" s="620"/>
      <c r="FG37" s="620"/>
      <c r="FH37" s="620"/>
      <c r="FI37" s="620"/>
      <c r="FJ37" s="620"/>
      <c r="FK37" s="620"/>
      <c r="FL37" s="620"/>
      <c r="FM37" s="620"/>
      <c r="FN37" s="620"/>
      <c r="FO37" s="620"/>
      <c r="FP37" s="620"/>
      <c r="FQ37" s="620"/>
      <c r="FR37" s="620"/>
      <c r="FS37" s="620"/>
      <c r="FT37" s="620"/>
      <c r="FU37" s="620"/>
      <c r="FV37" s="620"/>
      <c r="FW37" s="620"/>
      <c r="FX37" s="620"/>
      <c r="FY37" s="620"/>
      <c r="GA37" s="620" t="s">
        <v>106</v>
      </c>
      <c r="GB37" s="620"/>
      <c r="GC37" s="620"/>
      <c r="GD37" s="620"/>
      <c r="GE37" s="620"/>
      <c r="GF37" s="620"/>
      <c r="GG37" s="620"/>
      <c r="GH37" s="620"/>
      <c r="GI37" s="620"/>
      <c r="GJ37" s="620"/>
      <c r="GK37" s="620"/>
      <c r="GL37" s="620"/>
      <c r="GM37" s="620"/>
      <c r="GN37" s="620"/>
      <c r="GO37" s="620"/>
      <c r="GP37" s="620"/>
      <c r="GQ37" s="620"/>
      <c r="GR37" s="620"/>
      <c r="GS37" s="620"/>
      <c r="GT37" s="620"/>
      <c r="GU37" s="620"/>
      <c r="GV37" s="620"/>
      <c r="GW37" s="620"/>
      <c r="GX37" s="620"/>
      <c r="GZ37" s="620" t="s">
        <v>107</v>
      </c>
      <c r="HA37" s="620"/>
      <c r="HB37" s="620"/>
      <c r="HC37" s="620"/>
      <c r="HD37" s="620"/>
      <c r="HE37" s="620"/>
      <c r="HF37" s="620"/>
      <c r="HG37" s="620"/>
      <c r="HH37" s="620"/>
      <c r="HI37" s="620"/>
      <c r="HJ37" s="620"/>
      <c r="HK37" s="620"/>
      <c r="HL37" s="620"/>
      <c r="HM37" s="620"/>
      <c r="HN37" s="620"/>
      <c r="HO37" s="620"/>
      <c r="HP37" s="620"/>
      <c r="HQ37" s="620"/>
      <c r="HR37" s="620"/>
      <c r="HS37" s="620"/>
      <c r="HT37" s="620"/>
      <c r="HU37" s="620"/>
      <c r="HV37" s="620"/>
      <c r="HW37" s="620"/>
      <c r="HY37" s="620" t="s">
        <v>108</v>
      </c>
      <c r="HZ37" s="620"/>
      <c r="IA37" s="620"/>
      <c r="IB37" s="620"/>
      <c r="IC37" s="620"/>
      <c r="ID37" s="620"/>
      <c r="IE37" s="620"/>
      <c r="IF37" s="620"/>
      <c r="IG37" s="620"/>
      <c r="IH37" s="620"/>
      <c r="II37" s="620"/>
      <c r="IJ37" s="620"/>
      <c r="IK37" s="620"/>
      <c r="IL37" s="620"/>
      <c r="IM37" s="620"/>
      <c r="IN37" s="620"/>
      <c r="IO37" s="620"/>
      <c r="IP37" s="620"/>
      <c r="IQ37" s="620"/>
      <c r="IR37" s="620"/>
      <c r="IS37" s="620"/>
      <c r="IT37" s="620"/>
      <c r="IU37" s="620"/>
      <c r="IV37" s="620"/>
    </row>
    <row r="39" spans="1:256" x14ac:dyDescent="0.25">
      <c r="B39" s="408"/>
      <c r="O39" s="621" t="s">
        <v>90</v>
      </c>
      <c r="P39" s="621"/>
      <c r="Q39" s="621"/>
      <c r="R39" s="621"/>
      <c r="S39" s="621"/>
      <c r="T39" s="621" t="s">
        <v>89</v>
      </c>
      <c r="U39" s="621"/>
      <c r="V39" s="621"/>
      <c r="W39" s="621"/>
      <c r="X39" s="621" t="s">
        <v>92</v>
      </c>
      <c r="Y39" s="621"/>
      <c r="Z39" s="621"/>
      <c r="AA39" s="621"/>
      <c r="AB39" s="621" t="s">
        <v>103</v>
      </c>
      <c r="AC39" s="621"/>
      <c r="AD39" s="621"/>
      <c r="AE39" s="621"/>
      <c r="AN39" s="621" t="s">
        <v>90</v>
      </c>
      <c r="AO39" s="621"/>
      <c r="AP39" s="621"/>
      <c r="AQ39" s="621"/>
      <c r="AR39" s="621"/>
      <c r="AS39" s="621" t="s">
        <v>89</v>
      </c>
      <c r="AT39" s="621"/>
      <c r="AU39" s="621"/>
      <c r="AV39" s="621"/>
      <c r="AW39" s="621" t="s">
        <v>92</v>
      </c>
      <c r="AX39" s="621"/>
      <c r="AY39" s="621"/>
      <c r="AZ39" s="621"/>
      <c r="BA39" s="621" t="s">
        <v>103</v>
      </c>
      <c r="BB39" s="621"/>
      <c r="BC39" s="621"/>
      <c r="BD39" s="621"/>
      <c r="BM39" s="621" t="s">
        <v>90</v>
      </c>
      <c r="BN39" s="621"/>
      <c r="BO39" s="621"/>
      <c r="BP39" s="621"/>
      <c r="BQ39" s="621"/>
      <c r="BR39" s="621" t="s">
        <v>89</v>
      </c>
      <c r="BS39" s="621"/>
      <c r="BT39" s="621"/>
      <c r="BU39" s="621"/>
      <c r="BV39" s="621" t="s">
        <v>92</v>
      </c>
      <c r="BW39" s="621"/>
      <c r="BX39" s="621"/>
      <c r="BY39" s="621"/>
      <c r="BZ39" s="621" t="s">
        <v>103</v>
      </c>
      <c r="CA39" s="621"/>
      <c r="CB39" s="621"/>
      <c r="CC39" s="621"/>
      <c r="CL39" s="621" t="s">
        <v>90</v>
      </c>
      <c r="CM39" s="621"/>
      <c r="CN39" s="621"/>
      <c r="CO39" s="621"/>
      <c r="CP39" s="621"/>
      <c r="CQ39" s="621" t="s">
        <v>89</v>
      </c>
      <c r="CR39" s="621"/>
      <c r="CS39" s="621"/>
      <c r="CT39" s="621"/>
      <c r="CU39" s="621" t="s">
        <v>92</v>
      </c>
      <c r="CV39" s="621"/>
      <c r="CW39" s="621"/>
      <c r="CX39" s="621"/>
      <c r="CY39" s="621" t="s">
        <v>103</v>
      </c>
      <c r="CZ39" s="621"/>
      <c r="DA39" s="621"/>
      <c r="DB39" s="621"/>
      <c r="DK39" s="621" t="s">
        <v>90</v>
      </c>
      <c r="DL39" s="621"/>
      <c r="DM39" s="621"/>
      <c r="DN39" s="621"/>
      <c r="DO39" s="621"/>
      <c r="DP39" s="621" t="s">
        <v>89</v>
      </c>
      <c r="DQ39" s="621"/>
      <c r="DR39" s="621"/>
      <c r="DS39" s="621"/>
      <c r="DT39" s="621" t="s">
        <v>92</v>
      </c>
      <c r="DU39" s="621"/>
      <c r="DV39" s="621"/>
      <c r="DW39" s="621"/>
      <c r="DX39" s="621" t="s">
        <v>103</v>
      </c>
      <c r="DY39" s="621"/>
      <c r="DZ39" s="621"/>
      <c r="EA39" s="621"/>
      <c r="EJ39" s="621" t="s">
        <v>90</v>
      </c>
      <c r="EK39" s="621"/>
      <c r="EL39" s="621"/>
      <c r="EM39" s="621"/>
      <c r="EN39" s="621"/>
      <c r="EO39" s="621" t="s">
        <v>89</v>
      </c>
      <c r="EP39" s="621"/>
      <c r="EQ39" s="621"/>
      <c r="ER39" s="621"/>
      <c r="ES39" s="621" t="s">
        <v>92</v>
      </c>
      <c r="ET39" s="621"/>
      <c r="EU39" s="621"/>
      <c r="EV39" s="621"/>
      <c r="EW39" s="621" t="s">
        <v>103</v>
      </c>
      <c r="EX39" s="621"/>
      <c r="EY39" s="621"/>
      <c r="EZ39" s="621"/>
      <c r="FI39" s="621" t="s">
        <v>90</v>
      </c>
      <c r="FJ39" s="621"/>
      <c r="FK39" s="621"/>
      <c r="FL39" s="621"/>
      <c r="FM39" s="621"/>
      <c r="FN39" s="621" t="s">
        <v>89</v>
      </c>
      <c r="FO39" s="621"/>
      <c r="FP39" s="621"/>
      <c r="FQ39" s="621"/>
      <c r="FR39" s="621" t="s">
        <v>92</v>
      </c>
      <c r="FS39" s="621"/>
      <c r="FT39" s="621"/>
      <c r="FU39" s="621"/>
      <c r="FV39" s="621" t="s">
        <v>103</v>
      </c>
      <c r="FW39" s="621"/>
      <c r="FX39" s="621"/>
      <c r="FY39" s="621"/>
      <c r="GH39" s="621" t="s">
        <v>90</v>
      </c>
      <c r="GI39" s="621"/>
      <c r="GJ39" s="621"/>
      <c r="GK39" s="621"/>
      <c r="GL39" s="621"/>
      <c r="GM39" s="621" t="s">
        <v>89</v>
      </c>
      <c r="GN39" s="621"/>
      <c r="GO39" s="621"/>
      <c r="GP39" s="621"/>
      <c r="GQ39" s="621" t="s">
        <v>92</v>
      </c>
      <c r="GR39" s="621"/>
      <c r="GS39" s="621"/>
      <c r="GT39" s="621"/>
      <c r="GU39" s="621" t="s">
        <v>103</v>
      </c>
      <c r="GV39" s="621"/>
      <c r="GW39" s="621"/>
      <c r="GX39" s="621"/>
      <c r="HG39" s="621" t="s">
        <v>90</v>
      </c>
      <c r="HH39" s="621"/>
      <c r="HI39" s="621"/>
      <c r="HJ39" s="621"/>
      <c r="HK39" s="621"/>
      <c r="HL39" s="621" t="s">
        <v>89</v>
      </c>
      <c r="HM39" s="621"/>
      <c r="HN39" s="621"/>
      <c r="HO39" s="621"/>
      <c r="HP39" s="621" t="s">
        <v>92</v>
      </c>
      <c r="HQ39" s="621"/>
      <c r="HR39" s="621"/>
      <c r="HS39" s="621"/>
      <c r="HT39" s="621" t="s">
        <v>103</v>
      </c>
      <c r="HU39" s="621"/>
      <c r="HV39" s="621"/>
      <c r="HW39" s="621"/>
      <c r="IF39" s="621" t="s">
        <v>90</v>
      </c>
      <c r="IG39" s="621"/>
      <c r="IH39" s="621"/>
      <c r="II39" s="621"/>
      <c r="IJ39" s="621"/>
      <c r="IK39" s="621" t="s">
        <v>89</v>
      </c>
      <c r="IL39" s="621"/>
      <c r="IM39" s="621"/>
      <c r="IN39" s="621"/>
      <c r="IO39" s="621" t="s">
        <v>92</v>
      </c>
      <c r="IP39" s="621"/>
      <c r="IQ39" s="621"/>
      <c r="IR39" s="621"/>
      <c r="IS39" s="621" t="s">
        <v>103</v>
      </c>
      <c r="IT39" s="621"/>
      <c r="IU39" s="621"/>
      <c r="IV39" s="621"/>
    </row>
    <row r="40" spans="1:256" ht="35.5" customHeight="1" x14ac:dyDescent="0.25">
      <c r="A40" s="417"/>
      <c r="B40" s="413" t="s">
        <v>80</v>
      </c>
      <c r="C40" s="413" t="s">
        <v>77</v>
      </c>
      <c r="D40" s="413" t="s">
        <v>78</v>
      </c>
      <c r="E40" s="414" t="s">
        <v>149</v>
      </c>
      <c r="F40" s="415" t="s">
        <v>94</v>
      </c>
      <c r="G40" s="415" t="s">
        <v>78</v>
      </c>
      <c r="H40" s="415" t="s">
        <v>151</v>
      </c>
      <c r="I40" s="615" t="s">
        <v>152</v>
      </c>
      <c r="J40" s="616"/>
      <c r="K40" s="617" t="s">
        <v>153</v>
      </c>
      <c r="L40" s="618"/>
      <c r="M40" s="615" t="s">
        <v>159</v>
      </c>
      <c r="N40" s="616"/>
      <c r="O40" s="615" t="s">
        <v>158</v>
      </c>
      <c r="P40" s="616"/>
      <c r="Q40" s="416" t="s">
        <v>154</v>
      </c>
      <c r="R40" s="619" t="s">
        <v>85</v>
      </c>
      <c r="S40" s="619"/>
      <c r="T40" s="415" t="s">
        <v>86</v>
      </c>
      <c r="U40" s="416" t="s">
        <v>154</v>
      </c>
      <c r="V40" s="415" t="s">
        <v>102</v>
      </c>
      <c r="W40" s="415" t="s">
        <v>88</v>
      </c>
      <c r="X40" s="415" t="s">
        <v>93</v>
      </c>
      <c r="Y40" s="416" t="s">
        <v>154</v>
      </c>
      <c r="Z40" s="415" t="s">
        <v>102</v>
      </c>
      <c r="AA40" s="415" t="s">
        <v>88</v>
      </c>
      <c r="AB40" s="415" t="s">
        <v>93</v>
      </c>
      <c r="AC40" s="416" t="s">
        <v>154</v>
      </c>
      <c r="AD40" s="415" t="s">
        <v>102</v>
      </c>
      <c r="AE40" s="415" t="s">
        <v>88</v>
      </c>
      <c r="AG40" s="415" t="s">
        <v>151</v>
      </c>
      <c r="AH40" s="615" t="s">
        <v>152</v>
      </c>
      <c r="AI40" s="616"/>
      <c r="AJ40" s="617" t="s">
        <v>153</v>
      </c>
      <c r="AK40" s="618"/>
      <c r="AL40" s="615" t="s">
        <v>159</v>
      </c>
      <c r="AM40" s="616"/>
      <c r="AN40" s="615" t="s">
        <v>158</v>
      </c>
      <c r="AO40" s="616"/>
      <c r="AP40" s="416" t="s">
        <v>154</v>
      </c>
      <c r="AQ40" s="619" t="s">
        <v>85</v>
      </c>
      <c r="AR40" s="619"/>
      <c r="AS40" s="415" t="s">
        <v>86</v>
      </c>
      <c r="AT40" s="416" t="s">
        <v>154</v>
      </c>
      <c r="AU40" s="415" t="s">
        <v>102</v>
      </c>
      <c r="AV40" s="415" t="s">
        <v>88</v>
      </c>
      <c r="AW40" s="415" t="s">
        <v>93</v>
      </c>
      <c r="AX40" s="416" t="s">
        <v>154</v>
      </c>
      <c r="AY40" s="415" t="s">
        <v>102</v>
      </c>
      <c r="AZ40" s="415" t="s">
        <v>88</v>
      </c>
      <c r="BA40" s="415" t="s">
        <v>93</v>
      </c>
      <c r="BB40" s="416" t="s">
        <v>154</v>
      </c>
      <c r="BC40" s="415" t="s">
        <v>102</v>
      </c>
      <c r="BD40" s="415" t="s">
        <v>88</v>
      </c>
      <c r="BF40" s="415" t="s">
        <v>151</v>
      </c>
      <c r="BG40" s="615" t="s">
        <v>152</v>
      </c>
      <c r="BH40" s="616"/>
      <c r="BI40" s="617" t="s">
        <v>153</v>
      </c>
      <c r="BJ40" s="618"/>
      <c r="BK40" s="615" t="s">
        <v>159</v>
      </c>
      <c r="BL40" s="616"/>
      <c r="BM40" s="615" t="s">
        <v>158</v>
      </c>
      <c r="BN40" s="616"/>
      <c r="BO40" s="416" t="s">
        <v>154</v>
      </c>
      <c r="BP40" s="619" t="s">
        <v>85</v>
      </c>
      <c r="BQ40" s="619"/>
      <c r="BR40" s="415" t="s">
        <v>86</v>
      </c>
      <c r="BS40" s="416" t="s">
        <v>154</v>
      </c>
      <c r="BT40" s="415" t="s">
        <v>102</v>
      </c>
      <c r="BU40" s="415" t="s">
        <v>88</v>
      </c>
      <c r="BV40" s="415" t="s">
        <v>93</v>
      </c>
      <c r="BW40" s="416" t="s">
        <v>154</v>
      </c>
      <c r="BX40" s="415" t="s">
        <v>102</v>
      </c>
      <c r="BY40" s="415" t="s">
        <v>88</v>
      </c>
      <c r="BZ40" s="415" t="s">
        <v>93</v>
      </c>
      <c r="CA40" s="416" t="s">
        <v>154</v>
      </c>
      <c r="CB40" s="415" t="s">
        <v>102</v>
      </c>
      <c r="CC40" s="415" t="s">
        <v>88</v>
      </c>
      <c r="CE40" s="415" t="s">
        <v>151</v>
      </c>
      <c r="CF40" s="615" t="s">
        <v>152</v>
      </c>
      <c r="CG40" s="616"/>
      <c r="CH40" s="617" t="s">
        <v>153</v>
      </c>
      <c r="CI40" s="618"/>
      <c r="CJ40" s="615" t="s">
        <v>159</v>
      </c>
      <c r="CK40" s="616"/>
      <c r="CL40" s="615" t="s">
        <v>158</v>
      </c>
      <c r="CM40" s="616"/>
      <c r="CN40" s="416" t="s">
        <v>154</v>
      </c>
      <c r="CO40" s="619" t="s">
        <v>85</v>
      </c>
      <c r="CP40" s="619"/>
      <c r="CQ40" s="415" t="s">
        <v>86</v>
      </c>
      <c r="CR40" s="416" t="s">
        <v>154</v>
      </c>
      <c r="CS40" s="415" t="s">
        <v>102</v>
      </c>
      <c r="CT40" s="415" t="s">
        <v>88</v>
      </c>
      <c r="CU40" s="415" t="s">
        <v>93</v>
      </c>
      <c r="CV40" s="416" t="s">
        <v>154</v>
      </c>
      <c r="CW40" s="415" t="s">
        <v>102</v>
      </c>
      <c r="CX40" s="415" t="s">
        <v>88</v>
      </c>
      <c r="CY40" s="415" t="s">
        <v>93</v>
      </c>
      <c r="CZ40" s="416" t="s">
        <v>154</v>
      </c>
      <c r="DA40" s="415" t="s">
        <v>102</v>
      </c>
      <c r="DB40" s="415" t="s">
        <v>88</v>
      </c>
      <c r="DD40" s="415" t="s">
        <v>151</v>
      </c>
      <c r="DE40" s="615" t="s">
        <v>152</v>
      </c>
      <c r="DF40" s="616"/>
      <c r="DG40" s="617" t="s">
        <v>153</v>
      </c>
      <c r="DH40" s="618"/>
      <c r="DI40" s="615" t="s">
        <v>159</v>
      </c>
      <c r="DJ40" s="616"/>
      <c r="DK40" s="615" t="s">
        <v>158</v>
      </c>
      <c r="DL40" s="616"/>
      <c r="DM40" s="416" t="s">
        <v>154</v>
      </c>
      <c r="DN40" s="619" t="s">
        <v>85</v>
      </c>
      <c r="DO40" s="619"/>
      <c r="DP40" s="415" t="s">
        <v>86</v>
      </c>
      <c r="DQ40" s="416" t="s">
        <v>154</v>
      </c>
      <c r="DR40" s="415" t="s">
        <v>102</v>
      </c>
      <c r="DS40" s="415" t="s">
        <v>88</v>
      </c>
      <c r="DT40" s="415" t="s">
        <v>93</v>
      </c>
      <c r="DU40" s="416" t="s">
        <v>154</v>
      </c>
      <c r="DV40" s="415" t="s">
        <v>102</v>
      </c>
      <c r="DW40" s="415" t="s">
        <v>88</v>
      </c>
      <c r="DX40" s="415" t="s">
        <v>93</v>
      </c>
      <c r="DY40" s="416" t="s">
        <v>154</v>
      </c>
      <c r="DZ40" s="415" t="s">
        <v>102</v>
      </c>
      <c r="EA40" s="415" t="s">
        <v>88</v>
      </c>
      <c r="EC40" s="415" t="s">
        <v>151</v>
      </c>
      <c r="ED40" s="615" t="s">
        <v>152</v>
      </c>
      <c r="EE40" s="616"/>
      <c r="EF40" s="617" t="s">
        <v>153</v>
      </c>
      <c r="EG40" s="618"/>
      <c r="EH40" s="615" t="s">
        <v>159</v>
      </c>
      <c r="EI40" s="616"/>
      <c r="EJ40" s="615" t="s">
        <v>158</v>
      </c>
      <c r="EK40" s="616"/>
      <c r="EL40" s="416" t="s">
        <v>154</v>
      </c>
      <c r="EM40" s="619" t="s">
        <v>85</v>
      </c>
      <c r="EN40" s="619"/>
      <c r="EO40" s="415" t="s">
        <v>86</v>
      </c>
      <c r="EP40" s="416" t="s">
        <v>154</v>
      </c>
      <c r="EQ40" s="415" t="s">
        <v>102</v>
      </c>
      <c r="ER40" s="415" t="s">
        <v>88</v>
      </c>
      <c r="ES40" s="415" t="s">
        <v>93</v>
      </c>
      <c r="ET40" s="416" t="s">
        <v>154</v>
      </c>
      <c r="EU40" s="415" t="s">
        <v>102</v>
      </c>
      <c r="EV40" s="415" t="s">
        <v>88</v>
      </c>
      <c r="EW40" s="415" t="s">
        <v>93</v>
      </c>
      <c r="EX40" s="416" t="s">
        <v>154</v>
      </c>
      <c r="EY40" s="415" t="s">
        <v>102</v>
      </c>
      <c r="EZ40" s="415" t="s">
        <v>88</v>
      </c>
      <c r="FB40" s="415" t="s">
        <v>151</v>
      </c>
      <c r="FC40" s="615" t="s">
        <v>152</v>
      </c>
      <c r="FD40" s="616"/>
      <c r="FE40" s="617" t="s">
        <v>153</v>
      </c>
      <c r="FF40" s="618"/>
      <c r="FG40" s="615" t="s">
        <v>159</v>
      </c>
      <c r="FH40" s="616"/>
      <c r="FI40" s="615" t="s">
        <v>158</v>
      </c>
      <c r="FJ40" s="616"/>
      <c r="FK40" s="416" t="s">
        <v>154</v>
      </c>
      <c r="FL40" s="619" t="s">
        <v>85</v>
      </c>
      <c r="FM40" s="619"/>
      <c r="FN40" s="415" t="s">
        <v>86</v>
      </c>
      <c r="FO40" s="416" t="s">
        <v>154</v>
      </c>
      <c r="FP40" s="415" t="s">
        <v>102</v>
      </c>
      <c r="FQ40" s="415" t="s">
        <v>88</v>
      </c>
      <c r="FR40" s="415" t="s">
        <v>93</v>
      </c>
      <c r="FS40" s="416" t="s">
        <v>154</v>
      </c>
      <c r="FT40" s="415" t="s">
        <v>102</v>
      </c>
      <c r="FU40" s="415" t="s">
        <v>88</v>
      </c>
      <c r="FV40" s="415" t="s">
        <v>93</v>
      </c>
      <c r="FW40" s="416" t="s">
        <v>154</v>
      </c>
      <c r="FX40" s="415" t="s">
        <v>102</v>
      </c>
      <c r="FY40" s="415" t="s">
        <v>88</v>
      </c>
      <c r="GA40" s="415" t="s">
        <v>151</v>
      </c>
      <c r="GB40" s="615" t="s">
        <v>152</v>
      </c>
      <c r="GC40" s="616"/>
      <c r="GD40" s="617" t="s">
        <v>153</v>
      </c>
      <c r="GE40" s="618"/>
      <c r="GF40" s="615" t="s">
        <v>159</v>
      </c>
      <c r="GG40" s="616"/>
      <c r="GH40" s="615" t="s">
        <v>158</v>
      </c>
      <c r="GI40" s="616"/>
      <c r="GJ40" s="416" t="s">
        <v>154</v>
      </c>
      <c r="GK40" s="619" t="s">
        <v>85</v>
      </c>
      <c r="GL40" s="619"/>
      <c r="GM40" s="415" t="s">
        <v>86</v>
      </c>
      <c r="GN40" s="416" t="s">
        <v>154</v>
      </c>
      <c r="GO40" s="415" t="s">
        <v>102</v>
      </c>
      <c r="GP40" s="415" t="s">
        <v>88</v>
      </c>
      <c r="GQ40" s="415" t="s">
        <v>93</v>
      </c>
      <c r="GR40" s="416" t="s">
        <v>154</v>
      </c>
      <c r="GS40" s="415" t="s">
        <v>102</v>
      </c>
      <c r="GT40" s="415" t="s">
        <v>88</v>
      </c>
      <c r="GU40" s="415" t="s">
        <v>93</v>
      </c>
      <c r="GV40" s="416" t="s">
        <v>154</v>
      </c>
      <c r="GW40" s="415" t="s">
        <v>102</v>
      </c>
      <c r="GX40" s="415" t="s">
        <v>88</v>
      </c>
      <c r="GZ40" s="415" t="s">
        <v>151</v>
      </c>
      <c r="HA40" s="615" t="s">
        <v>152</v>
      </c>
      <c r="HB40" s="616"/>
      <c r="HC40" s="617" t="s">
        <v>153</v>
      </c>
      <c r="HD40" s="618"/>
      <c r="HE40" s="615" t="s">
        <v>159</v>
      </c>
      <c r="HF40" s="616"/>
      <c r="HG40" s="615" t="s">
        <v>158</v>
      </c>
      <c r="HH40" s="616"/>
      <c r="HI40" s="416" t="s">
        <v>154</v>
      </c>
      <c r="HJ40" s="619" t="s">
        <v>85</v>
      </c>
      <c r="HK40" s="619"/>
      <c r="HL40" s="415" t="s">
        <v>86</v>
      </c>
      <c r="HM40" s="416" t="s">
        <v>154</v>
      </c>
      <c r="HN40" s="415" t="s">
        <v>102</v>
      </c>
      <c r="HO40" s="415" t="s">
        <v>88</v>
      </c>
      <c r="HP40" s="415" t="s">
        <v>93</v>
      </c>
      <c r="HQ40" s="416" t="s">
        <v>154</v>
      </c>
      <c r="HR40" s="415" t="s">
        <v>102</v>
      </c>
      <c r="HS40" s="415" t="s">
        <v>88</v>
      </c>
      <c r="HT40" s="415" t="s">
        <v>93</v>
      </c>
      <c r="HU40" s="416" t="s">
        <v>154</v>
      </c>
      <c r="HV40" s="415" t="s">
        <v>102</v>
      </c>
      <c r="HW40" s="415" t="s">
        <v>88</v>
      </c>
      <c r="HY40" s="415" t="s">
        <v>151</v>
      </c>
      <c r="HZ40" s="615" t="s">
        <v>152</v>
      </c>
      <c r="IA40" s="616"/>
      <c r="IB40" s="617" t="s">
        <v>153</v>
      </c>
      <c r="IC40" s="618"/>
      <c r="ID40" s="615" t="s">
        <v>159</v>
      </c>
      <c r="IE40" s="616"/>
      <c r="IF40" s="615" t="s">
        <v>158</v>
      </c>
      <c r="IG40" s="616"/>
      <c r="IH40" s="416" t="s">
        <v>154</v>
      </c>
      <c r="II40" s="619" t="s">
        <v>85</v>
      </c>
      <c r="IJ40" s="619"/>
      <c r="IK40" s="415" t="s">
        <v>86</v>
      </c>
      <c r="IL40" s="416" t="s">
        <v>154</v>
      </c>
      <c r="IM40" s="415" t="s">
        <v>102</v>
      </c>
      <c r="IN40" s="415" t="s">
        <v>88</v>
      </c>
      <c r="IO40" s="415" t="s">
        <v>93</v>
      </c>
      <c r="IP40" s="416" t="s">
        <v>154</v>
      </c>
      <c r="IQ40" s="415" t="s">
        <v>102</v>
      </c>
      <c r="IR40" s="415" t="s">
        <v>88</v>
      </c>
      <c r="IS40" s="415" t="s">
        <v>93</v>
      </c>
      <c r="IT40" s="416" t="s">
        <v>154</v>
      </c>
      <c r="IU40" s="415" t="s">
        <v>102</v>
      </c>
      <c r="IV40" s="415" t="s">
        <v>88</v>
      </c>
    </row>
    <row r="41" spans="1:256" x14ac:dyDescent="0.25">
      <c r="A41" s="421"/>
      <c r="B41" s="418"/>
      <c r="C41" s="418"/>
      <c r="D41" s="418"/>
      <c r="E41" s="419"/>
      <c r="F41" s="412"/>
      <c r="G41" s="412"/>
      <c r="H41" s="412"/>
      <c r="I41" s="420" t="s">
        <v>84</v>
      </c>
      <c r="J41" s="412" t="s">
        <v>83</v>
      </c>
      <c r="K41" s="420" t="s">
        <v>84</v>
      </c>
      <c r="L41" s="412" t="s">
        <v>150</v>
      </c>
      <c r="M41" s="412" t="s">
        <v>7</v>
      </c>
      <c r="N41" s="412" t="s">
        <v>0</v>
      </c>
      <c r="O41" s="412" t="s">
        <v>84</v>
      </c>
      <c r="P41" s="412" t="s">
        <v>60</v>
      </c>
      <c r="Q41" s="412" t="s">
        <v>101</v>
      </c>
      <c r="R41" s="412" t="s">
        <v>7</v>
      </c>
      <c r="S41" s="412" t="s">
        <v>0</v>
      </c>
      <c r="T41" s="412" t="s">
        <v>87</v>
      </c>
      <c r="U41" s="412" t="s">
        <v>101</v>
      </c>
      <c r="V41" s="412" t="s">
        <v>60</v>
      </c>
      <c r="W41" s="412"/>
      <c r="X41" s="412" t="s">
        <v>87</v>
      </c>
      <c r="Y41" s="412" t="s">
        <v>101</v>
      </c>
      <c r="Z41" s="412" t="s">
        <v>60</v>
      </c>
      <c r="AA41" s="412"/>
      <c r="AB41" s="412" t="s">
        <v>87</v>
      </c>
      <c r="AC41" s="412" t="s">
        <v>101</v>
      </c>
      <c r="AD41" s="412" t="s">
        <v>60</v>
      </c>
      <c r="AE41" s="412"/>
      <c r="AG41" s="412"/>
      <c r="AH41" s="420" t="s">
        <v>84</v>
      </c>
      <c r="AI41" s="412" t="s">
        <v>83</v>
      </c>
      <c r="AJ41" s="420" t="s">
        <v>84</v>
      </c>
      <c r="AK41" s="412" t="s">
        <v>150</v>
      </c>
      <c r="AL41" s="412" t="s">
        <v>7</v>
      </c>
      <c r="AM41" s="412" t="s">
        <v>0</v>
      </c>
      <c r="AN41" s="412" t="s">
        <v>84</v>
      </c>
      <c r="AO41" s="412" t="s">
        <v>60</v>
      </c>
      <c r="AP41" s="412" t="s">
        <v>101</v>
      </c>
      <c r="AQ41" s="412" t="s">
        <v>7</v>
      </c>
      <c r="AR41" s="412" t="s">
        <v>0</v>
      </c>
      <c r="AS41" s="412" t="s">
        <v>87</v>
      </c>
      <c r="AT41" s="412" t="s">
        <v>101</v>
      </c>
      <c r="AU41" s="412" t="s">
        <v>60</v>
      </c>
      <c r="AV41" s="412"/>
      <c r="AW41" s="412" t="s">
        <v>87</v>
      </c>
      <c r="AX41" s="412" t="s">
        <v>101</v>
      </c>
      <c r="AY41" s="412" t="s">
        <v>60</v>
      </c>
      <c r="AZ41" s="412"/>
      <c r="BA41" s="412" t="s">
        <v>87</v>
      </c>
      <c r="BB41" s="412" t="s">
        <v>101</v>
      </c>
      <c r="BC41" s="412" t="s">
        <v>60</v>
      </c>
      <c r="BD41" s="412"/>
      <c r="BF41" s="412"/>
      <c r="BG41" s="420" t="s">
        <v>84</v>
      </c>
      <c r="BH41" s="412" t="s">
        <v>83</v>
      </c>
      <c r="BI41" s="420" t="s">
        <v>84</v>
      </c>
      <c r="BJ41" s="412" t="s">
        <v>150</v>
      </c>
      <c r="BK41" s="412" t="s">
        <v>7</v>
      </c>
      <c r="BL41" s="412" t="s">
        <v>0</v>
      </c>
      <c r="BM41" s="412" t="s">
        <v>84</v>
      </c>
      <c r="BN41" s="412" t="s">
        <v>60</v>
      </c>
      <c r="BO41" s="412" t="s">
        <v>101</v>
      </c>
      <c r="BP41" s="412" t="s">
        <v>7</v>
      </c>
      <c r="BQ41" s="412" t="s">
        <v>0</v>
      </c>
      <c r="BR41" s="412" t="s">
        <v>87</v>
      </c>
      <c r="BS41" s="412" t="s">
        <v>101</v>
      </c>
      <c r="BT41" s="412" t="s">
        <v>60</v>
      </c>
      <c r="BU41" s="412"/>
      <c r="BV41" s="412" t="s">
        <v>87</v>
      </c>
      <c r="BW41" s="412" t="s">
        <v>101</v>
      </c>
      <c r="BX41" s="412" t="s">
        <v>60</v>
      </c>
      <c r="BY41" s="412"/>
      <c r="BZ41" s="412" t="s">
        <v>87</v>
      </c>
      <c r="CA41" s="412" t="s">
        <v>101</v>
      </c>
      <c r="CB41" s="412" t="s">
        <v>60</v>
      </c>
      <c r="CC41" s="412"/>
      <c r="CE41" s="412"/>
      <c r="CF41" s="420" t="s">
        <v>84</v>
      </c>
      <c r="CG41" s="412" t="s">
        <v>83</v>
      </c>
      <c r="CH41" s="420" t="s">
        <v>84</v>
      </c>
      <c r="CI41" s="412" t="s">
        <v>150</v>
      </c>
      <c r="CJ41" s="412" t="s">
        <v>7</v>
      </c>
      <c r="CK41" s="412" t="s">
        <v>0</v>
      </c>
      <c r="CL41" s="412" t="s">
        <v>84</v>
      </c>
      <c r="CM41" s="412" t="s">
        <v>60</v>
      </c>
      <c r="CN41" s="412" t="s">
        <v>101</v>
      </c>
      <c r="CO41" s="412" t="s">
        <v>7</v>
      </c>
      <c r="CP41" s="412" t="s">
        <v>0</v>
      </c>
      <c r="CQ41" s="412" t="s">
        <v>87</v>
      </c>
      <c r="CR41" s="412" t="s">
        <v>101</v>
      </c>
      <c r="CS41" s="412" t="s">
        <v>60</v>
      </c>
      <c r="CT41" s="412"/>
      <c r="CU41" s="412" t="s">
        <v>87</v>
      </c>
      <c r="CV41" s="412" t="s">
        <v>101</v>
      </c>
      <c r="CW41" s="412" t="s">
        <v>60</v>
      </c>
      <c r="CX41" s="412"/>
      <c r="CY41" s="412" t="s">
        <v>87</v>
      </c>
      <c r="CZ41" s="412" t="s">
        <v>101</v>
      </c>
      <c r="DA41" s="412" t="s">
        <v>60</v>
      </c>
      <c r="DB41" s="412"/>
      <c r="DD41" s="412"/>
      <c r="DE41" s="420" t="s">
        <v>84</v>
      </c>
      <c r="DF41" s="412" t="s">
        <v>83</v>
      </c>
      <c r="DG41" s="420" t="s">
        <v>84</v>
      </c>
      <c r="DH41" s="412" t="s">
        <v>150</v>
      </c>
      <c r="DI41" s="412" t="s">
        <v>7</v>
      </c>
      <c r="DJ41" s="412" t="s">
        <v>0</v>
      </c>
      <c r="DK41" s="412" t="s">
        <v>84</v>
      </c>
      <c r="DL41" s="412" t="s">
        <v>60</v>
      </c>
      <c r="DM41" s="412" t="s">
        <v>101</v>
      </c>
      <c r="DN41" s="412" t="s">
        <v>7</v>
      </c>
      <c r="DO41" s="412" t="s">
        <v>0</v>
      </c>
      <c r="DP41" s="412" t="s">
        <v>87</v>
      </c>
      <c r="DQ41" s="412" t="s">
        <v>101</v>
      </c>
      <c r="DR41" s="412" t="s">
        <v>60</v>
      </c>
      <c r="DS41" s="412"/>
      <c r="DT41" s="412" t="s">
        <v>87</v>
      </c>
      <c r="DU41" s="412" t="s">
        <v>101</v>
      </c>
      <c r="DV41" s="412" t="s">
        <v>60</v>
      </c>
      <c r="DW41" s="412"/>
      <c r="DX41" s="412" t="s">
        <v>87</v>
      </c>
      <c r="DY41" s="412" t="s">
        <v>101</v>
      </c>
      <c r="DZ41" s="412" t="s">
        <v>60</v>
      </c>
      <c r="EA41" s="412"/>
      <c r="EC41" s="412"/>
      <c r="ED41" s="420" t="s">
        <v>84</v>
      </c>
      <c r="EE41" s="412" t="s">
        <v>83</v>
      </c>
      <c r="EF41" s="420" t="s">
        <v>84</v>
      </c>
      <c r="EG41" s="412" t="s">
        <v>150</v>
      </c>
      <c r="EH41" s="412" t="s">
        <v>7</v>
      </c>
      <c r="EI41" s="412" t="s">
        <v>0</v>
      </c>
      <c r="EJ41" s="412" t="s">
        <v>84</v>
      </c>
      <c r="EK41" s="412" t="s">
        <v>60</v>
      </c>
      <c r="EL41" s="412" t="s">
        <v>101</v>
      </c>
      <c r="EM41" s="412" t="s">
        <v>7</v>
      </c>
      <c r="EN41" s="412" t="s">
        <v>0</v>
      </c>
      <c r="EO41" s="412" t="s">
        <v>87</v>
      </c>
      <c r="EP41" s="412" t="s">
        <v>101</v>
      </c>
      <c r="EQ41" s="412" t="s">
        <v>60</v>
      </c>
      <c r="ER41" s="412"/>
      <c r="ES41" s="412" t="s">
        <v>87</v>
      </c>
      <c r="ET41" s="412" t="s">
        <v>101</v>
      </c>
      <c r="EU41" s="412" t="s">
        <v>60</v>
      </c>
      <c r="EV41" s="412"/>
      <c r="EW41" s="412" t="s">
        <v>87</v>
      </c>
      <c r="EX41" s="412" t="s">
        <v>101</v>
      </c>
      <c r="EY41" s="412" t="s">
        <v>60</v>
      </c>
      <c r="EZ41" s="412"/>
      <c r="FB41" s="412"/>
      <c r="FC41" s="420" t="s">
        <v>84</v>
      </c>
      <c r="FD41" s="412" t="s">
        <v>83</v>
      </c>
      <c r="FE41" s="420" t="s">
        <v>84</v>
      </c>
      <c r="FF41" s="412" t="s">
        <v>150</v>
      </c>
      <c r="FG41" s="412" t="s">
        <v>7</v>
      </c>
      <c r="FH41" s="412" t="s">
        <v>0</v>
      </c>
      <c r="FI41" s="412" t="s">
        <v>84</v>
      </c>
      <c r="FJ41" s="412" t="s">
        <v>60</v>
      </c>
      <c r="FK41" s="412" t="s">
        <v>101</v>
      </c>
      <c r="FL41" s="412" t="s">
        <v>7</v>
      </c>
      <c r="FM41" s="412" t="s">
        <v>0</v>
      </c>
      <c r="FN41" s="412" t="s">
        <v>87</v>
      </c>
      <c r="FO41" s="412" t="s">
        <v>101</v>
      </c>
      <c r="FP41" s="412" t="s">
        <v>60</v>
      </c>
      <c r="FQ41" s="412"/>
      <c r="FR41" s="412" t="s">
        <v>87</v>
      </c>
      <c r="FS41" s="412" t="s">
        <v>101</v>
      </c>
      <c r="FT41" s="412" t="s">
        <v>60</v>
      </c>
      <c r="FU41" s="412"/>
      <c r="FV41" s="412" t="s">
        <v>87</v>
      </c>
      <c r="FW41" s="412" t="s">
        <v>101</v>
      </c>
      <c r="FX41" s="412" t="s">
        <v>60</v>
      </c>
      <c r="FY41" s="412"/>
      <c r="GA41" s="412"/>
      <c r="GB41" s="420" t="s">
        <v>84</v>
      </c>
      <c r="GC41" s="412" t="s">
        <v>83</v>
      </c>
      <c r="GD41" s="420" t="s">
        <v>84</v>
      </c>
      <c r="GE41" s="412" t="s">
        <v>150</v>
      </c>
      <c r="GF41" s="412" t="s">
        <v>7</v>
      </c>
      <c r="GG41" s="412" t="s">
        <v>0</v>
      </c>
      <c r="GH41" s="412" t="s">
        <v>84</v>
      </c>
      <c r="GI41" s="412" t="s">
        <v>60</v>
      </c>
      <c r="GJ41" s="412" t="s">
        <v>101</v>
      </c>
      <c r="GK41" s="412" t="s">
        <v>7</v>
      </c>
      <c r="GL41" s="412" t="s">
        <v>0</v>
      </c>
      <c r="GM41" s="412" t="s">
        <v>87</v>
      </c>
      <c r="GN41" s="412" t="s">
        <v>101</v>
      </c>
      <c r="GO41" s="412" t="s">
        <v>60</v>
      </c>
      <c r="GP41" s="412"/>
      <c r="GQ41" s="412" t="s">
        <v>87</v>
      </c>
      <c r="GR41" s="412" t="s">
        <v>101</v>
      </c>
      <c r="GS41" s="412" t="s">
        <v>60</v>
      </c>
      <c r="GT41" s="412"/>
      <c r="GU41" s="412" t="s">
        <v>87</v>
      </c>
      <c r="GV41" s="412" t="s">
        <v>101</v>
      </c>
      <c r="GW41" s="412" t="s">
        <v>60</v>
      </c>
      <c r="GX41" s="412"/>
      <c r="GZ41" s="412"/>
      <c r="HA41" s="420" t="s">
        <v>84</v>
      </c>
      <c r="HB41" s="412" t="s">
        <v>83</v>
      </c>
      <c r="HC41" s="420" t="s">
        <v>84</v>
      </c>
      <c r="HD41" s="412" t="s">
        <v>150</v>
      </c>
      <c r="HE41" s="412" t="s">
        <v>7</v>
      </c>
      <c r="HF41" s="412" t="s">
        <v>0</v>
      </c>
      <c r="HG41" s="412" t="s">
        <v>84</v>
      </c>
      <c r="HH41" s="412" t="s">
        <v>60</v>
      </c>
      <c r="HI41" s="412" t="s">
        <v>101</v>
      </c>
      <c r="HJ41" s="412" t="s">
        <v>7</v>
      </c>
      <c r="HK41" s="412" t="s">
        <v>0</v>
      </c>
      <c r="HL41" s="412" t="s">
        <v>87</v>
      </c>
      <c r="HM41" s="412" t="s">
        <v>101</v>
      </c>
      <c r="HN41" s="412" t="s">
        <v>60</v>
      </c>
      <c r="HO41" s="412"/>
      <c r="HP41" s="412" t="s">
        <v>87</v>
      </c>
      <c r="HQ41" s="412" t="s">
        <v>101</v>
      </c>
      <c r="HR41" s="412" t="s">
        <v>60</v>
      </c>
      <c r="HS41" s="412"/>
      <c r="HT41" s="412" t="s">
        <v>87</v>
      </c>
      <c r="HU41" s="412" t="s">
        <v>101</v>
      </c>
      <c r="HV41" s="412" t="s">
        <v>60</v>
      </c>
      <c r="HW41" s="412"/>
      <c r="HY41" s="412"/>
      <c r="HZ41" s="420" t="s">
        <v>84</v>
      </c>
      <c r="IA41" s="412" t="s">
        <v>83</v>
      </c>
      <c r="IB41" s="420" t="s">
        <v>84</v>
      </c>
      <c r="IC41" s="412" t="s">
        <v>150</v>
      </c>
      <c r="ID41" s="412" t="s">
        <v>7</v>
      </c>
      <c r="IE41" s="412" t="s">
        <v>0</v>
      </c>
      <c r="IF41" s="412" t="s">
        <v>84</v>
      </c>
      <c r="IG41" s="412" t="s">
        <v>60</v>
      </c>
      <c r="IH41" s="412" t="s">
        <v>101</v>
      </c>
      <c r="II41" s="412" t="s">
        <v>7</v>
      </c>
      <c r="IJ41" s="412" t="s">
        <v>0</v>
      </c>
      <c r="IK41" s="412" t="s">
        <v>87</v>
      </c>
      <c r="IL41" s="412" t="s">
        <v>101</v>
      </c>
      <c r="IM41" s="412" t="s">
        <v>60</v>
      </c>
      <c r="IN41" s="412"/>
      <c r="IO41" s="412" t="s">
        <v>87</v>
      </c>
      <c r="IP41" s="412" t="s">
        <v>101</v>
      </c>
      <c r="IQ41" s="412" t="s">
        <v>60</v>
      </c>
      <c r="IR41" s="412"/>
      <c r="IS41" s="412" t="s">
        <v>87</v>
      </c>
      <c r="IT41" s="412" t="s">
        <v>101</v>
      </c>
      <c r="IU41" s="412" t="s">
        <v>60</v>
      </c>
      <c r="IV41" s="412"/>
    </row>
    <row r="42" spans="1:256" x14ac:dyDescent="0.25">
      <c r="B42" s="422">
        <v>1</v>
      </c>
      <c r="C42" s="422">
        <v>8</v>
      </c>
      <c r="D42" s="422" t="s">
        <v>79</v>
      </c>
      <c r="E42" s="419"/>
      <c r="F42" s="423" t="s">
        <v>95</v>
      </c>
      <c r="G42" s="423" t="s">
        <v>96</v>
      </c>
      <c r="H42" s="424">
        <f>'Fleet Inventory'!C17</f>
        <v>400</v>
      </c>
      <c r="I42" s="425">
        <v>1</v>
      </c>
      <c r="J42" s="426">
        <f>H42*I42</f>
        <v>400</v>
      </c>
      <c r="K42" s="425"/>
      <c r="L42" s="426"/>
      <c r="M42" s="427">
        <f>'Parameters and Summary'!E36</f>
        <v>37</v>
      </c>
      <c r="N42" s="426">
        <f>J42*M42</f>
        <v>14800</v>
      </c>
      <c r="O42" s="428"/>
      <c r="P42" s="426"/>
      <c r="Q42" s="426"/>
      <c r="R42" s="426"/>
      <c r="S42" s="426"/>
      <c r="T42" s="427"/>
      <c r="U42" s="426"/>
      <c r="V42" s="429"/>
      <c r="W42" s="426"/>
      <c r="X42" s="427"/>
      <c r="Y42" s="426"/>
      <c r="Z42" s="429"/>
      <c r="AA42" s="426"/>
      <c r="AB42" s="427"/>
      <c r="AC42" s="426"/>
      <c r="AD42" s="429"/>
      <c r="AE42" s="426"/>
      <c r="AG42" s="424">
        <f>'Fleet Inventory'!D16+'Fleet Inventory'!D17</f>
        <v>800</v>
      </c>
      <c r="AH42" s="425">
        <v>1</v>
      </c>
      <c r="AI42" s="426">
        <f>AG42*AH42</f>
        <v>800</v>
      </c>
      <c r="AJ42" s="425"/>
      <c r="AK42" s="426"/>
      <c r="AL42" s="427">
        <f>'Parameters and Summary'!E36</f>
        <v>37</v>
      </c>
      <c r="AM42" s="426">
        <f>AI42*AL42</f>
        <v>29600</v>
      </c>
      <c r="AN42" s="428"/>
      <c r="AO42" s="426"/>
      <c r="AP42" s="426"/>
      <c r="AQ42" s="426"/>
      <c r="AR42" s="426"/>
      <c r="AS42" s="427"/>
      <c r="AT42" s="426"/>
      <c r="AU42" s="429"/>
      <c r="AV42" s="426"/>
      <c r="AW42" s="427"/>
      <c r="AX42" s="426"/>
      <c r="AY42" s="429"/>
      <c r="AZ42" s="426"/>
      <c r="BA42" s="427"/>
      <c r="BB42" s="426"/>
      <c r="BC42" s="429"/>
      <c r="BD42" s="426"/>
      <c r="BF42" s="424">
        <f>'Fleet Inventory'!E16+'Fleet Inventory'!E17</f>
        <v>1200</v>
      </c>
      <c r="BG42" s="425">
        <v>1</v>
      </c>
      <c r="BH42" s="426">
        <f>BF42*BG42</f>
        <v>1200</v>
      </c>
      <c r="BI42" s="425"/>
      <c r="BJ42" s="426"/>
      <c r="BK42" s="427">
        <v>53</v>
      </c>
      <c r="BL42" s="426">
        <f>BH42*BK42</f>
        <v>63600</v>
      </c>
      <c r="BM42" s="428"/>
      <c r="BN42" s="426"/>
      <c r="BO42" s="426"/>
      <c r="BP42" s="426"/>
      <c r="BQ42" s="426"/>
      <c r="BR42" s="427"/>
      <c r="BS42" s="426"/>
      <c r="BT42" s="429"/>
      <c r="BU42" s="426"/>
      <c r="BV42" s="427"/>
      <c r="BW42" s="426"/>
      <c r="BX42" s="429"/>
      <c r="BY42" s="426"/>
      <c r="BZ42" s="427"/>
      <c r="CA42" s="426"/>
      <c r="CB42" s="429"/>
      <c r="CC42" s="426"/>
      <c r="CE42" s="424">
        <f>'Fleet Inventory'!F16+'Fleet Inventory'!F17</f>
        <v>1600</v>
      </c>
      <c r="CF42" s="425">
        <v>1</v>
      </c>
      <c r="CG42" s="426">
        <f>CE42*CF42</f>
        <v>1600</v>
      </c>
      <c r="CH42" s="425"/>
      <c r="CI42" s="426"/>
      <c r="CJ42" s="427">
        <v>53</v>
      </c>
      <c r="CK42" s="426">
        <f>CG42*CJ42</f>
        <v>84800</v>
      </c>
      <c r="CL42" s="428"/>
      <c r="CM42" s="426"/>
      <c r="CN42" s="426"/>
      <c r="CO42" s="426"/>
      <c r="CP42" s="426"/>
      <c r="CQ42" s="427"/>
      <c r="CR42" s="426"/>
      <c r="CS42" s="429"/>
      <c r="CT42" s="426"/>
      <c r="CU42" s="427"/>
      <c r="CV42" s="426"/>
      <c r="CW42" s="429"/>
      <c r="CX42" s="426"/>
      <c r="CY42" s="427"/>
      <c r="CZ42" s="426"/>
      <c r="DA42" s="429"/>
      <c r="DB42" s="426"/>
      <c r="DD42" s="424">
        <f>'Fleet Inventory'!G16+'Fleet Inventory'!G17</f>
        <v>2000</v>
      </c>
      <c r="DE42" s="425">
        <v>1</v>
      </c>
      <c r="DF42" s="426">
        <f>DD42*DE42</f>
        <v>2000</v>
      </c>
      <c r="DG42" s="425"/>
      <c r="DH42" s="426"/>
      <c r="DI42" s="427">
        <v>53</v>
      </c>
      <c r="DJ42" s="426">
        <f>DF42*DI42</f>
        <v>106000</v>
      </c>
      <c r="DK42" s="428"/>
      <c r="DL42" s="426"/>
      <c r="DM42" s="426"/>
      <c r="DN42" s="426"/>
      <c r="DO42" s="426"/>
      <c r="DP42" s="427"/>
      <c r="DQ42" s="426"/>
      <c r="DR42" s="429"/>
      <c r="DS42" s="426"/>
      <c r="DT42" s="427"/>
      <c r="DU42" s="426"/>
      <c r="DV42" s="429"/>
      <c r="DW42" s="426"/>
      <c r="DX42" s="427"/>
      <c r="DY42" s="426"/>
      <c r="DZ42" s="429"/>
      <c r="EA42" s="426"/>
      <c r="EC42" s="424">
        <f>'Fleet Inventory'!H16+'Fleet Inventory'!H17</f>
        <v>2000</v>
      </c>
      <c r="ED42" s="425">
        <v>1</v>
      </c>
      <c r="EE42" s="426">
        <f>EC42*ED42</f>
        <v>2000</v>
      </c>
      <c r="EF42" s="425"/>
      <c r="EG42" s="426"/>
      <c r="EH42" s="427">
        <v>53</v>
      </c>
      <c r="EI42" s="426">
        <f>EE42*EH42</f>
        <v>106000</v>
      </c>
      <c r="EJ42" s="428"/>
      <c r="EK42" s="426"/>
      <c r="EL42" s="426"/>
      <c r="EM42" s="426"/>
      <c r="EN42" s="426"/>
      <c r="EO42" s="427"/>
      <c r="EP42" s="426"/>
      <c r="EQ42" s="429"/>
      <c r="ER42" s="426"/>
      <c r="ES42" s="427"/>
      <c r="ET42" s="426"/>
      <c r="EU42" s="429"/>
      <c r="EV42" s="426"/>
      <c r="EW42" s="427"/>
      <c r="EX42" s="426"/>
      <c r="EY42" s="429"/>
      <c r="EZ42" s="426"/>
      <c r="FB42" s="424">
        <f>'Fleet Inventory'!I16+'Fleet Inventory'!I17</f>
        <v>2000</v>
      </c>
      <c r="FC42" s="425">
        <v>1</v>
      </c>
      <c r="FD42" s="426">
        <f>FB42*FC42</f>
        <v>2000</v>
      </c>
      <c r="FE42" s="425"/>
      <c r="FF42" s="426"/>
      <c r="FG42" s="427">
        <v>53</v>
      </c>
      <c r="FH42" s="426">
        <f>FD42*FG42</f>
        <v>106000</v>
      </c>
      <c r="FI42" s="428"/>
      <c r="FJ42" s="426"/>
      <c r="FK42" s="426"/>
      <c r="FL42" s="426"/>
      <c r="FM42" s="426"/>
      <c r="FN42" s="427"/>
      <c r="FO42" s="426"/>
      <c r="FP42" s="429"/>
      <c r="FQ42" s="426"/>
      <c r="FR42" s="427"/>
      <c r="FS42" s="426"/>
      <c r="FT42" s="429"/>
      <c r="FU42" s="426"/>
      <c r="FV42" s="427"/>
      <c r="FW42" s="426"/>
      <c r="FX42" s="429"/>
      <c r="FY42" s="426"/>
      <c r="GA42" s="424">
        <f>'Fleet Inventory'!J16+'Fleet Inventory'!J17</f>
        <v>2000</v>
      </c>
      <c r="GB42" s="425">
        <v>1</v>
      </c>
      <c r="GC42" s="426">
        <f>GA42*GB42</f>
        <v>2000</v>
      </c>
      <c r="GD42" s="425"/>
      <c r="GE42" s="426"/>
      <c r="GF42" s="427">
        <v>53</v>
      </c>
      <c r="GG42" s="426">
        <f>GC42*GF42</f>
        <v>106000</v>
      </c>
      <c r="GH42" s="428"/>
      <c r="GI42" s="426"/>
      <c r="GJ42" s="426"/>
      <c r="GK42" s="426"/>
      <c r="GL42" s="426"/>
      <c r="GM42" s="427"/>
      <c r="GN42" s="426"/>
      <c r="GO42" s="429"/>
      <c r="GP42" s="426"/>
      <c r="GQ42" s="427"/>
      <c r="GR42" s="426"/>
      <c r="GS42" s="429"/>
      <c r="GT42" s="426"/>
      <c r="GU42" s="427"/>
      <c r="GV42" s="426"/>
      <c r="GW42" s="429"/>
      <c r="GX42" s="426"/>
      <c r="GZ42" s="424">
        <f>'Fleet Inventory'!K16+'Fleet Inventory'!K17</f>
        <v>2000</v>
      </c>
      <c r="HA42" s="425">
        <v>1</v>
      </c>
      <c r="HB42" s="426">
        <f>GZ42*HA42</f>
        <v>2000</v>
      </c>
      <c r="HC42" s="425"/>
      <c r="HD42" s="426"/>
      <c r="HE42" s="427">
        <v>53</v>
      </c>
      <c r="HF42" s="426">
        <f>HB42*HE42</f>
        <v>106000</v>
      </c>
      <c r="HG42" s="428"/>
      <c r="HH42" s="426"/>
      <c r="HI42" s="426"/>
      <c r="HJ42" s="426"/>
      <c r="HK42" s="426"/>
      <c r="HL42" s="427"/>
      <c r="HM42" s="426"/>
      <c r="HN42" s="429"/>
      <c r="HO42" s="426"/>
      <c r="HP42" s="427"/>
      <c r="HQ42" s="426"/>
      <c r="HR42" s="429"/>
      <c r="HS42" s="426"/>
      <c r="HT42" s="427"/>
      <c r="HU42" s="426"/>
      <c r="HV42" s="429"/>
      <c r="HW42" s="426"/>
      <c r="HY42" s="424">
        <f>'Fleet Inventory'!L16+'Fleet Inventory'!L17</f>
        <v>2000</v>
      </c>
      <c r="HZ42" s="425">
        <v>1</v>
      </c>
      <c r="IA42" s="426">
        <f>HY42*HZ42</f>
        <v>2000</v>
      </c>
      <c r="IB42" s="425"/>
      <c r="IC42" s="426"/>
      <c r="ID42" s="427">
        <v>53</v>
      </c>
      <c r="IE42" s="426">
        <f>IA42*ID42</f>
        <v>106000</v>
      </c>
      <c r="IF42" s="428"/>
      <c r="IG42" s="426"/>
      <c r="IH42" s="426"/>
      <c r="II42" s="426"/>
      <c r="IJ42" s="426"/>
      <c r="IK42" s="427"/>
      <c r="IL42" s="426"/>
      <c r="IM42" s="429"/>
      <c r="IN42" s="426"/>
      <c r="IO42" s="427"/>
      <c r="IP42" s="426"/>
      <c r="IQ42" s="429"/>
      <c r="IR42" s="426"/>
      <c r="IS42" s="427"/>
      <c r="IT42" s="426"/>
      <c r="IU42" s="429"/>
      <c r="IV42" s="426"/>
    </row>
    <row r="43" spans="1:256" x14ac:dyDescent="0.25">
      <c r="B43" s="422"/>
      <c r="C43" s="422"/>
      <c r="D43" s="422"/>
      <c r="E43" s="419" t="s">
        <v>143</v>
      </c>
      <c r="F43" s="423"/>
      <c r="G43" s="423"/>
      <c r="H43" s="424"/>
      <c r="I43" s="430">
        <v>0.21</v>
      </c>
      <c r="J43" s="424">
        <f>I43*H$42</f>
        <v>84</v>
      </c>
      <c r="K43" s="430">
        <v>1</v>
      </c>
      <c r="L43" s="424">
        <f>J43*K43</f>
        <v>84</v>
      </c>
      <c r="M43" s="423">
        <f>M42</f>
        <v>37</v>
      </c>
      <c r="N43" s="424">
        <f>L43*M43</f>
        <v>3108</v>
      </c>
      <c r="O43" s="431">
        <f>'Parameters and Summary'!E82</f>
        <v>0.7</v>
      </c>
      <c r="P43" s="424">
        <f t="shared" ref="P43:P48" si="609">N43*O43</f>
        <v>2175.6</v>
      </c>
      <c r="Q43" s="424">
        <v>7</v>
      </c>
      <c r="R43" s="424">
        <f>'Parameters and Summary'!E61</f>
        <v>500</v>
      </c>
      <c r="S43" s="424">
        <f t="shared" ref="S43:S48" si="610">R43*P43*Q43</f>
        <v>7614600</v>
      </c>
      <c r="T43" s="423">
        <v>6</v>
      </c>
      <c r="U43" s="424">
        <f>Q43</f>
        <v>7</v>
      </c>
      <c r="V43" s="432">
        <f>T43*P43</f>
        <v>13053.599999999999</v>
      </c>
      <c r="W43" s="424">
        <f t="shared" ref="W43:W48" si="611">V43*R43*U43</f>
        <v>45687599.999999993</v>
      </c>
      <c r="X43" s="423">
        <v>24</v>
      </c>
      <c r="Y43" s="424">
        <f>U43</f>
        <v>7</v>
      </c>
      <c r="Z43" s="432">
        <f t="shared" ref="Z43:Z48" si="612">X43*P43*Y43</f>
        <v>365500.79999999993</v>
      </c>
      <c r="AA43" s="424">
        <f t="shared" ref="AA43:AA48" si="613">Z43*R43</f>
        <v>182750399.99999997</v>
      </c>
      <c r="AB43" s="423">
        <f t="shared" ref="AB43:AB48" si="614">X43*12</f>
        <v>288</v>
      </c>
      <c r="AC43" s="424">
        <f>Y43</f>
        <v>7</v>
      </c>
      <c r="AD43" s="432">
        <f>AB43*P43*AC43</f>
        <v>4386009.5999999996</v>
      </c>
      <c r="AE43" s="424">
        <f t="shared" ref="AE43:AE48" si="615">AD43*R43</f>
        <v>2193004800</v>
      </c>
      <c r="AG43" s="424"/>
      <c r="AH43" s="430">
        <v>0.21</v>
      </c>
      <c r="AI43" s="424">
        <f>AH43*AG$42</f>
        <v>168</v>
      </c>
      <c r="AJ43" s="430">
        <v>1</v>
      </c>
      <c r="AK43" s="424">
        <f>AI43*AJ43</f>
        <v>168</v>
      </c>
      <c r="AL43" s="423">
        <f>AL42</f>
        <v>37</v>
      </c>
      <c r="AM43" s="424">
        <f>AK43*AL43</f>
        <v>6216</v>
      </c>
      <c r="AN43" s="431">
        <f>'Parameters and Summary'!E82</f>
        <v>0.7</v>
      </c>
      <c r="AO43" s="424">
        <f t="shared" ref="AO43:AO48" si="616">AM43*AN43</f>
        <v>4351.2</v>
      </c>
      <c r="AP43" s="424">
        <v>7</v>
      </c>
      <c r="AQ43" s="424">
        <f>'Parameters and Summary'!G61</f>
        <v>525</v>
      </c>
      <c r="AR43" s="424">
        <f t="shared" ref="AR43:AR48" si="617">AQ43*AO43*AP43</f>
        <v>15990660</v>
      </c>
      <c r="AS43" s="423">
        <v>6</v>
      </c>
      <c r="AT43" s="424">
        <f>AP43</f>
        <v>7</v>
      </c>
      <c r="AU43" s="432">
        <f>AS43*AO43</f>
        <v>26107.199999999997</v>
      </c>
      <c r="AV43" s="424">
        <f t="shared" ref="AV43:AV48" si="618">AU43*AQ43*AT43</f>
        <v>95943959.999999985</v>
      </c>
      <c r="AW43" s="423">
        <v>24</v>
      </c>
      <c r="AX43" s="424">
        <f>AT43</f>
        <v>7</v>
      </c>
      <c r="AY43" s="432">
        <f t="shared" ref="AY43:AY48" si="619">AW43*AO43*AX43</f>
        <v>731001.59999999986</v>
      </c>
      <c r="AZ43" s="424">
        <f t="shared" ref="AZ43:AZ48" si="620">AY43*AQ43</f>
        <v>383775839.99999994</v>
      </c>
      <c r="BA43" s="423">
        <f t="shared" ref="BA43:BA48" si="621">AW43*12</f>
        <v>288</v>
      </c>
      <c r="BB43" s="424">
        <f>AX43</f>
        <v>7</v>
      </c>
      <c r="BC43" s="432">
        <f>BA43*AO43*BB43</f>
        <v>8772019.1999999993</v>
      </c>
      <c r="BD43" s="424">
        <f t="shared" ref="BD43:BD48" si="622">BC43*AQ43</f>
        <v>4605310080</v>
      </c>
      <c r="BF43" s="424"/>
      <c r="BG43" s="430">
        <v>0.21</v>
      </c>
      <c r="BH43" s="424">
        <f>BG43*BF$42</f>
        <v>252</v>
      </c>
      <c r="BI43" s="430">
        <v>1</v>
      </c>
      <c r="BJ43" s="424">
        <f>BH43*BI43</f>
        <v>252</v>
      </c>
      <c r="BK43" s="423">
        <f>BK42</f>
        <v>53</v>
      </c>
      <c r="BL43" s="424">
        <f>BJ43*BK43</f>
        <v>13356</v>
      </c>
      <c r="BM43" s="431">
        <f>'Parameters and Summary'!E82</f>
        <v>0.7</v>
      </c>
      <c r="BN43" s="424">
        <f t="shared" ref="BN43:BN48" si="623">BL43*BM43</f>
        <v>9349.1999999999989</v>
      </c>
      <c r="BO43" s="424">
        <v>7</v>
      </c>
      <c r="BP43" s="424">
        <f>'Parameters and Summary'!H61</f>
        <v>551.25</v>
      </c>
      <c r="BQ43" s="424">
        <f t="shared" ref="BQ43:BQ48" si="624">BP43*BN43*BO43</f>
        <v>36076225.499999993</v>
      </c>
      <c r="BR43" s="423">
        <v>6</v>
      </c>
      <c r="BS43" s="424">
        <f>BO43</f>
        <v>7</v>
      </c>
      <c r="BT43" s="432">
        <f>BR43*BN43</f>
        <v>56095.199999999997</v>
      </c>
      <c r="BU43" s="424">
        <f t="shared" ref="BU43:BU48" si="625">BT43*BP43*BS43</f>
        <v>216457353</v>
      </c>
      <c r="BV43" s="423">
        <v>24</v>
      </c>
      <c r="BW43" s="424">
        <f>BS43</f>
        <v>7</v>
      </c>
      <c r="BX43" s="432">
        <f t="shared" ref="BX43:BX48" si="626">BV43*BN43*BW43</f>
        <v>1570665.5999999999</v>
      </c>
      <c r="BY43" s="424">
        <f t="shared" ref="BY43:BY48" si="627">BX43*BP43</f>
        <v>865829411.99999988</v>
      </c>
      <c r="BZ43" s="423">
        <f t="shared" ref="BZ43:BZ48" si="628">BV43*12</f>
        <v>288</v>
      </c>
      <c r="CA43" s="424">
        <f>BW43</f>
        <v>7</v>
      </c>
      <c r="CB43" s="432">
        <f>BZ43*BN43*CA43</f>
        <v>18847987.199999996</v>
      </c>
      <c r="CC43" s="424">
        <f t="shared" ref="CC43:CC48" si="629">CB43*BP43</f>
        <v>10389952943.999998</v>
      </c>
      <c r="CE43" s="424"/>
      <c r="CF43" s="430">
        <v>0.21</v>
      </c>
      <c r="CG43" s="424">
        <f>CF43*CE$42</f>
        <v>336</v>
      </c>
      <c r="CH43" s="430">
        <v>1</v>
      </c>
      <c r="CI43" s="424">
        <f>CG43*CH43</f>
        <v>336</v>
      </c>
      <c r="CJ43" s="423">
        <f>CJ42</f>
        <v>53</v>
      </c>
      <c r="CK43" s="424">
        <f>CI43*CJ43</f>
        <v>17808</v>
      </c>
      <c r="CL43" s="431">
        <f>'Parameters and Summary'!E82</f>
        <v>0.7</v>
      </c>
      <c r="CM43" s="424">
        <f t="shared" ref="CM43:CM48" si="630">CK43*CL43</f>
        <v>12465.599999999999</v>
      </c>
      <c r="CN43" s="424">
        <v>7</v>
      </c>
      <c r="CO43" s="424">
        <f>'Parameters and Summary'!I61</f>
        <v>578.8125</v>
      </c>
      <c r="CP43" s="424">
        <f t="shared" ref="CP43:CP48" si="631">CO43*CM43*CN43</f>
        <v>50506715.699999988</v>
      </c>
      <c r="CQ43" s="423">
        <v>6</v>
      </c>
      <c r="CR43" s="424">
        <f>CN43</f>
        <v>7</v>
      </c>
      <c r="CS43" s="432">
        <f>CQ43*CM43</f>
        <v>74793.599999999991</v>
      </c>
      <c r="CT43" s="424">
        <f t="shared" ref="CT43:CT48" si="632">CS43*CO43*CR43</f>
        <v>303040294.19999993</v>
      </c>
      <c r="CU43" s="423">
        <v>24</v>
      </c>
      <c r="CV43" s="424">
        <f>CR43</f>
        <v>7</v>
      </c>
      <c r="CW43" s="432">
        <f t="shared" ref="CW43:CW48" si="633">CU43*CM43*CV43</f>
        <v>2094220.7999999998</v>
      </c>
      <c r="CX43" s="424">
        <f t="shared" ref="CX43:CX48" si="634">CW43*CO43</f>
        <v>1212161176.8</v>
      </c>
      <c r="CY43" s="423">
        <f t="shared" ref="CY43:CY48" si="635">CU43*12</f>
        <v>288</v>
      </c>
      <c r="CZ43" s="424">
        <f>CV43</f>
        <v>7</v>
      </c>
      <c r="DA43" s="432">
        <f>CY43*CM43*CZ43</f>
        <v>25130649.599999998</v>
      </c>
      <c r="DB43" s="424">
        <f t="shared" ref="DB43:DB48" si="636">DA43*CO43</f>
        <v>14545934121.599998</v>
      </c>
      <c r="DD43" s="424"/>
      <c r="DE43" s="430">
        <v>0.21</v>
      </c>
      <c r="DF43" s="424">
        <f>DE43*DD$42</f>
        <v>420</v>
      </c>
      <c r="DG43" s="430">
        <v>1</v>
      </c>
      <c r="DH43" s="424">
        <f>DF43*DG43</f>
        <v>420</v>
      </c>
      <c r="DI43" s="423">
        <f>DI42</f>
        <v>53</v>
      </c>
      <c r="DJ43" s="424">
        <f>DH43*DI43</f>
        <v>22260</v>
      </c>
      <c r="DK43" s="431">
        <f>'Parameters and Summary'!E82</f>
        <v>0.7</v>
      </c>
      <c r="DL43" s="424">
        <f t="shared" ref="DL43:DL48" si="637">DJ43*DK43</f>
        <v>15581.999999999998</v>
      </c>
      <c r="DM43" s="424">
        <v>7</v>
      </c>
      <c r="DN43" s="424">
        <f>'Parameters and Summary'!J61</f>
        <v>607.75312500000007</v>
      </c>
      <c r="DO43" s="424">
        <f t="shared" ref="DO43:DO48" si="638">DN43*DL43*DM43</f>
        <v>66290064.356249996</v>
      </c>
      <c r="DP43" s="423">
        <v>6</v>
      </c>
      <c r="DQ43" s="424">
        <f>DM43</f>
        <v>7</v>
      </c>
      <c r="DR43" s="432">
        <f>DP43*DL43</f>
        <v>93491.999999999985</v>
      </c>
      <c r="DS43" s="424">
        <f t="shared" ref="DS43:DS48" si="639">DR43*DN43*DQ43</f>
        <v>397740386.13749993</v>
      </c>
      <c r="DT43" s="423">
        <v>24</v>
      </c>
      <c r="DU43" s="424">
        <f>DQ43</f>
        <v>7</v>
      </c>
      <c r="DV43" s="432">
        <f t="shared" ref="DV43:DV48" si="640">DT43*DL43*DU43</f>
        <v>2617775.9999999995</v>
      </c>
      <c r="DW43" s="424">
        <f t="shared" ref="DW43:DW48" si="641">DV43*DN43</f>
        <v>1590961544.55</v>
      </c>
      <c r="DX43" s="423">
        <f t="shared" ref="DX43:DX48" si="642">DT43*12</f>
        <v>288</v>
      </c>
      <c r="DY43" s="424">
        <f>DU43</f>
        <v>7</v>
      </c>
      <c r="DZ43" s="432">
        <f>DX43*DL43*DY43</f>
        <v>31413311.999999993</v>
      </c>
      <c r="EA43" s="424">
        <f t="shared" ref="EA43:EA48" si="643">DZ43*DN43</f>
        <v>19091538534.599998</v>
      </c>
      <c r="EC43" s="424"/>
      <c r="ED43" s="430">
        <v>0.21</v>
      </c>
      <c r="EE43" s="424">
        <f>ED43*EC$42</f>
        <v>420</v>
      </c>
      <c r="EF43" s="430">
        <v>1</v>
      </c>
      <c r="EG43" s="424">
        <f>EE43*EF43</f>
        <v>420</v>
      </c>
      <c r="EH43" s="423">
        <f>EH42</f>
        <v>53</v>
      </c>
      <c r="EI43" s="424">
        <f>EG43*EH43</f>
        <v>22260</v>
      </c>
      <c r="EJ43" s="431">
        <f>'Parameters and Summary'!E82</f>
        <v>0.7</v>
      </c>
      <c r="EK43" s="424">
        <f t="shared" ref="EK43:EK48" si="644">EI43*EJ43</f>
        <v>15581.999999999998</v>
      </c>
      <c r="EL43" s="424">
        <v>7</v>
      </c>
      <c r="EM43" s="424">
        <f>'Parameters and Summary'!K61</f>
        <v>638.14078125000015</v>
      </c>
      <c r="EN43" s="424">
        <f t="shared" ref="EN43:EN48" si="645">EM43*EK43*EL43</f>
        <v>69604567.574062511</v>
      </c>
      <c r="EO43" s="423">
        <v>6</v>
      </c>
      <c r="EP43" s="424">
        <f>EL43</f>
        <v>7</v>
      </c>
      <c r="EQ43" s="432">
        <f>EO43*EK43</f>
        <v>93491.999999999985</v>
      </c>
      <c r="ER43" s="424">
        <f t="shared" ref="ER43:ER48" si="646">EQ43*EM43*EP43</f>
        <v>417627405.44437504</v>
      </c>
      <c r="ES43" s="423">
        <v>24</v>
      </c>
      <c r="ET43" s="424">
        <f>EP43</f>
        <v>7</v>
      </c>
      <c r="EU43" s="432">
        <f t="shared" ref="EU43:EU48" si="647">ES43*EK43*ET43</f>
        <v>2617775.9999999995</v>
      </c>
      <c r="EV43" s="424">
        <f t="shared" ref="EV43:EV48" si="648">EU43*EM43</f>
        <v>1670509621.7775002</v>
      </c>
      <c r="EW43" s="423">
        <f t="shared" ref="EW43:EW48" si="649">ES43*12</f>
        <v>288</v>
      </c>
      <c r="EX43" s="424">
        <f>ET43</f>
        <v>7</v>
      </c>
      <c r="EY43" s="432">
        <f>EW43*EK43*EX43</f>
        <v>31413311.999999993</v>
      </c>
      <c r="EZ43" s="424">
        <f t="shared" ref="EZ43:EZ48" si="650">EY43*EM43</f>
        <v>20046115461.329998</v>
      </c>
      <c r="FB43" s="424"/>
      <c r="FC43" s="430">
        <v>0.21</v>
      </c>
      <c r="FD43" s="424">
        <f>FC43*FB$42</f>
        <v>420</v>
      </c>
      <c r="FE43" s="430">
        <v>1</v>
      </c>
      <c r="FF43" s="424">
        <f>FD43*FE43</f>
        <v>420</v>
      </c>
      <c r="FG43" s="423">
        <f>FG42</f>
        <v>53</v>
      </c>
      <c r="FH43" s="424">
        <f>FF43*FG43</f>
        <v>22260</v>
      </c>
      <c r="FI43" s="431">
        <f>'Parameters and Summary'!E82</f>
        <v>0.7</v>
      </c>
      <c r="FJ43" s="424">
        <f t="shared" ref="FJ43:FJ48" si="651">FH43*FI43</f>
        <v>15581.999999999998</v>
      </c>
      <c r="FK43" s="424">
        <v>7</v>
      </c>
      <c r="FL43" s="424">
        <f>'Parameters and Summary'!L61</f>
        <v>670.04782031250022</v>
      </c>
      <c r="FM43" s="424">
        <f t="shared" ref="FM43:FM48" si="652">FL43*FJ43*FK43</f>
        <v>73084795.952765629</v>
      </c>
      <c r="FN43" s="423">
        <v>6</v>
      </c>
      <c r="FO43" s="424">
        <f>FK43</f>
        <v>7</v>
      </c>
      <c r="FP43" s="432">
        <f>FN43*FJ43</f>
        <v>93491.999999999985</v>
      </c>
      <c r="FQ43" s="424">
        <f t="shared" ref="FQ43:FQ48" si="653">FP43*FL43*FO43</f>
        <v>438508775.71659386</v>
      </c>
      <c r="FR43" s="423">
        <v>24</v>
      </c>
      <c r="FS43" s="424">
        <f>FO43</f>
        <v>7</v>
      </c>
      <c r="FT43" s="432">
        <f t="shared" ref="FT43:FT48" si="654">FR43*FJ43*FS43</f>
        <v>2617775.9999999995</v>
      </c>
      <c r="FU43" s="424">
        <f t="shared" ref="FU43:FU48" si="655">FT43*FL43</f>
        <v>1754035102.8663752</v>
      </c>
      <c r="FV43" s="423">
        <f t="shared" ref="FV43:FV48" si="656">FR43*12</f>
        <v>288</v>
      </c>
      <c r="FW43" s="424">
        <f>FS43</f>
        <v>7</v>
      </c>
      <c r="FX43" s="432">
        <f>FV43*FJ43*FW43</f>
        <v>31413311.999999993</v>
      </c>
      <c r="FY43" s="424">
        <f t="shared" ref="FY43:FY48" si="657">FX43*FL43</f>
        <v>21048421234.396503</v>
      </c>
      <c r="GA43" s="424"/>
      <c r="GB43" s="430">
        <v>0.21</v>
      </c>
      <c r="GC43" s="424">
        <f>GB43*GA$42</f>
        <v>420</v>
      </c>
      <c r="GD43" s="430">
        <v>1</v>
      </c>
      <c r="GE43" s="424">
        <f>GC43*GD43</f>
        <v>420</v>
      </c>
      <c r="GF43" s="423">
        <f>GF42</f>
        <v>53</v>
      </c>
      <c r="GG43" s="424">
        <f>GE43*GF43</f>
        <v>22260</v>
      </c>
      <c r="GH43" s="431">
        <f>'Parameters and Summary'!E82</f>
        <v>0.7</v>
      </c>
      <c r="GI43" s="424">
        <f t="shared" ref="GI43:GI48" si="658">GG43*GH43</f>
        <v>15581.999999999998</v>
      </c>
      <c r="GJ43" s="424">
        <v>7</v>
      </c>
      <c r="GK43" s="424">
        <f>'Parameters and Summary'!M61</f>
        <v>703.55021132812522</v>
      </c>
      <c r="GL43" s="424">
        <f t="shared" ref="GL43:GL48" si="659">GK43*GI43*GJ43</f>
        <v>76739035.750403926</v>
      </c>
      <c r="GM43" s="423">
        <v>6</v>
      </c>
      <c r="GN43" s="424">
        <f>GJ43</f>
        <v>7</v>
      </c>
      <c r="GO43" s="432">
        <f>GM43*GI43</f>
        <v>93491.999999999985</v>
      </c>
      <c r="GP43" s="424">
        <f t="shared" ref="GP43:GP48" si="660">GO43*GK43*GN43</f>
        <v>460434214.50242352</v>
      </c>
      <c r="GQ43" s="423">
        <v>24</v>
      </c>
      <c r="GR43" s="424">
        <f>GN43</f>
        <v>7</v>
      </c>
      <c r="GS43" s="432">
        <f t="shared" ref="GS43:GS48" si="661">GQ43*GI43*GR43</f>
        <v>2617775.9999999995</v>
      </c>
      <c r="GT43" s="424">
        <f t="shared" ref="GT43:GT48" si="662">GS43*GK43</f>
        <v>1841736858.0096941</v>
      </c>
      <c r="GU43" s="423">
        <f t="shared" ref="GU43:GU48" si="663">GQ43*12</f>
        <v>288</v>
      </c>
      <c r="GV43" s="424">
        <f>GR43</f>
        <v>7</v>
      </c>
      <c r="GW43" s="432">
        <f>GU43*GI43*GV43</f>
        <v>31413311.999999993</v>
      </c>
      <c r="GX43" s="424">
        <f t="shared" ref="GX43:GX48" si="664">GW43*GK43</f>
        <v>22100842296.116325</v>
      </c>
      <c r="GZ43" s="424"/>
      <c r="HA43" s="430">
        <v>0.21</v>
      </c>
      <c r="HB43" s="424">
        <f>HA43*GZ$42</f>
        <v>420</v>
      </c>
      <c r="HC43" s="430">
        <v>1</v>
      </c>
      <c r="HD43" s="424">
        <f>HB43*HC43</f>
        <v>420</v>
      </c>
      <c r="HE43" s="423">
        <f>HE42</f>
        <v>53</v>
      </c>
      <c r="HF43" s="424">
        <f>HD43*HE43</f>
        <v>22260</v>
      </c>
      <c r="HG43" s="431">
        <f>'Parameters and Summary'!E82</f>
        <v>0.7</v>
      </c>
      <c r="HH43" s="424">
        <f t="shared" ref="HH43:HH48" si="665">HF43*HG43</f>
        <v>15581.999999999998</v>
      </c>
      <c r="HI43" s="424">
        <v>7</v>
      </c>
      <c r="HJ43" s="424">
        <f>'Parameters and Summary'!N61</f>
        <v>738.72772189453156</v>
      </c>
      <c r="HK43" s="424">
        <f t="shared" ref="HK43:HK48" si="666">HJ43*HH43*HI43</f>
        <v>80575987.537924126</v>
      </c>
      <c r="HL43" s="423">
        <v>6</v>
      </c>
      <c r="HM43" s="424">
        <f>HI43</f>
        <v>7</v>
      </c>
      <c r="HN43" s="432">
        <f>HL43*HH43</f>
        <v>93491.999999999985</v>
      </c>
      <c r="HO43" s="424">
        <f t="shared" ref="HO43:HO48" si="667">HN43*HJ43*HM43</f>
        <v>483455925.22754478</v>
      </c>
      <c r="HP43" s="423">
        <v>24</v>
      </c>
      <c r="HQ43" s="424">
        <f>HM43</f>
        <v>7</v>
      </c>
      <c r="HR43" s="432">
        <f t="shared" ref="HR43:HR48" si="668">HP43*HH43*HQ43</f>
        <v>2617775.9999999995</v>
      </c>
      <c r="HS43" s="424">
        <f t="shared" ref="HS43:HS48" si="669">HR43*HJ43</f>
        <v>1933823700.9101789</v>
      </c>
      <c r="HT43" s="423">
        <f t="shared" ref="HT43:HT48" si="670">HP43*12</f>
        <v>288</v>
      </c>
      <c r="HU43" s="424">
        <f>HQ43</f>
        <v>7</v>
      </c>
      <c r="HV43" s="432">
        <f>HT43*HH43*HU43</f>
        <v>31413311.999999993</v>
      </c>
      <c r="HW43" s="424">
        <f t="shared" ref="HW43:HW48" si="671">HV43*HJ43</f>
        <v>23205884410.922146</v>
      </c>
      <c r="HY43" s="424"/>
      <c r="HZ43" s="430">
        <v>0.21</v>
      </c>
      <c r="IA43" s="424">
        <f>HZ43*HY$42</f>
        <v>420</v>
      </c>
      <c r="IB43" s="430">
        <v>1</v>
      </c>
      <c r="IC43" s="424">
        <f>IA43*IB43</f>
        <v>420</v>
      </c>
      <c r="ID43" s="423">
        <f>ID42</f>
        <v>53</v>
      </c>
      <c r="IE43" s="424">
        <f>IC43*ID43</f>
        <v>22260</v>
      </c>
      <c r="IF43" s="431">
        <f>'Parameters and Summary'!E82</f>
        <v>0.7</v>
      </c>
      <c r="IG43" s="424">
        <f t="shared" ref="IG43:IG48" si="672">IE43*IF43</f>
        <v>15581.999999999998</v>
      </c>
      <c r="IH43" s="424">
        <v>7</v>
      </c>
      <c r="II43" s="424">
        <f>'Parameters and Summary'!O61</f>
        <v>775.66410798925813</v>
      </c>
      <c r="IJ43" s="424">
        <f t="shared" ref="IJ43:IJ48" si="673">II43*IG43*IH43</f>
        <v>84604786.914820328</v>
      </c>
      <c r="IK43" s="423">
        <v>6</v>
      </c>
      <c r="IL43" s="424">
        <f>IH43</f>
        <v>7</v>
      </c>
      <c r="IM43" s="432">
        <f>IK43*IG43</f>
        <v>93491.999999999985</v>
      </c>
      <c r="IN43" s="424">
        <f t="shared" ref="IN43:IN48" si="674">IM43*II43*IL43</f>
        <v>507628721.48892194</v>
      </c>
      <c r="IO43" s="423">
        <v>24</v>
      </c>
      <c r="IP43" s="424">
        <f>IL43</f>
        <v>7</v>
      </c>
      <c r="IQ43" s="432">
        <f t="shared" ref="IQ43:IQ48" si="675">IO43*IG43*IP43</f>
        <v>2617775.9999999995</v>
      </c>
      <c r="IR43" s="424">
        <f t="shared" ref="IR43:IR48" si="676">IQ43*II43</f>
        <v>2030514885.9556878</v>
      </c>
      <c r="IS43" s="423">
        <f t="shared" ref="IS43:IS48" si="677">IO43*12</f>
        <v>288</v>
      </c>
      <c r="IT43" s="424">
        <f>IP43</f>
        <v>7</v>
      </c>
      <c r="IU43" s="432">
        <f>IS43*IG43*IT43</f>
        <v>31413311.999999993</v>
      </c>
      <c r="IV43" s="424">
        <f t="shared" ref="IV43:IV48" si="678">IU43*II43</f>
        <v>24366178631.468254</v>
      </c>
    </row>
    <row r="44" spans="1:256" x14ac:dyDescent="0.25">
      <c r="B44" s="422"/>
      <c r="C44" s="422"/>
      <c r="D44" s="422"/>
      <c r="E44" s="419" t="s">
        <v>144</v>
      </c>
      <c r="F44" s="423"/>
      <c r="G44" s="423"/>
      <c r="H44" s="424"/>
      <c r="I44" s="430">
        <v>0.3</v>
      </c>
      <c r="J44" s="424">
        <f t="shared" ref="J44:J48" si="679">I44*H$42</f>
        <v>120</v>
      </c>
      <c r="K44" s="433">
        <f>K43</f>
        <v>1</v>
      </c>
      <c r="L44" s="424">
        <f t="shared" ref="L44:L48" si="680">J44*K44</f>
        <v>120</v>
      </c>
      <c r="M44" s="423">
        <f>M43</f>
        <v>37</v>
      </c>
      <c r="N44" s="424">
        <f t="shared" ref="N44:N48" si="681">L44*M44</f>
        <v>4440</v>
      </c>
      <c r="O44" s="431">
        <f>'Parameters and Summary'!E83</f>
        <v>0.68600000000000005</v>
      </c>
      <c r="P44" s="424">
        <f t="shared" si="609"/>
        <v>3045.84</v>
      </c>
      <c r="Q44" s="424">
        <f>Q43</f>
        <v>7</v>
      </c>
      <c r="R44" s="424">
        <f>R43</f>
        <v>500</v>
      </c>
      <c r="S44" s="424">
        <f t="shared" si="610"/>
        <v>10660440</v>
      </c>
      <c r="T44" s="423">
        <v>6</v>
      </c>
      <c r="U44" s="424">
        <f t="shared" ref="U44:U48" si="682">Q44</f>
        <v>7</v>
      </c>
      <c r="V44" s="432">
        <f t="shared" ref="V44:V48" si="683">T44*P44</f>
        <v>18275.04</v>
      </c>
      <c r="W44" s="424">
        <f t="shared" si="611"/>
        <v>63962640</v>
      </c>
      <c r="X44" s="423">
        <v>24</v>
      </c>
      <c r="Y44" s="424">
        <f t="shared" ref="Y44:Y48" si="684">U44</f>
        <v>7</v>
      </c>
      <c r="Z44" s="432">
        <f t="shared" si="612"/>
        <v>511701.12</v>
      </c>
      <c r="AA44" s="424">
        <f t="shared" si="613"/>
        <v>255850560</v>
      </c>
      <c r="AB44" s="423">
        <f t="shared" si="614"/>
        <v>288</v>
      </c>
      <c r="AC44" s="424">
        <f t="shared" ref="AC44:AC48" si="685">Y44</f>
        <v>7</v>
      </c>
      <c r="AD44" s="432">
        <f t="shared" ref="AD44:AD48" si="686">AB44*P44*AC44</f>
        <v>6140413.4400000004</v>
      </c>
      <c r="AE44" s="424">
        <f t="shared" si="615"/>
        <v>3070206720</v>
      </c>
      <c r="AG44" s="424"/>
      <c r="AH44" s="430">
        <v>0.3</v>
      </c>
      <c r="AI44" s="424">
        <f t="shared" ref="AI44:AI48" si="687">AH44*AG$42</f>
        <v>240</v>
      </c>
      <c r="AJ44" s="433">
        <f>AJ43</f>
        <v>1</v>
      </c>
      <c r="AK44" s="424">
        <f t="shared" ref="AK44:AK48" si="688">AI44*AJ44</f>
        <v>240</v>
      </c>
      <c r="AL44" s="423">
        <f>AL43</f>
        <v>37</v>
      </c>
      <c r="AM44" s="424">
        <f t="shared" ref="AM44:AM48" si="689">AK44*AL44</f>
        <v>8880</v>
      </c>
      <c r="AN44" s="431">
        <f>'Parameters and Summary'!E83</f>
        <v>0.68600000000000005</v>
      </c>
      <c r="AO44" s="424">
        <f t="shared" si="616"/>
        <v>6091.68</v>
      </c>
      <c r="AP44" s="424">
        <f>AP43</f>
        <v>7</v>
      </c>
      <c r="AQ44" s="424">
        <f>AQ43</f>
        <v>525</v>
      </c>
      <c r="AR44" s="424">
        <f t="shared" si="617"/>
        <v>22386924</v>
      </c>
      <c r="AS44" s="423">
        <v>6</v>
      </c>
      <c r="AT44" s="424">
        <f t="shared" ref="AT44:AT48" si="690">AP44</f>
        <v>7</v>
      </c>
      <c r="AU44" s="432">
        <f t="shared" ref="AU44:AU48" si="691">AS44*AO44</f>
        <v>36550.080000000002</v>
      </c>
      <c r="AV44" s="424">
        <f t="shared" si="618"/>
        <v>134321544</v>
      </c>
      <c r="AW44" s="423">
        <v>24</v>
      </c>
      <c r="AX44" s="424">
        <f t="shared" ref="AX44:AX48" si="692">AT44</f>
        <v>7</v>
      </c>
      <c r="AY44" s="432">
        <f t="shared" si="619"/>
        <v>1023402.24</v>
      </c>
      <c r="AZ44" s="424">
        <f t="shared" si="620"/>
        <v>537286176</v>
      </c>
      <c r="BA44" s="423">
        <f t="shared" si="621"/>
        <v>288</v>
      </c>
      <c r="BB44" s="424">
        <f t="shared" ref="BB44:BB48" si="693">AX44</f>
        <v>7</v>
      </c>
      <c r="BC44" s="432">
        <f t="shared" ref="BC44:BC48" si="694">BA44*AO44*BB44</f>
        <v>12280826.880000001</v>
      </c>
      <c r="BD44" s="424">
        <f t="shared" si="622"/>
        <v>6447434112</v>
      </c>
      <c r="BF44" s="424"/>
      <c r="BG44" s="430">
        <v>0.3</v>
      </c>
      <c r="BH44" s="424">
        <f t="shared" ref="BH44:BH48" si="695">BG44*BF$42</f>
        <v>360</v>
      </c>
      <c r="BI44" s="433">
        <f>BI43</f>
        <v>1</v>
      </c>
      <c r="BJ44" s="424">
        <f t="shared" ref="BJ44:BJ48" si="696">BH44*BI44</f>
        <v>360</v>
      </c>
      <c r="BK44" s="423">
        <f>BK43</f>
        <v>53</v>
      </c>
      <c r="BL44" s="424">
        <f t="shared" ref="BL44:BL48" si="697">BJ44*BK44</f>
        <v>19080</v>
      </c>
      <c r="BM44" s="431">
        <f>'Parameters and Summary'!E83</f>
        <v>0.68600000000000005</v>
      </c>
      <c r="BN44" s="424">
        <f t="shared" si="623"/>
        <v>13088.880000000001</v>
      </c>
      <c r="BO44" s="424">
        <f>BO43</f>
        <v>7</v>
      </c>
      <c r="BP44" s="424">
        <f>BP43</f>
        <v>551.25</v>
      </c>
      <c r="BQ44" s="424">
        <f t="shared" si="624"/>
        <v>50506715.700000003</v>
      </c>
      <c r="BR44" s="423">
        <v>6</v>
      </c>
      <c r="BS44" s="424">
        <f t="shared" ref="BS44:BS48" si="698">BO44</f>
        <v>7</v>
      </c>
      <c r="BT44" s="432">
        <f t="shared" ref="BT44:BT48" si="699">BR44*BN44</f>
        <v>78533.279999999999</v>
      </c>
      <c r="BU44" s="424">
        <f t="shared" si="625"/>
        <v>303040294.19999999</v>
      </c>
      <c r="BV44" s="423">
        <v>24</v>
      </c>
      <c r="BW44" s="424">
        <f t="shared" ref="BW44:BW48" si="700">BS44</f>
        <v>7</v>
      </c>
      <c r="BX44" s="432">
        <f t="shared" si="626"/>
        <v>2198931.84</v>
      </c>
      <c r="BY44" s="424">
        <f t="shared" si="627"/>
        <v>1212161176.8</v>
      </c>
      <c r="BZ44" s="423">
        <f t="shared" si="628"/>
        <v>288</v>
      </c>
      <c r="CA44" s="424">
        <f t="shared" ref="CA44:CA48" si="701">BW44</f>
        <v>7</v>
      </c>
      <c r="CB44" s="432">
        <f t="shared" ref="CB44:CB48" si="702">BZ44*BN44*CA44</f>
        <v>26387182.080000002</v>
      </c>
      <c r="CC44" s="424">
        <f t="shared" si="629"/>
        <v>14545934121.6</v>
      </c>
      <c r="CE44" s="424"/>
      <c r="CF44" s="430">
        <v>0.3</v>
      </c>
      <c r="CG44" s="424">
        <f t="shared" ref="CG44:CG48" si="703">CF44*CE$42</f>
        <v>480</v>
      </c>
      <c r="CH44" s="433">
        <f>CH43</f>
        <v>1</v>
      </c>
      <c r="CI44" s="424">
        <f t="shared" ref="CI44:CI48" si="704">CG44*CH44</f>
        <v>480</v>
      </c>
      <c r="CJ44" s="423">
        <f>CJ43</f>
        <v>53</v>
      </c>
      <c r="CK44" s="424">
        <f t="shared" ref="CK44:CK48" si="705">CI44*CJ44</f>
        <v>25440</v>
      </c>
      <c r="CL44" s="431">
        <f>'Parameters and Summary'!E83</f>
        <v>0.68600000000000005</v>
      </c>
      <c r="CM44" s="424">
        <f t="shared" si="630"/>
        <v>17451.84</v>
      </c>
      <c r="CN44" s="424">
        <f>CN43</f>
        <v>7</v>
      </c>
      <c r="CO44" s="424">
        <f>CO43</f>
        <v>578.8125</v>
      </c>
      <c r="CP44" s="424">
        <f t="shared" si="631"/>
        <v>70709401.980000004</v>
      </c>
      <c r="CQ44" s="423">
        <v>6</v>
      </c>
      <c r="CR44" s="424">
        <f t="shared" ref="CR44:CR48" si="706">CN44</f>
        <v>7</v>
      </c>
      <c r="CS44" s="432">
        <f t="shared" ref="CS44:CS48" si="707">CQ44*CM44</f>
        <v>104711.04000000001</v>
      </c>
      <c r="CT44" s="424">
        <f t="shared" si="632"/>
        <v>424256411.88</v>
      </c>
      <c r="CU44" s="423">
        <v>24</v>
      </c>
      <c r="CV44" s="424">
        <f t="shared" ref="CV44:CV48" si="708">CR44</f>
        <v>7</v>
      </c>
      <c r="CW44" s="432">
        <f t="shared" si="633"/>
        <v>2931909.12</v>
      </c>
      <c r="CX44" s="424">
        <f t="shared" si="634"/>
        <v>1697025647.52</v>
      </c>
      <c r="CY44" s="423">
        <f t="shared" si="635"/>
        <v>288</v>
      </c>
      <c r="CZ44" s="424">
        <f t="shared" ref="CZ44:CZ48" si="709">CV44</f>
        <v>7</v>
      </c>
      <c r="DA44" s="432">
        <f t="shared" ref="DA44:DA48" si="710">CY44*CM44*CZ44</f>
        <v>35182909.439999998</v>
      </c>
      <c r="DB44" s="424">
        <f t="shared" si="636"/>
        <v>20364307770.239998</v>
      </c>
      <c r="DD44" s="424"/>
      <c r="DE44" s="430">
        <v>0.3</v>
      </c>
      <c r="DF44" s="424">
        <f t="shared" ref="DF44:DF48" si="711">DE44*DD$42</f>
        <v>600</v>
      </c>
      <c r="DG44" s="433">
        <f>DG43</f>
        <v>1</v>
      </c>
      <c r="DH44" s="424">
        <f t="shared" ref="DH44:DH48" si="712">DF44*DG44</f>
        <v>600</v>
      </c>
      <c r="DI44" s="423">
        <f>DI43</f>
        <v>53</v>
      </c>
      <c r="DJ44" s="424">
        <f t="shared" ref="DJ44:DJ48" si="713">DH44*DI44</f>
        <v>31800</v>
      </c>
      <c r="DK44" s="431">
        <f>'Parameters and Summary'!E83</f>
        <v>0.68600000000000005</v>
      </c>
      <c r="DL44" s="424">
        <f t="shared" si="637"/>
        <v>21814.800000000003</v>
      </c>
      <c r="DM44" s="424">
        <f>DM43</f>
        <v>7</v>
      </c>
      <c r="DN44" s="424">
        <f>DN43</f>
        <v>607.75312500000007</v>
      </c>
      <c r="DO44" s="424">
        <f t="shared" si="638"/>
        <v>92806090.098750025</v>
      </c>
      <c r="DP44" s="423">
        <v>6</v>
      </c>
      <c r="DQ44" s="424">
        <f t="shared" ref="DQ44:DQ48" si="714">DM44</f>
        <v>7</v>
      </c>
      <c r="DR44" s="432">
        <f t="shared" ref="DR44:DR48" si="715">DP44*DL44</f>
        <v>130888.80000000002</v>
      </c>
      <c r="DS44" s="424">
        <f t="shared" si="639"/>
        <v>556836540.59250021</v>
      </c>
      <c r="DT44" s="423">
        <v>24</v>
      </c>
      <c r="DU44" s="424">
        <f t="shared" ref="DU44:DU48" si="716">DQ44</f>
        <v>7</v>
      </c>
      <c r="DV44" s="432">
        <f t="shared" si="640"/>
        <v>3664886.4000000004</v>
      </c>
      <c r="DW44" s="424">
        <f t="shared" si="641"/>
        <v>2227346162.3700004</v>
      </c>
      <c r="DX44" s="423">
        <f t="shared" si="642"/>
        <v>288</v>
      </c>
      <c r="DY44" s="424">
        <f t="shared" ref="DY44:DY48" si="717">DU44</f>
        <v>7</v>
      </c>
      <c r="DZ44" s="432">
        <f t="shared" ref="DZ44:DZ48" si="718">DX44*DL44*DY44</f>
        <v>43978636.800000004</v>
      </c>
      <c r="EA44" s="424">
        <f t="shared" si="643"/>
        <v>26728153948.440006</v>
      </c>
      <c r="EC44" s="424"/>
      <c r="ED44" s="430">
        <v>0.3</v>
      </c>
      <c r="EE44" s="424">
        <f t="shared" ref="EE44:EE48" si="719">ED44*EC$42</f>
        <v>600</v>
      </c>
      <c r="EF44" s="433">
        <f>EF43</f>
        <v>1</v>
      </c>
      <c r="EG44" s="424">
        <f t="shared" ref="EG44:EG48" si="720">EE44*EF44</f>
        <v>600</v>
      </c>
      <c r="EH44" s="423">
        <f>EH43</f>
        <v>53</v>
      </c>
      <c r="EI44" s="424">
        <f t="shared" ref="EI44:EI48" si="721">EG44*EH44</f>
        <v>31800</v>
      </c>
      <c r="EJ44" s="431">
        <f>'Parameters and Summary'!E83</f>
        <v>0.68600000000000005</v>
      </c>
      <c r="EK44" s="424">
        <f t="shared" si="644"/>
        <v>21814.800000000003</v>
      </c>
      <c r="EL44" s="424">
        <f>EL43</f>
        <v>7</v>
      </c>
      <c r="EM44" s="424">
        <f>EM43</f>
        <v>638.14078125000015</v>
      </c>
      <c r="EN44" s="424">
        <f t="shared" si="645"/>
        <v>97446394.60368754</v>
      </c>
      <c r="EO44" s="423">
        <v>6</v>
      </c>
      <c r="EP44" s="424">
        <f t="shared" ref="EP44:EP48" si="722">EL44</f>
        <v>7</v>
      </c>
      <c r="EQ44" s="432">
        <f t="shared" ref="EQ44:EQ48" si="723">EO44*EK44</f>
        <v>130888.80000000002</v>
      </c>
      <c r="ER44" s="424">
        <f t="shared" si="646"/>
        <v>584678367.62212515</v>
      </c>
      <c r="ES44" s="423">
        <v>24</v>
      </c>
      <c r="ET44" s="424">
        <f t="shared" ref="ET44:ET48" si="724">EP44</f>
        <v>7</v>
      </c>
      <c r="EU44" s="432">
        <f t="shared" si="647"/>
        <v>3664886.4000000004</v>
      </c>
      <c r="EV44" s="424">
        <f t="shared" si="648"/>
        <v>2338713470.4885006</v>
      </c>
      <c r="EW44" s="423">
        <f t="shared" si="649"/>
        <v>288</v>
      </c>
      <c r="EX44" s="424">
        <f t="shared" ref="EX44:EX48" si="725">ET44</f>
        <v>7</v>
      </c>
      <c r="EY44" s="432">
        <f t="shared" ref="EY44:EY48" si="726">EW44*EK44*EX44</f>
        <v>43978636.800000004</v>
      </c>
      <c r="EZ44" s="424">
        <f t="shared" si="650"/>
        <v>28064561645.862011</v>
      </c>
      <c r="FB44" s="424"/>
      <c r="FC44" s="430">
        <v>0.3</v>
      </c>
      <c r="FD44" s="424">
        <f t="shared" ref="FD44:FD48" si="727">FC44*FB$42</f>
        <v>600</v>
      </c>
      <c r="FE44" s="433">
        <f>FE43</f>
        <v>1</v>
      </c>
      <c r="FF44" s="424">
        <f t="shared" ref="FF44:FF48" si="728">FD44*FE44</f>
        <v>600</v>
      </c>
      <c r="FG44" s="423">
        <f>FG43</f>
        <v>53</v>
      </c>
      <c r="FH44" s="424">
        <f t="shared" ref="FH44:FH48" si="729">FF44*FG44</f>
        <v>31800</v>
      </c>
      <c r="FI44" s="431">
        <f>'Parameters and Summary'!E83</f>
        <v>0.68600000000000005</v>
      </c>
      <c r="FJ44" s="424">
        <f t="shared" si="651"/>
        <v>21814.800000000003</v>
      </c>
      <c r="FK44" s="424">
        <f>FK43</f>
        <v>7</v>
      </c>
      <c r="FL44" s="424">
        <f>FL43</f>
        <v>670.04782031250022</v>
      </c>
      <c r="FM44" s="424">
        <f t="shared" si="652"/>
        <v>102318714.33387193</v>
      </c>
      <c r="FN44" s="423">
        <v>6</v>
      </c>
      <c r="FO44" s="424">
        <f t="shared" ref="FO44:FO48" si="730">FK44</f>
        <v>7</v>
      </c>
      <c r="FP44" s="432">
        <f t="shared" ref="FP44:FP48" si="731">FN44*FJ44</f>
        <v>130888.80000000002</v>
      </c>
      <c r="FQ44" s="424">
        <f t="shared" si="653"/>
        <v>613912286.00323153</v>
      </c>
      <c r="FR44" s="423">
        <v>24</v>
      </c>
      <c r="FS44" s="424">
        <f t="shared" ref="FS44:FS48" si="732">FO44</f>
        <v>7</v>
      </c>
      <c r="FT44" s="432">
        <f t="shared" si="654"/>
        <v>3664886.4000000004</v>
      </c>
      <c r="FU44" s="424">
        <f t="shared" si="655"/>
        <v>2455649144.0129261</v>
      </c>
      <c r="FV44" s="423">
        <f t="shared" si="656"/>
        <v>288</v>
      </c>
      <c r="FW44" s="424">
        <f t="shared" ref="FW44:FW48" si="733">FS44</f>
        <v>7</v>
      </c>
      <c r="FX44" s="432">
        <f t="shared" ref="FX44:FX48" si="734">FV44*FJ44*FW44</f>
        <v>43978636.800000004</v>
      </c>
      <c r="FY44" s="424">
        <f t="shared" si="657"/>
        <v>29467789728.155113</v>
      </c>
      <c r="GA44" s="424"/>
      <c r="GB44" s="430">
        <v>0.3</v>
      </c>
      <c r="GC44" s="424">
        <f t="shared" ref="GC44:GC48" si="735">GB44*GA$42</f>
        <v>600</v>
      </c>
      <c r="GD44" s="433">
        <f>GD43</f>
        <v>1</v>
      </c>
      <c r="GE44" s="424">
        <f t="shared" ref="GE44:GE48" si="736">GC44*GD44</f>
        <v>600</v>
      </c>
      <c r="GF44" s="423">
        <f>GF43</f>
        <v>53</v>
      </c>
      <c r="GG44" s="424">
        <f t="shared" ref="GG44:GG48" si="737">GE44*GF44</f>
        <v>31800</v>
      </c>
      <c r="GH44" s="431">
        <f>'Parameters and Summary'!E83</f>
        <v>0.68600000000000005</v>
      </c>
      <c r="GI44" s="424">
        <f t="shared" si="658"/>
        <v>21814.800000000003</v>
      </c>
      <c r="GJ44" s="424">
        <f>GJ43</f>
        <v>7</v>
      </c>
      <c r="GK44" s="424">
        <f>GK43</f>
        <v>703.55021132812522</v>
      </c>
      <c r="GL44" s="424">
        <f t="shared" si="659"/>
        <v>107434650.05056553</v>
      </c>
      <c r="GM44" s="423">
        <v>6</v>
      </c>
      <c r="GN44" s="424">
        <f t="shared" ref="GN44:GN48" si="738">GJ44</f>
        <v>7</v>
      </c>
      <c r="GO44" s="432">
        <f t="shared" ref="GO44:GO48" si="739">GM44*GI44</f>
        <v>130888.80000000002</v>
      </c>
      <c r="GP44" s="424">
        <f t="shared" si="660"/>
        <v>644607900.30339313</v>
      </c>
      <c r="GQ44" s="423">
        <v>24</v>
      </c>
      <c r="GR44" s="424">
        <f t="shared" ref="GR44:GR48" si="740">GN44</f>
        <v>7</v>
      </c>
      <c r="GS44" s="432">
        <f t="shared" si="661"/>
        <v>3664886.4000000004</v>
      </c>
      <c r="GT44" s="424">
        <f t="shared" si="662"/>
        <v>2578431601.2135725</v>
      </c>
      <c r="GU44" s="423">
        <f t="shared" si="663"/>
        <v>288</v>
      </c>
      <c r="GV44" s="424">
        <f t="shared" ref="GV44:GV48" si="741">GR44</f>
        <v>7</v>
      </c>
      <c r="GW44" s="432">
        <f t="shared" ref="GW44:GW48" si="742">GU44*GI44*GV44</f>
        <v>43978636.800000004</v>
      </c>
      <c r="GX44" s="424">
        <f t="shared" si="664"/>
        <v>30941179214.562866</v>
      </c>
      <c r="GZ44" s="424"/>
      <c r="HA44" s="430">
        <v>0.3</v>
      </c>
      <c r="HB44" s="424">
        <f t="shared" ref="HB44:HB48" si="743">HA44*GZ$42</f>
        <v>600</v>
      </c>
      <c r="HC44" s="433">
        <f>HC43</f>
        <v>1</v>
      </c>
      <c r="HD44" s="424">
        <f t="shared" ref="HD44:HD48" si="744">HB44*HC44</f>
        <v>600</v>
      </c>
      <c r="HE44" s="423">
        <f>HE43</f>
        <v>53</v>
      </c>
      <c r="HF44" s="424">
        <f t="shared" ref="HF44:HF48" si="745">HD44*HE44</f>
        <v>31800</v>
      </c>
      <c r="HG44" s="431">
        <f>'Parameters and Summary'!E83</f>
        <v>0.68600000000000005</v>
      </c>
      <c r="HH44" s="424">
        <f t="shared" si="665"/>
        <v>21814.800000000003</v>
      </c>
      <c r="HI44" s="424">
        <f>HI43</f>
        <v>7</v>
      </c>
      <c r="HJ44" s="424">
        <f>HJ43</f>
        <v>738.72772189453156</v>
      </c>
      <c r="HK44" s="424">
        <f t="shared" si="666"/>
        <v>112806382.55309381</v>
      </c>
      <c r="HL44" s="423">
        <v>6</v>
      </c>
      <c r="HM44" s="424">
        <f t="shared" ref="HM44:HM48" si="746">HI44</f>
        <v>7</v>
      </c>
      <c r="HN44" s="432">
        <f t="shared" ref="HN44:HN48" si="747">HL44*HH44</f>
        <v>130888.80000000002</v>
      </c>
      <c r="HO44" s="424">
        <f t="shared" si="667"/>
        <v>676838295.31856287</v>
      </c>
      <c r="HP44" s="423">
        <v>24</v>
      </c>
      <c r="HQ44" s="424">
        <f t="shared" ref="HQ44:HQ48" si="748">HM44</f>
        <v>7</v>
      </c>
      <c r="HR44" s="432">
        <f t="shared" si="668"/>
        <v>3664886.4000000004</v>
      </c>
      <c r="HS44" s="424">
        <f t="shared" si="669"/>
        <v>2707353181.274251</v>
      </c>
      <c r="HT44" s="423">
        <f t="shared" si="670"/>
        <v>288</v>
      </c>
      <c r="HU44" s="424">
        <f t="shared" ref="HU44:HU48" si="749">HQ44</f>
        <v>7</v>
      </c>
      <c r="HV44" s="432">
        <f t="shared" ref="HV44:HV48" si="750">HT44*HH44*HU44</f>
        <v>43978636.800000004</v>
      </c>
      <c r="HW44" s="424">
        <f t="shared" si="671"/>
        <v>32488238175.291016</v>
      </c>
      <c r="HY44" s="424"/>
      <c r="HZ44" s="430">
        <v>0.3</v>
      </c>
      <c r="IA44" s="424">
        <f t="shared" ref="IA44:IA48" si="751">HZ44*HY$42</f>
        <v>600</v>
      </c>
      <c r="IB44" s="433">
        <f>IB43</f>
        <v>1</v>
      </c>
      <c r="IC44" s="424">
        <f t="shared" ref="IC44:IC48" si="752">IA44*IB44</f>
        <v>600</v>
      </c>
      <c r="ID44" s="423">
        <f>ID43</f>
        <v>53</v>
      </c>
      <c r="IE44" s="424">
        <f t="shared" ref="IE44:IE48" si="753">IC44*ID44</f>
        <v>31800</v>
      </c>
      <c r="IF44" s="431">
        <f>'Parameters and Summary'!E83</f>
        <v>0.68600000000000005</v>
      </c>
      <c r="IG44" s="424">
        <f t="shared" si="672"/>
        <v>21814.800000000003</v>
      </c>
      <c r="IH44" s="424">
        <f>IH43</f>
        <v>7</v>
      </c>
      <c r="II44" s="424">
        <f>II43</f>
        <v>775.66410798925813</v>
      </c>
      <c r="IJ44" s="424">
        <f t="shared" si="673"/>
        <v>118446701.68074849</v>
      </c>
      <c r="IK44" s="423">
        <v>6</v>
      </c>
      <c r="IL44" s="424">
        <f t="shared" ref="IL44:IL48" si="754">IH44</f>
        <v>7</v>
      </c>
      <c r="IM44" s="432">
        <f t="shared" ref="IM44:IM48" si="755">IK44*IG44</f>
        <v>130888.80000000002</v>
      </c>
      <c r="IN44" s="424">
        <f t="shared" si="674"/>
        <v>710680210.0844909</v>
      </c>
      <c r="IO44" s="423">
        <v>24</v>
      </c>
      <c r="IP44" s="424">
        <f t="shared" ref="IP44:IP48" si="756">IL44</f>
        <v>7</v>
      </c>
      <c r="IQ44" s="432">
        <f t="shared" si="675"/>
        <v>3664886.4000000004</v>
      </c>
      <c r="IR44" s="424">
        <f t="shared" si="676"/>
        <v>2842720840.3379636</v>
      </c>
      <c r="IS44" s="423">
        <f t="shared" si="677"/>
        <v>288</v>
      </c>
      <c r="IT44" s="424">
        <f t="shared" ref="IT44:IT48" si="757">IP44</f>
        <v>7</v>
      </c>
      <c r="IU44" s="432">
        <f t="shared" ref="IU44:IU48" si="758">IS44*IG44*IT44</f>
        <v>43978636.800000004</v>
      </c>
      <c r="IV44" s="424">
        <f t="shared" si="678"/>
        <v>34112650084.055565</v>
      </c>
    </row>
    <row r="45" spans="1:256" x14ac:dyDescent="0.25">
      <c r="B45" s="422"/>
      <c r="C45" s="422"/>
      <c r="D45" s="422"/>
      <c r="E45" s="419" t="s">
        <v>145</v>
      </c>
      <c r="F45" s="423"/>
      <c r="G45" s="423"/>
      <c r="H45" s="424"/>
      <c r="I45" s="430">
        <v>0.14000000000000001</v>
      </c>
      <c r="J45" s="424">
        <f t="shared" si="679"/>
        <v>56.000000000000007</v>
      </c>
      <c r="K45" s="433">
        <f t="shared" ref="K45:K48" si="759">K44</f>
        <v>1</v>
      </c>
      <c r="L45" s="424">
        <f t="shared" si="680"/>
        <v>56.000000000000007</v>
      </c>
      <c r="M45" s="423">
        <f>M44</f>
        <v>37</v>
      </c>
      <c r="N45" s="424">
        <f t="shared" si="681"/>
        <v>2072.0000000000005</v>
      </c>
      <c r="O45" s="431">
        <f>'Parameters and Summary'!E84</f>
        <v>0.6</v>
      </c>
      <c r="P45" s="424">
        <f t="shared" si="609"/>
        <v>1243.2000000000003</v>
      </c>
      <c r="Q45" s="424">
        <f t="shared" ref="Q45:Q48" si="760">Q44</f>
        <v>7</v>
      </c>
      <c r="R45" s="424">
        <f t="shared" ref="R45:R48" si="761">R44</f>
        <v>500</v>
      </c>
      <c r="S45" s="424">
        <f t="shared" si="610"/>
        <v>4351200.0000000009</v>
      </c>
      <c r="T45" s="423">
        <v>6</v>
      </c>
      <c r="U45" s="424">
        <f t="shared" si="682"/>
        <v>7</v>
      </c>
      <c r="V45" s="432">
        <f t="shared" si="683"/>
        <v>7459.2000000000016</v>
      </c>
      <c r="W45" s="424">
        <f t="shared" si="611"/>
        <v>26107200.000000007</v>
      </c>
      <c r="X45" s="423">
        <v>24</v>
      </c>
      <c r="Y45" s="424">
        <f t="shared" si="684"/>
        <v>7</v>
      </c>
      <c r="Z45" s="432">
        <f t="shared" si="612"/>
        <v>208857.60000000003</v>
      </c>
      <c r="AA45" s="424">
        <f t="shared" si="613"/>
        <v>104428800.00000001</v>
      </c>
      <c r="AB45" s="423">
        <f t="shared" si="614"/>
        <v>288</v>
      </c>
      <c r="AC45" s="424">
        <f t="shared" si="685"/>
        <v>7</v>
      </c>
      <c r="AD45" s="432">
        <f t="shared" si="686"/>
        <v>2506291.2000000007</v>
      </c>
      <c r="AE45" s="424">
        <f t="shared" si="615"/>
        <v>1253145600.0000002</v>
      </c>
      <c r="AG45" s="424"/>
      <c r="AH45" s="430">
        <v>0.14000000000000001</v>
      </c>
      <c r="AI45" s="424">
        <f t="shared" si="687"/>
        <v>112.00000000000001</v>
      </c>
      <c r="AJ45" s="433">
        <f t="shared" ref="AJ45:AJ48" si="762">AJ44</f>
        <v>1</v>
      </c>
      <c r="AK45" s="424">
        <f t="shared" si="688"/>
        <v>112.00000000000001</v>
      </c>
      <c r="AL45" s="423">
        <f>AL44</f>
        <v>37</v>
      </c>
      <c r="AM45" s="424">
        <f t="shared" si="689"/>
        <v>4144.0000000000009</v>
      </c>
      <c r="AN45" s="431">
        <f>'Parameters and Summary'!E84</f>
        <v>0.6</v>
      </c>
      <c r="AO45" s="424">
        <f t="shared" si="616"/>
        <v>2486.4000000000005</v>
      </c>
      <c r="AP45" s="424">
        <f t="shared" ref="AP45:AQ48" si="763">AP44</f>
        <v>7</v>
      </c>
      <c r="AQ45" s="424">
        <f t="shared" si="763"/>
        <v>525</v>
      </c>
      <c r="AR45" s="424">
        <f t="shared" si="617"/>
        <v>9137520.0000000019</v>
      </c>
      <c r="AS45" s="423">
        <v>6</v>
      </c>
      <c r="AT45" s="424">
        <f t="shared" si="690"/>
        <v>7</v>
      </c>
      <c r="AU45" s="432">
        <f t="shared" si="691"/>
        <v>14918.400000000003</v>
      </c>
      <c r="AV45" s="424">
        <f t="shared" si="618"/>
        <v>54825120.000000015</v>
      </c>
      <c r="AW45" s="423">
        <v>24</v>
      </c>
      <c r="AX45" s="424">
        <f t="shared" si="692"/>
        <v>7</v>
      </c>
      <c r="AY45" s="432">
        <f t="shared" si="619"/>
        <v>417715.20000000007</v>
      </c>
      <c r="AZ45" s="424">
        <f t="shared" si="620"/>
        <v>219300480.00000003</v>
      </c>
      <c r="BA45" s="423">
        <f t="shared" si="621"/>
        <v>288</v>
      </c>
      <c r="BB45" s="424">
        <f t="shared" si="693"/>
        <v>7</v>
      </c>
      <c r="BC45" s="432">
        <f t="shared" si="694"/>
        <v>5012582.4000000013</v>
      </c>
      <c r="BD45" s="424">
        <f t="shared" si="622"/>
        <v>2631605760.0000005</v>
      </c>
      <c r="BF45" s="424"/>
      <c r="BG45" s="430">
        <v>0.14000000000000001</v>
      </c>
      <c r="BH45" s="424">
        <f t="shared" si="695"/>
        <v>168.00000000000003</v>
      </c>
      <c r="BI45" s="433">
        <f t="shared" ref="BI45:BI48" si="764">BI44</f>
        <v>1</v>
      </c>
      <c r="BJ45" s="424">
        <f t="shared" si="696"/>
        <v>168.00000000000003</v>
      </c>
      <c r="BK45" s="423">
        <f>BK44</f>
        <v>53</v>
      </c>
      <c r="BL45" s="424">
        <f t="shared" si="697"/>
        <v>8904.0000000000018</v>
      </c>
      <c r="BM45" s="431">
        <f>'Parameters and Summary'!E84</f>
        <v>0.6</v>
      </c>
      <c r="BN45" s="424">
        <f t="shared" si="623"/>
        <v>5342.4000000000005</v>
      </c>
      <c r="BO45" s="424">
        <f t="shared" ref="BO45:BP48" si="765">BO44</f>
        <v>7</v>
      </c>
      <c r="BP45" s="424">
        <f t="shared" si="765"/>
        <v>551.25</v>
      </c>
      <c r="BQ45" s="424">
        <f t="shared" si="624"/>
        <v>20614986.000000004</v>
      </c>
      <c r="BR45" s="423">
        <v>6</v>
      </c>
      <c r="BS45" s="424">
        <f t="shared" si="698"/>
        <v>7</v>
      </c>
      <c r="BT45" s="432">
        <f t="shared" si="699"/>
        <v>32054.400000000001</v>
      </c>
      <c r="BU45" s="424">
        <f t="shared" si="625"/>
        <v>123689916</v>
      </c>
      <c r="BV45" s="423">
        <v>24</v>
      </c>
      <c r="BW45" s="424">
        <f t="shared" si="700"/>
        <v>7</v>
      </c>
      <c r="BX45" s="432">
        <f t="shared" si="626"/>
        <v>897523.20000000007</v>
      </c>
      <c r="BY45" s="424">
        <f t="shared" si="627"/>
        <v>494759664.00000006</v>
      </c>
      <c r="BZ45" s="423">
        <f t="shared" si="628"/>
        <v>288</v>
      </c>
      <c r="CA45" s="424">
        <f t="shared" si="701"/>
        <v>7</v>
      </c>
      <c r="CB45" s="432">
        <f t="shared" si="702"/>
        <v>10770278.400000002</v>
      </c>
      <c r="CC45" s="424">
        <f t="shared" si="629"/>
        <v>5937115968.000001</v>
      </c>
      <c r="CE45" s="424"/>
      <c r="CF45" s="430">
        <v>0.14000000000000001</v>
      </c>
      <c r="CG45" s="424">
        <f t="shared" si="703"/>
        <v>224.00000000000003</v>
      </c>
      <c r="CH45" s="433">
        <f t="shared" ref="CH45:CH48" si="766">CH44</f>
        <v>1</v>
      </c>
      <c r="CI45" s="424">
        <f t="shared" si="704"/>
        <v>224.00000000000003</v>
      </c>
      <c r="CJ45" s="423">
        <f>CJ44</f>
        <v>53</v>
      </c>
      <c r="CK45" s="424">
        <f t="shared" si="705"/>
        <v>11872.000000000002</v>
      </c>
      <c r="CL45" s="431">
        <f>'Parameters and Summary'!E84</f>
        <v>0.6</v>
      </c>
      <c r="CM45" s="424">
        <f t="shared" si="630"/>
        <v>7123.2000000000007</v>
      </c>
      <c r="CN45" s="424">
        <f t="shared" ref="CN45:CO48" si="767">CN44</f>
        <v>7</v>
      </c>
      <c r="CO45" s="424">
        <f t="shared" si="767"/>
        <v>578.8125</v>
      </c>
      <c r="CP45" s="424">
        <f t="shared" si="631"/>
        <v>28860980.400000006</v>
      </c>
      <c r="CQ45" s="423">
        <v>6</v>
      </c>
      <c r="CR45" s="424">
        <f t="shared" si="706"/>
        <v>7</v>
      </c>
      <c r="CS45" s="432">
        <f t="shared" si="707"/>
        <v>42739.200000000004</v>
      </c>
      <c r="CT45" s="424">
        <f t="shared" si="632"/>
        <v>173165882.40000004</v>
      </c>
      <c r="CU45" s="423">
        <v>24</v>
      </c>
      <c r="CV45" s="424">
        <f t="shared" si="708"/>
        <v>7</v>
      </c>
      <c r="CW45" s="432">
        <f t="shared" si="633"/>
        <v>1196697.6000000001</v>
      </c>
      <c r="CX45" s="424">
        <f t="shared" si="634"/>
        <v>692663529.60000002</v>
      </c>
      <c r="CY45" s="423">
        <f t="shared" si="635"/>
        <v>288</v>
      </c>
      <c r="CZ45" s="424">
        <f t="shared" si="709"/>
        <v>7</v>
      </c>
      <c r="DA45" s="432">
        <f t="shared" si="710"/>
        <v>14360371.200000001</v>
      </c>
      <c r="DB45" s="424">
        <f t="shared" si="636"/>
        <v>8311962355.2000008</v>
      </c>
      <c r="DD45" s="424"/>
      <c r="DE45" s="430">
        <v>0.14000000000000001</v>
      </c>
      <c r="DF45" s="424">
        <f t="shared" si="711"/>
        <v>280</v>
      </c>
      <c r="DG45" s="433">
        <f t="shared" ref="DG45:DG48" si="768">DG44</f>
        <v>1</v>
      </c>
      <c r="DH45" s="424">
        <f t="shared" si="712"/>
        <v>280</v>
      </c>
      <c r="DI45" s="423">
        <f>DI44</f>
        <v>53</v>
      </c>
      <c r="DJ45" s="424">
        <f t="shared" si="713"/>
        <v>14840</v>
      </c>
      <c r="DK45" s="431">
        <f>'Parameters and Summary'!E84</f>
        <v>0.6</v>
      </c>
      <c r="DL45" s="424">
        <f t="shared" si="637"/>
        <v>8904</v>
      </c>
      <c r="DM45" s="424">
        <f t="shared" ref="DM45:DN48" si="769">DM44</f>
        <v>7</v>
      </c>
      <c r="DN45" s="424">
        <f t="shared" si="769"/>
        <v>607.75312500000007</v>
      </c>
      <c r="DO45" s="424">
        <f t="shared" si="638"/>
        <v>37880036.774999999</v>
      </c>
      <c r="DP45" s="423">
        <v>6</v>
      </c>
      <c r="DQ45" s="424">
        <f t="shared" si="714"/>
        <v>7</v>
      </c>
      <c r="DR45" s="432">
        <f t="shared" si="715"/>
        <v>53424</v>
      </c>
      <c r="DS45" s="424">
        <f t="shared" si="639"/>
        <v>227280220.65000004</v>
      </c>
      <c r="DT45" s="423">
        <v>24</v>
      </c>
      <c r="DU45" s="424">
        <f t="shared" si="716"/>
        <v>7</v>
      </c>
      <c r="DV45" s="432">
        <f t="shared" si="640"/>
        <v>1495872</v>
      </c>
      <c r="DW45" s="424">
        <f t="shared" si="641"/>
        <v>909120882.60000014</v>
      </c>
      <c r="DX45" s="423">
        <f t="shared" si="642"/>
        <v>288</v>
      </c>
      <c r="DY45" s="424">
        <f t="shared" si="717"/>
        <v>7</v>
      </c>
      <c r="DZ45" s="432">
        <f t="shared" si="718"/>
        <v>17950464</v>
      </c>
      <c r="EA45" s="424">
        <f t="shared" si="643"/>
        <v>10909450591.200001</v>
      </c>
      <c r="EC45" s="424"/>
      <c r="ED45" s="430">
        <v>0.14000000000000001</v>
      </c>
      <c r="EE45" s="424">
        <f t="shared" si="719"/>
        <v>280</v>
      </c>
      <c r="EF45" s="433">
        <f t="shared" ref="EF45:EF48" si="770">EF44</f>
        <v>1</v>
      </c>
      <c r="EG45" s="424">
        <f t="shared" si="720"/>
        <v>280</v>
      </c>
      <c r="EH45" s="423">
        <f>EH44</f>
        <v>53</v>
      </c>
      <c r="EI45" s="424">
        <f t="shared" si="721"/>
        <v>14840</v>
      </c>
      <c r="EJ45" s="431">
        <f>'Parameters and Summary'!E84</f>
        <v>0.6</v>
      </c>
      <c r="EK45" s="424">
        <f t="shared" si="644"/>
        <v>8904</v>
      </c>
      <c r="EL45" s="424">
        <f t="shared" ref="EL45:EM48" si="771">EL44</f>
        <v>7</v>
      </c>
      <c r="EM45" s="424">
        <f t="shared" si="771"/>
        <v>638.14078125000015</v>
      </c>
      <c r="EN45" s="424">
        <f t="shared" si="645"/>
        <v>39774038.613750011</v>
      </c>
      <c r="EO45" s="423">
        <v>6</v>
      </c>
      <c r="EP45" s="424">
        <f t="shared" si="722"/>
        <v>7</v>
      </c>
      <c r="EQ45" s="432">
        <f t="shared" si="723"/>
        <v>53424</v>
      </c>
      <c r="ER45" s="424">
        <f t="shared" si="646"/>
        <v>238644231.68250006</v>
      </c>
      <c r="ES45" s="423">
        <v>24</v>
      </c>
      <c r="ET45" s="424">
        <f t="shared" si="724"/>
        <v>7</v>
      </c>
      <c r="EU45" s="432">
        <f t="shared" si="647"/>
        <v>1495872</v>
      </c>
      <c r="EV45" s="424">
        <f t="shared" si="648"/>
        <v>954576926.73000026</v>
      </c>
      <c r="EW45" s="423">
        <f t="shared" si="649"/>
        <v>288</v>
      </c>
      <c r="EX45" s="424">
        <f t="shared" si="725"/>
        <v>7</v>
      </c>
      <c r="EY45" s="432">
        <f t="shared" si="726"/>
        <v>17950464</v>
      </c>
      <c r="EZ45" s="424">
        <f t="shared" si="650"/>
        <v>11454923120.760002</v>
      </c>
      <c r="FB45" s="424"/>
      <c r="FC45" s="430">
        <v>0.14000000000000001</v>
      </c>
      <c r="FD45" s="424">
        <f t="shared" si="727"/>
        <v>280</v>
      </c>
      <c r="FE45" s="433">
        <f t="shared" ref="FE45:FE48" si="772">FE44</f>
        <v>1</v>
      </c>
      <c r="FF45" s="424">
        <f t="shared" si="728"/>
        <v>280</v>
      </c>
      <c r="FG45" s="423">
        <f>FG44</f>
        <v>53</v>
      </c>
      <c r="FH45" s="424">
        <f t="shared" si="729"/>
        <v>14840</v>
      </c>
      <c r="FI45" s="431">
        <f>'Parameters and Summary'!E84</f>
        <v>0.6</v>
      </c>
      <c r="FJ45" s="424">
        <f t="shared" si="651"/>
        <v>8904</v>
      </c>
      <c r="FK45" s="424">
        <f t="shared" ref="FK45:FL48" si="773">FK44</f>
        <v>7</v>
      </c>
      <c r="FL45" s="424">
        <f t="shared" si="773"/>
        <v>670.04782031250022</v>
      </c>
      <c r="FM45" s="424">
        <f t="shared" si="652"/>
        <v>41762740.544437513</v>
      </c>
      <c r="FN45" s="423">
        <v>6</v>
      </c>
      <c r="FO45" s="424">
        <f t="shared" si="730"/>
        <v>7</v>
      </c>
      <c r="FP45" s="432">
        <f t="shared" si="731"/>
        <v>53424</v>
      </c>
      <c r="FQ45" s="424">
        <f t="shared" si="653"/>
        <v>250576443.26662511</v>
      </c>
      <c r="FR45" s="423">
        <v>24</v>
      </c>
      <c r="FS45" s="424">
        <f t="shared" si="732"/>
        <v>7</v>
      </c>
      <c r="FT45" s="432">
        <f t="shared" si="654"/>
        <v>1495872</v>
      </c>
      <c r="FU45" s="424">
        <f t="shared" si="655"/>
        <v>1002305773.0665003</v>
      </c>
      <c r="FV45" s="423">
        <f t="shared" si="656"/>
        <v>288</v>
      </c>
      <c r="FW45" s="424">
        <f t="shared" si="733"/>
        <v>7</v>
      </c>
      <c r="FX45" s="432">
        <f t="shared" si="734"/>
        <v>17950464</v>
      </c>
      <c r="FY45" s="424">
        <f t="shared" si="657"/>
        <v>12027669276.798004</v>
      </c>
      <c r="GA45" s="424"/>
      <c r="GB45" s="430">
        <v>0.14000000000000001</v>
      </c>
      <c r="GC45" s="424">
        <f t="shared" si="735"/>
        <v>280</v>
      </c>
      <c r="GD45" s="433">
        <f t="shared" ref="GD45:GD48" si="774">GD44</f>
        <v>1</v>
      </c>
      <c r="GE45" s="424">
        <f t="shared" si="736"/>
        <v>280</v>
      </c>
      <c r="GF45" s="423">
        <f>GF44</f>
        <v>53</v>
      </c>
      <c r="GG45" s="424">
        <f t="shared" si="737"/>
        <v>14840</v>
      </c>
      <c r="GH45" s="431">
        <f>'Parameters and Summary'!E84</f>
        <v>0.6</v>
      </c>
      <c r="GI45" s="424">
        <f t="shared" si="658"/>
        <v>8904</v>
      </c>
      <c r="GJ45" s="424">
        <f t="shared" ref="GJ45:GK48" si="775">GJ44</f>
        <v>7</v>
      </c>
      <c r="GK45" s="424">
        <f t="shared" si="775"/>
        <v>703.55021132812522</v>
      </c>
      <c r="GL45" s="424">
        <f t="shared" si="659"/>
        <v>43850877.571659386</v>
      </c>
      <c r="GM45" s="423">
        <v>6</v>
      </c>
      <c r="GN45" s="424">
        <f t="shared" si="738"/>
        <v>7</v>
      </c>
      <c r="GO45" s="432">
        <f t="shared" si="739"/>
        <v>53424</v>
      </c>
      <c r="GP45" s="424">
        <f t="shared" si="660"/>
        <v>263105265.42995632</v>
      </c>
      <c r="GQ45" s="423">
        <v>24</v>
      </c>
      <c r="GR45" s="424">
        <f t="shared" si="740"/>
        <v>7</v>
      </c>
      <c r="GS45" s="432">
        <f t="shared" si="661"/>
        <v>1495872</v>
      </c>
      <c r="GT45" s="424">
        <f t="shared" si="662"/>
        <v>1052421061.7198253</v>
      </c>
      <c r="GU45" s="423">
        <f t="shared" si="663"/>
        <v>288</v>
      </c>
      <c r="GV45" s="424">
        <f t="shared" si="741"/>
        <v>7</v>
      </c>
      <c r="GW45" s="432">
        <f t="shared" si="742"/>
        <v>17950464</v>
      </c>
      <c r="GX45" s="424">
        <f t="shared" si="664"/>
        <v>12629052740.637903</v>
      </c>
      <c r="GZ45" s="424"/>
      <c r="HA45" s="430">
        <v>0.14000000000000001</v>
      </c>
      <c r="HB45" s="424">
        <f t="shared" si="743"/>
        <v>280</v>
      </c>
      <c r="HC45" s="433">
        <f t="shared" ref="HC45:HC48" si="776">HC44</f>
        <v>1</v>
      </c>
      <c r="HD45" s="424">
        <f t="shared" si="744"/>
        <v>280</v>
      </c>
      <c r="HE45" s="423">
        <f>HE44</f>
        <v>53</v>
      </c>
      <c r="HF45" s="424">
        <f t="shared" si="745"/>
        <v>14840</v>
      </c>
      <c r="HG45" s="431">
        <f>'Parameters and Summary'!E84</f>
        <v>0.6</v>
      </c>
      <c r="HH45" s="424">
        <f t="shared" si="665"/>
        <v>8904</v>
      </c>
      <c r="HI45" s="424">
        <f t="shared" ref="HI45:HJ48" si="777">HI44</f>
        <v>7</v>
      </c>
      <c r="HJ45" s="424">
        <f t="shared" si="777"/>
        <v>738.72772189453156</v>
      </c>
      <c r="HK45" s="424">
        <f t="shared" si="666"/>
        <v>46043421.450242363</v>
      </c>
      <c r="HL45" s="423">
        <v>6</v>
      </c>
      <c r="HM45" s="424">
        <f t="shared" si="746"/>
        <v>7</v>
      </c>
      <c r="HN45" s="432">
        <f t="shared" si="747"/>
        <v>53424</v>
      </c>
      <c r="HO45" s="424">
        <f t="shared" si="667"/>
        <v>276260528.70145416</v>
      </c>
      <c r="HP45" s="423">
        <v>24</v>
      </c>
      <c r="HQ45" s="424">
        <f t="shared" si="748"/>
        <v>7</v>
      </c>
      <c r="HR45" s="432">
        <f t="shared" si="668"/>
        <v>1495872</v>
      </c>
      <c r="HS45" s="424">
        <f t="shared" si="669"/>
        <v>1105042114.8058167</v>
      </c>
      <c r="HT45" s="423">
        <f t="shared" si="670"/>
        <v>288</v>
      </c>
      <c r="HU45" s="424">
        <f t="shared" si="749"/>
        <v>7</v>
      </c>
      <c r="HV45" s="432">
        <f t="shared" si="750"/>
        <v>17950464</v>
      </c>
      <c r="HW45" s="424">
        <f t="shared" si="671"/>
        <v>13260505377.6698</v>
      </c>
      <c r="HY45" s="424"/>
      <c r="HZ45" s="430">
        <v>0.14000000000000001</v>
      </c>
      <c r="IA45" s="424">
        <f t="shared" si="751"/>
        <v>280</v>
      </c>
      <c r="IB45" s="433">
        <f t="shared" ref="IB45:IB48" si="778">IB44</f>
        <v>1</v>
      </c>
      <c r="IC45" s="424">
        <f t="shared" si="752"/>
        <v>280</v>
      </c>
      <c r="ID45" s="423">
        <f>ID44</f>
        <v>53</v>
      </c>
      <c r="IE45" s="424">
        <f t="shared" si="753"/>
        <v>14840</v>
      </c>
      <c r="IF45" s="431">
        <f>'Parameters and Summary'!E84</f>
        <v>0.6</v>
      </c>
      <c r="IG45" s="424">
        <f t="shared" si="672"/>
        <v>8904</v>
      </c>
      <c r="IH45" s="424">
        <f t="shared" ref="IH45:II48" si="779">IH44</f>
        <v>7</v>
      </c>
      <c r="II45" s="424">
        <f t="shared" si="779"/>
        <v>775.66410798925813</v>
      </c>
      <c r="IJ45" s="424">
        <f t="shared" si="673"/>
        <v>48345592.522754483</v>
      </c>
      <c r="IK45" s="423">
        <v>6</v>
      </c>
      <c r="IL45" s="424">
        <f t="shared" si="754"/>
        <v>7</v>
      </c>
      <c r="IM45" s="432">
        <f t="shared" si="755"/>
        <v>53424</v>
      </c>
      <c r="IN45" s="424">
        <f t="shared" si="674"/>
        <v>290073555.13652688</v>
      </c>
      <c r="IO45" s="423">
        <v>24</v>
      </c>
      <c r="IP45" s="424">
        <f t="shared" si="756"/>
        <v>7</v>
      </c>
      <c r="IQ45" s="432">
        <f t="shared" si="675"/>
        <v>1495872</v>
      </c>
      <c r="IR45" s="424">
        <f t="shared" si="676"/>
        <v>1160294220.5461075</v>
      </c>
      <c r="IS45" s="423">
        <f t="shared" si="677"/>
        <v>288</v>
      </c>
      <c r="IT45" s="424">
        <f t="shared" si="757"/>
        <v>7</v>
      </c>
      <c r="IU45" s="432">
        <f t="shared" si="758"/>
        <v>17950464</v>
      </c>
      <c r="IV45" s="424">
        <f t="shared" si="678"/>
        <v>13923530646.553291</v>
      </c>
    </row>
    <row r="46" spans="1:256" x14ac:dyDescent="0.25">
      <c r="B46" s="422"/>
      <c r="C46" s="422"/>
      <c r="D46" s="422"/>
      <c r="E46" s="419" t="s">
        <v>146</v>
      </c>
      <c r="F46" s="423"/>
      <c r="G46" s="423"/>
      <c r="H46" s="424"/>
      <c r="I46" s="430">
        <v>0.17499999999999999</v>
      </c>
      <c r="J46" s="424">
        <f t="shared" si="679"/>
        <v>70</v>
      </c>
      <c r="K46" s="433">
        <f t="shared" si="759"/>
        <v>1</v>
      </c>
      <c r="L46" s="424">
        <f t="shared" si="680"/>
        <v>70</v>
      </c>
      <c r="M46" s="423">
        <f t="shared" ref="M46:M48" si="780">M45</f>
        <v>37</v>
      </c>
      <c r="N46" s="424">
        <f t="shared" si="681"/>
        <v>2590</v>
      </c>
      <c r="O46" s="431">
        <f>'Parameters and Summary'!E85</f>
        <v>0.72</v>
      </c>
      <c r="P46" s="424">
        <f t="shared" si="609"/>
        <v>1864.8</v>
      </c>
      <c r="Q46" s="424">
        <f t="shared" si="760"/>
        <v>7</v>
      </c>
      <c r="R46" s="424">
        <f t="shared" si="761"/>
        <v>500</v>
      </c>
      <c r="S46" s="424">
        <f t="shared" si="610"/>
        <v>6526800</v>
      </c>
      <c r="T46" s="423">
        <v>6</v>
      </c>
      <c r="U46" s="424">
        <f t="shared" si="682"/>
        <v>7</v>
      </c>
      <c r="V46" s="432">
        <f t="shared" si="683"/>
        <v>11188.8</v>
      </c>
      <c r="W46" s="424">
        <f t="shared" si="611"/>
        <v>39160800</v>
      </c>
      <c r="X46" s="423">
        <v>24</v>
      </c>
      <c r="Y46" s="424">
        <f t="shared" si="684"/>
        <v>7</v>
      </c>
      <c r="Z46" s="432">
        <f t="shared" si="612"/>
        <v>313286.39999999997</v>
      </c>
      <c r="AA46" s="424">
        <f t="shared" si="613"/>
        <v>156643199.99999997</v>
      </c>
      <c r="AB46" s="423">
        <f t="shared" si="614"/>
        <v>288</v>
      </c>
      <c r="AC46" s="424">
        <f t="shared" si="685"/>
        <v>7</v>
      </c>
      <c r="AD46" s="432">
        <f t="shared" si="686"/>
        <v>3759436.8000000003</v>
      </c>
      <c r="AE46" s="424">
        <f t="shared" si="615"/>
        <v>1879718400.0000002</v>
      </c>
      <c r="AG46" s="424"/>
      <c r="AH46" s="430">
        <v>0.17499999999999999</v>
      </c>
      <c r="AI46" s="424">
        <f t="shared" si="687"/>
        <v>140</v>
      </c>
      <c r="AJ46" s="433">
        <f t="shared" si="762"/>
        <v>1</v>
      </c>
      <c r="AK46" s="424">
        <f t="shared" si="688"/>
        <v>140</v>
      </c>
      <c r="AL46" s="423">
        <f t="shared" ref="AL46:AL48" si="781">AL45</f>
        <v>37</v>
      </c>
      <c r="AM46" s="424">
        <f t="shared" si="689"/>
        <v>5180</v>
      </c>
      <c r="AN46" s="431">
        <f>'Parameters and Summary'!E85</f>
        <v>0.72</v>
      </c>
      <c r="AO46" s="424">
        <f t="shared" si="616"/>
        <v>3729.6</v>
      </c>
      <c r="AP46" s="424">
        <f t="shared" si="763"/>
        <v>7</v>
      </c>
      <c r="AQ46" s="424">
        <f t="shared" si="763"/>
        <v>525</v>
      </c>
      <c r="AR46" s="424">
        <f t="shared" si="617"/>
        <v>13706280</v>
      </c>
      <c r="AS46" s="423">
        <v>6</v>
      </c>
      <c r="AT46" s="424">
        <f t="shared" si="690"/>
        <v>7</v>
      </c>
      <c r="AU46" s="432">
        <f t="shared" si="691"/>
        <v>22377.599999999999</v>
      </c>
      <c r="AV46" s="424">
        <f t="shared" si="618"/>
        <v>82237680</v>
      </c>
      <c r="AW46" s="423">
        <v>24</v>
      </c>
      <c r="AX46" s="424">
        <f t="shared" si="692"/>
        <v>7</v>
      </c>
      <c r="AY46" s="432">
        <f t="shared" si="619"/>
        <v>626572.79999999993</v>
      </c>
      <c r="AZ46" s="424">
        <f t="shared" si="620"/>
        <v>328950719.99999994</v>
      </c>
      <c r="BA46" s="423">
        <f t="shared" si="621"/>
        <v>288</v>
      </c>
      <c r="BB46" s="424">
        <f t="shared" si="693"/>
        <v>7</v>
      </c>
      <c r="BC46" s="432">
        <f t="shared" si="694"/>
        <v>7518873.6000000006</v>
      </c>
      <c r="BD46" s="424">
        <f t="shared" si="622"/>
        <v>3947408640.0000005</v>
      </c>
      <c r="BF46" s="424"/>
      <c r="BG46" s="430">
        <v>0.17499999999999999</v>
      </c>
      <c r="BH46" s="424">
        <f t="shared" si="695"/>
        <v>210</v>
      </c>
      <c r="BI46" s="433">
        <f t="shared" si="764"/>
        <v>1</v>
      </c>
      <c r="BJ46" s="424">
        <f t="shared" si="696"/>
        <v>210</v>
      </c>
      <c r="BK46" s="423">
        <f t="shared" ref="BK46:BK48" si="782">BK45</f>
        <v>53</v>
      </c>
      <c r="BL46" s="424">
        <f t="shared" si="697"/>
        <v>11130</v>
      </c>
      <c r="BM46" s="431">
        <f>'Parameters and Summary'!E85</f>
        <v>0.72</v>
      </c>
      <c r="BN46" s="424">
        <f t="shared" si="623"/>
        <v>8013.5999999999995</v>
      </c>
      <c r="BO46" s="424">
        <f t="shared" si="765"/>
        <v>7</v>
      </c>
      <c r="BP46" s="424">
        <f t="shared" si="765"/>
        <v>551.25</v>
      </c>
      <c r="BQ46" s="424">
        <f t="shared" si="624"/>
        <v>30922479</v>
      </c>
      <c r="BR46" s="423">
        <v>6</v>
      </c>
      <c r="BS46" s="424">
        <f t="shared" si="698"/>
        <v>7</v>
      </c>
      <c r="BT46" s="432">
        <f t="shared" si="699"/>
        <v>48081.599999999999</v>
      </c>
      <c r="BU46" s="424">
        <f t="shared" si="625"/>
        <v>185534874</v>
      </c>
      <c r="BV46" s="423">
        <v>24</v>
      </c>
      <c r="BW46" s="424">
        <f t="shared" si="700"/>
        <v>7</v>
      </c>
      <c r="BX46" s="432">
        <f t="shared" si="626"/>
        <v>1346284.8</v>
      </c>
      <c r="BY46" s="424">
        <f t="shared" si="627"/>
        <v>742139496</v>
      </c>
      <c r="BZ46" s="423">
        <f t="shared" si="628"/>
        <v>288</v>
      </c>
      <c r="CA46" s="424">
        <f t="shared" si="701"/>
        <v>7</v>
      </c>
      <c r="CB46" s="432">
        <f t="shared" si="702"/>
        <v>16155417.599999998</v>
      </c>
      <c r="CC46" s="424">
        <f t="shared" si="629"/>
        <v>8905673951.9999981</v>
      </c>
      <c r="CE46" s="424"/>
      <c r="CF46" s="430">
        <v>0.17499999999999999</v>
      </c>
      <c r="CG46" s="424">
        <f t="shared" si="703"/>
        <v>280</v>
      </c>
      <c r="CH46" s="433">
        <f t="shared" si="766"/>
        <v>1</v>
      </c>
      <c r="CI46" s="424">
        <f t="shared" si="704"/>
        <v>280</v>
      </c>
      <c r="CJ46" s="423">
        <f t="shared" ref="CJ46:CJ48" si="783">CJ45</f>
        <v>53</v>
      </c>
      <c r="CK46" s="424">
        <f t="shared" si="705"/>
        <v>14840</v>
      </c>
      <c r="CL46" s="431">
        <f>'Parameters and Summary'!E85</f>
        <v>0.72</v>
      </c>
      <c r="CM46" s="424">
        <f t="shared" si="630"/>
        <v>10684.8</v>
      </c>
      <c r="CN46" s="424">
        <f t="shared" si="767"/>
        <v>7</v>
      </c>
      <c r="CO46" s="424">
        <f t="shared" si="767"/>
        <v>578.8125</v>
      </c>
      <c r="CP46" s="424">
        <f t="shared" si="631"/>
        <v>43291470.600000001</v>
      </c>
      <c r="CQ46" s="423">
        <v>6</v>
      </c>
      <c r="CR46" s="424">
        <f t="shared" si="706"/>
        <v>7</v>
      </c>
      <c r="CS46" s="432">
        <f t="shared" si="707"/>
        <v>64108.799999999996</v>
      </c>
      <c r="CT46" s="424">
        <f t="shared" si="632"/>
        <v>259748823.59999996</v>
      </c>
      <c r="CU46" s="423">
        <v>24</v>
      </c>
      <c r="CV46" s="424">
        <f t="shared" si="708"/>
        <v>7</v>
      </c>
      <c r="CW46" s="432">
        <f t="shared" si="633"/>
        <v>1795046.3999999999</v>
      </c>
      <c r="CX46" s="424">
        <f t="shared" si="634"/>
        <v>1038995294.4</v>
      </c>
      <c r="CY46" s="423">
        <f t="shared" si="635"/>
        <v>288</v>
      </c>
      <c r="CZ46" s="424">
        <f t="shared" si="709"/>
        <v>7</v>
      </c>
      <c r="DA46" s="432">
        <f t="shared" si="710"/>
        <v>21540556.800000001</v>
      </c>
      <c r="DB46" s="424">
        <f t="shared" si="636"/>
        <v>12467943532.800001</v>
      </c>
      <c r="DD46" s="424"/>
      <c r="DE46" s="430">
        <v>0.17499999999999999</v>
      </c>
      <c r="DF46" s="424">
        <f t="shared" si="711"/>
        <v>350</v>
      </c>
      <c r="DG46" s="433">
        <f t="shared" si="768"/>
        <v>1</v>
      </c>
      <c r="DH46" s="424">
        <f t="shared" si="712"/>
        <v>350</v>
      </c>
      <c r="DI46" s="423">
        <f t="shared" ref="DI46:DI48" si="784">DI45</f>
        <v>53</v>
      </c>
      <c r="DJ46" s="424">
        <f t="shared" si="713"/>
        <v>18550</v>
      </c>
      <c r="DK46" s="431">
        <f>'Parameters and Summary'!E85</f>
        <v>0.72</v>
      </c>
      <c r="DL46" s="424">
        <f t="shared" si="637"/>
        <v>13356</v>
      </c>
      <c r="DM46" s="424">
        <f t="shared" si="769"/>
        <v>7</v>
      </c>
      <c r="DN46" s="424">
        <f t="shared" si="769"/>
        <v>607.75312500000007</v>
      </c>
      <c r="DO46" s="424">
        <f t="shared" si="638"/>
        <v>56820055.162500009</v>
      </c>
      <c r="DP46" s="423">
        <v>6</v>
      </c>
      <c r="DQ46" s="424">
        <f t="shared" si="714"/>
        <v>7</v>
      </c>
      <c r="DR46" s="432">
        <f t="shared" si="715"/>
        <v>80136</v>
      </c>
      <c r="DS46" s="424">
        <f t="shared" si="639"/>
        <v>340920330.97500002</v>
      </c>
      <c r="DT46" s="423">
        <v>24</v>
      </c>
      <c r="DU46" s="424">
        <f t="shared" si="716"/>
        <v>7</v>
      </c>
      <c r="DV46" s="432">
        <f t="shared" si="640"/>
        <v>2243808</v>
      </c>
      <c r="DW46" s="424">
        <f t="shared" si="641"/>
        <v>1363681323.9000001</v>
      </c>
      <c r="DX46" s="423">
        <f t="shared" si="642"/>
        <v>288</v>
      </c>
      <c r="DY46" s="424">
        <f t="shared" si="717"/>
        <v>7</v>
      </c>
      <c r="DZ46" s="432">
        <f t="shared" si="718"/>
        <v>26925696</v>
      </c>
      <c r="EA46" s="424">
        <f t="shared" si="643"/>
        <v>16364175886.800001</v>
      </c>
      <c r="EC46" s="424"/>
      <c r="ED46" s="430">
        <v>0.17499999999999999</v>
      </c>
      <c r="EE46" s="424">
        <f t="shared" si="719"/>
        <v>350</v>
      </c>
      <c r="EF46" s="433">
        <f t="shared" si="770"/>
        <v>1</v>
      </c>
      <c r="EG46" s="424">
        <f t="shared" si="720"/>
        <v>350</v>
      </c>
      <c r="EH46" s="423">
        <f t="shared" ref="EH46:EH48" si="785">EH45</f>
        <v>53</v>
      </c>
      <c r="EI46" s="424">
        <f t="shared" si="721"/>
        <v>18550</v>
      </c>
      <c r="EJ46" s="431">
        <f>'Parameters and Summary'!E85</f>
        <v>0.72</v>
      </c>
      <c r="EK46" s="424">
        <f t="shared" si="644"/>
        <v>13356</v>
      </c>
      <c r="EL46" s="424">
        <f t="shared" si="771"/>
        <v>7</v>
      </c>
      <c r="EM46" s="424">
        <f t="shared" si="771"/>
        <v>638.14078125000015</v>
      </c>
      <c r="EN46" s="424">
        <f t="shared" si="645"/>
        <v>59661057.920625016</v>
      </c>
      <c r="EO46" s="423">
        <v>6</v>
      </c>
      <c r="EP46" s="424">
        <f t="shared" si="722"/>
        <v>7</v>
      </c>
      <c r="EQ46" s="432">
        <f t="shared" si="723"/>
        <v>80136</v>
      </c>
      <c r="ER46" s="424">
        <f t="shared" si="646"/>
        <v>357966347.52375007</v>
      </c>
      <c r="ES46" s="423">
        <v>24</v>
      </c>
      <c r="ET46" s="424">
        <f t="shared" si="724"/>
        <v>7</v>
      </c>
      <c r="EU46" s="432">
        <f t="shared" si="647"/>
        <v>2243808</v>
      </c>
      <c r="EV46" s="424">
        <f t="shared" si="648"/>
        <v>1431865390.0950003</v>
      </c>
      <c r="EW46" s="423">
        <f t="shared" si="649"/>
        <v>288</v>
      </c>
      <c r="EX46" s="424">
        <f t="shared" si="725"/>
        <v>7</v>
      </c>
      <c r="EY46" s="432">
        <f t="shared" si="726"/>
        <v>26925696</v>
      </c>
      <c r="EZ46" s="424">
        <f t="shared" si="650"/>
        <v>17182384681.140003</v>
      </c>
      <c r="FB46" s="424"/>
      <c r="FC46" s="430">
        <v>0.17499999999999999</v>
      </c>
      <c r="FD46" s="424">
        <f t="shared" si="727"/>
        <v>350</v>
      </c>
      <c r="FE46" s="433">
        <f t="shared" si="772"/>
        <v>1</v>
      </c>
      <c r="FF46" s="424">
        <f t="shared" si="728"/>
        <v>350</v>
      </c>
      <c r="FG46" s="423">
        <f t="shared" ref="FG46:FG48" si="786">FG45</f>
        <v>53</v>
      </c>
      <c r="FH46" s="424">
        <f t="shared" si="729"/>
        <v>18550</v>
      </c>
      <c r="FI46" s="431">
        <f>'Parameters and Summary'!E85</f>
        <v>0.72</v>
      </c>
      <c r="FJ46" s="424">
        <f t="shared" si="651"/>
        <v>13356</v>
      </c>
      <c r="FK46" s="424">
        <f t="shared" si="773"/>
        <v>7</v>
      </c>
      <c r="FL46" s="424">
        <f t="shared" si="773"/>
        <v>670.04782031250022</v>
      </c>
      <c r="FM46" s="424">
        <f t="shared" si="652"/>
        <v>62644110.816656277</v>
      </c>
      <c r="FN46" s="423">
        <v>6</v>
      </c>
      <c r="FO46" s="424">
        <f t="shared" si="730"/>
        <v>7</v>
      </c>
      <c r="FP46" s="432">
        <f t="shared" si="731"/>
        <v>80136</v>
      </c>
      <c r="FQ46" s="424">
        <f t="shared" si="653"/>
        <v>375864664.89993763</v>
      </c>
      <c r="FR46" s="423">
        <v>24</v>
      </c>
      <c r="FS46" s="424">
        <f t="shared" si="732"/>
        <v>7</v>
      </c>
      <c r="FT46" s="432">
        <f t="shared" si="654"/>
        <v>2243808</v>
      </c>
      <c r="FU46" s="424">
        <f t="shared" si="655"/>
        <v>1503458659.5997505</v>
      </c>
      <c r="FV46" s="423">
        <f t="shared" si="656"/>
        <v>288</v>
      </c>
      <c r="FW46" s="424">
        <f t="shared" si="733"/>
        <v>7</v>
      </c>
      <c r="FX46" s="432">
        <f t="shared" si="734"/>
        <v>26925696</v>
      </c>
      <c r="FY46" s="424">
        <f t="shared" si="657"/>
        <v>18041503915.197006</v>
      </c>
      <c r="GA46" s="424"/>
      <c r="GB46" s="430">
        <v>0.17499999999999999</v>
      </c>
      <c r="GC46" s="424">
        <f t="shared" si="735"/>
        <v>350</v>
      </c>
      <c r="GD46" s="433">
        <f t="shared" si="774"/>
        <v>1</v>
      </c>
      <c r="GE46" s="424">
        <f t="shared" si="736"/>
        <v>350</v>
      </c>
      <c r="GF46" s="423">
        <f t="shared" ref="GF46:GF48" si="787">GF45</f>
        <v>53</v>
      </c>
      <c r="GG46" s="424">
        <f t="shared" si="737"/>
        <v>18550</v>
      </c>
      <c r="GH46" s="431">
        <f>'Parameters and Summary'!E85</f>
        <v>0.72</v>
      </c>
      <c r="GI46" s="424">
        <f t="shared" si="658"/>
        <v>13356</v>
      </c>
      <c r="GJ46" s="424">
        <f t="shared" si="775"/>
        <v>7</v>
      </c>
      <c r="GK46" s="424">
        <f t="shared" si="775"/>
        <v>703.55021132812522</v>
      </c>
      <c r="GL46" s="424">
        <f t="shared" si="659"/>
        <v>65776316.357489079</v>
      </c>
      <c r="GM46" s="423">
        <v>6</v>
      </c>
      <c r="GN46" s="424">
        <f t="shared" si="738"/>
        <v>7</v>
      </c>
      <c r="GO46" s="432">
        <f t="shared" si="739"/>
        <v>80136</v>
      </c>
      <c r="GP46" s="424">
        <f t="shared" si="660"/>
        <v>394657898.14493448</v>
      </c>
      <c r="GQ46" s="423">
        <v>24</v>
      </c>
      <c r="GR46" s="424">
        <f t="shared" si="740"/>
        <v>7</v>
      </c>
      <c r="GS46" s="432">
        <f t="shared" si="661"/>
        <v>2243808</v>
      </c>
      <c r="GT46" s="424">
        <f t="shared" si="662"/>
        <v>1578631592.5797379</v>
      </c>
      <c r="GU46" s="423">
        <f t="shared" si="663"/>
        <v>288</v>
      </c>
      <c r="GV46" s="424">
        <f t="shared" si="741"/>
        <v>7</v>
      </c>
      <c r="GW46" s="432">
        <f t="shared" si="742"/>
        <v>26925696</v>
      </c>
      <c r="GX46" s="424">
        <f t="shared" si="664"/>
        <v>18943579110.956856</v>
      </c>
      <c r="GZ46" s="424"/>
      <c r="HA46" s="430">
        <v>0.17499999999999999</v>
      </c>
      <c r="HB46" s="424">
        <f t="shared" si="743"/>
        <v>350</v>
      </c>
      <c r="HC46" s="433">
        <f t="shared" si="776"/>
        <v>1</v>
      </c>
      <c r="HD46" s="424">
        <f t="shared" si="744"/>
        <v>350</v>
      </c>
      <c r="HE46" s="423">
        <f t="shared" ref="HE46:HE48" si="788">HE45</f>
        <v>53</v>
      </c>
      <c r="HF46" s="424">
        <f t="shared" si="745"/>
        <v>18550</v>
      </c>
      <c r="HG46" s="431">
        <f>'Parameters and Summary'!E85</f>
        <v>0.72</v>
      </c>
      <c r="HH46" s="424">
        <f t="shared" si="665"/>
        <v>13356</v>
      </c>
      <c r="HI46" s="424">
        <f t="shared" si="777"/>
        <v>7</v>
      </c>
      <c r="HJ46" s="424">
        <f t="shared" si="777"/>
        <v>738.72772189453156</v>
      </c>
      <c r="HK46" s="424">
        <f t="shared" si="666"/>
        <v>69065132.175363541</v>
      </c>
      <c r="HL46" s="423">
        <v>6</v>
      </c>
      <c r="HM46" s="424">
        <f t="shared" si="746"/>
        <v>7</v>
      </c>
      <c r="HN46" s="432">
        <f t="shared" si="747"/>
        <v>80136</v>
      </c>
      <c r="HO46" s="424">
        <f t="shared" si="667"/>
        <v>414390793.05218124</v>
      </c>
      <c r="HP46" s="423">
        <v>24</v>
      </c>
      <c r="HQ46" s="424">
        <f t="shared" si="748"/>
        <v>7</v>
      </c>
      <c r="HR46" s="432">
        <f t="shared" si="668"/>
        <v>2243808</v>
      </c>
      <c r="HS46" s="424">
        <f t="shared" si="669"/>
        <v>1657563172.208725</v>
      </c>
      <c r="HT46" s="423">
        <f t="shared" si="670"/>
        <v>288</v>
      </c>
      <c r="HU46" s="424">
        <f t="shared" si="749"/>
        <v>7</v>
      </c>
      <c r="HV46" s="432">
        <f t="shared" si="750"/>
        <v>26925696</v>
      </c>
      <c r="HW46" s="424">
        <f t="shared" si="671"/>
        <v>19890758066.5047</v>
      </c>
      <c r="HY46" s="424"/>
      <c r="HZ46" s="430">
        <v>0.17499999999999999</v>
      </c>
      <c r="IA46" s="424">
        <f t="shared" si="751"/>
        <v>350</v>
      </c>
      <c r="IB46" s="433">
        <f t="shared" si="778"/>
        <v>1</v>
      </c>
      <c r="IC46" s="424">
        <f t="shared" si="752"/>
        <v>350</v>
      </c>
      <c r="ID46" s="423">
        <f t="shared" ref="ID46:ID48" si="789">ID45</f>
        <v>53</v>
      </c>
      <c r="IE46" s="424">
        <f t="shared" si="753"/>
        <v>18550</v>
      </c>
      <c r="IF46" s="431">
        <f>'Parameters and Summary'!E85</f>
        <v>0.72</v>
      </c>
      <c r="IG46" s="424">
        <f t="shared" si="672"/>
        <v>13356</v>
      </c>
      <c r="IH46" s="424">
        <f t="shared" si="779"/>
        <v>7</v>
      </c>
      <c r="II46" s="424">
        <f t="shared" si="779"/>
        <v>775.66410798925813</v>
      </c>
      <c r="IJ46" s="424">
        <f t="shared" si="673"/>
        <v>72518388.784131721</v>
      </c>
      <c r="IK46" s="423">
        <v>6</v>
      </c>
      <c r="IL46" s="424">
        <f t="shared" si="754"/>
        <v>7</v>
      </c>
      <c r="IM46" s="432">
        <f t="shared" si="755"/>
        <v>80136</v>
      </c>
      <c r="IN46" s="424">
        <f t="shared" si="674"/>
        <v>435110332.70479029</v>
      </c>
      <c r="IO46" s="423">
        <v>24</v>
      </c>
      <c r="IP46" s="424">
        <f t="shared" si="756"/>
        <v>7</v>
      </c>
      <c r="IQ46" s="432">
        <f t="shared" si="675"/>
        <v>2243808</v>
      </c>
      <c r="IR46" s="424">
        <f t="shared" si="676"/>
        <v>1740441330.8191614</v>
      </c>
      <c r="IS46" s="423">
        <f t="shared" si="677"/>
        <v>288</v>
      </c>
      <c r="IT46" s="424">
        <f t="shared" si="757"/>
        <v>7</v>
      </c>
      <c r="IU46" s="432">
        <f t="shared" si="758"/>
        <v>26925696</v>
      </c>
      <c r="IV46" s="424">
        <f t="shared" si="678"/>
        <v>20885295969.829937</v>
      </c>
    </row>
    <row r="47" spans="1:256" x14ac:dyDescent="0.25">
      <c r="B47" s="422"/>
      <c r="C47" s="422"/>
      <c r="D47" s="422"/>
      <c r="E47" s="419" t="s">
        <v>147</v>
      </c>
      <c r="F47" s="423"/>
      <c r="G47" s="423"/>
      <c r="H47" s="424"/>
      <c r="I47" s="430">
        <v>0.105</v>
      </c>
      <c r="J47" s="424">
        <f t="shared" si="679"/>
        <v>42</v>
      </c>
      <c r="K47" s="433">
        <f t="shared" si="759"/>
        <v>1</v>
      </c>
      <c r="L47" s="424">
        <f t="shared" si="680"/>
        <v>42</v>
      </c>
      <c r="M47" s="423">
        <f t="shared" si="780"/>
        <v>37</v>
      </c>
      <c r="N47" s="424">
        <f t="shared" si="681"/>
        <v>1554</v>
      </c>
      <c r="O47" s="431">
        <f>'Parameters and Summary'!E86</f>
        <v>0.67100000000000004</v>
      </c>
      <c r="P47" s="424">
        <f t="shared" si="609"/>
        <v>1042.7340000000002</v>
      </c>
      <c r="Q47" s="424">
        <f t="shared" si="760"/>
        <v>7</v>
      </c>
      <c r="R47" s="424">
        <f t="shared" si="761"/>
        <v>500</v>
      </c>
      <c r="S47" s="424">
        <f t="shared" si="610"/>
        <v>3649569.0000000005</v>
      </c>
      <c r="T47" s="423">
        <v>6</v>
      </c>
      <c r="U47" s="424">
        <f t="shared" si="682"/>
        <v>7</v>
      </c>
      <c r="V47" s="432">
        <f t="shared" si="683"/>
        <v>6256.4040000000005</v>
      </c>
      <c r="W47" s="424">
        <f t="shared" si="611"/>
        <v>21897414</v>
      </c>
      <c r="X47" s="423">
        <v>24</v>
      </c>
      <c r="Y47" s="424">
        <f t="shared" si="684"/>
        <v>7</v>
      </c>
      <c r="Z47" s="432">
        <f t="shared" si="612"/>
        <v>175179.31200000001</v>
      </c>
      <c r="AA47" s="424">
        <f t="shared" si="613"/>
        <v>87589656</v>
      </c>
      <c r="AB47" s="423">
        <f t="shared" si="614"/>
        <v>288</v>
      </c>
      <c r="AC47" s="424">
        <f t="shared" si="685"/>
        <v>7</v>
      </c>
      <c r="AD47" s="432">
        <f t="shared" si="686"/>
        <v>2102151.7440000004</v>
      </c>
      <c r="AE47" s="424">
        <f t="shared" si="615"/>
        <v>1051075872.0000002</v>
      </c>
      <c r="AG47" s="424"/>
      <c r="AH47" s="430">
        <v>0.105</v>
      </c>
      <c r="AI47" s="424">
        <f t="shared" si="687"/>
        <v>84</v>
      </c>
      <c r="AJ47" s="433">
        <f t="shared" si="762"/>
        <v>1</v>
      </c>
      <c r="AK47" s="424">
        <f t="shared" si="688"/>
        <v>84</v>
      </c>
      <c r="AL47" s="423">
        <f t="shared" si="781"/>
        <v>37</v>
      </c>
      <c r="AM47" s="424">
        <f t="shared" si="689"/>
        <v>3108</v>
      </c>
      <c r="AN47" s="431">
        <f>'Parameters and Summary'!E86</f>
        <v>0.67100000000000004</v>
      </c>
      <c r="AO47" s="424">
        <f t="shared" si="616"/>
        <v>2085.4680000000003</v>
      </c>
      <c r="AP47" s="424">
        <f t="shared" si="763"/>
        <v>7</v>
      </c>
      <c r="AQ47" s="424">
        <f t="shared" si="763"/>
        <v>525</v>
      </c>
      <c r="AR47" s="424">
        <f t="shared" si="617"/>
        <v>7664094.9000000013</v>
      </c>
      <c r="AS47" s="423">
        <v>6</v>
      </c>
      <c r="AT47" s="424">
        <f t="shared" si="690"/>
        <v>7</v>
      </c>
      <c r="AU47" s="432">
        <f t="shared" si="691"/>
        <v>12512.808000000001</v>
      </c>
      <c r="AV47" s="424">
        <f t="shared" si="618"/>
        <v>45984569.399999999</v>
      </c>
      <c r="AW47" s="423">
        <v>24</v>
      </c>
      <c r="AX47" s="424">
        <f t="shared" si="692"/>
        <v>7</v>
      </c>
      <c r="AY47" s="432">
        <f t="shared" si="619"/>
        <v>350358.62400000001</v>
      </c>
      <c r="AZ47" s="424">
        <f t="shared" si="620"/>
        <v>183938277.59999999</v>
      </c>
      <c r="BA47" s="423">
        <f t="shared" si="621"/>
        <v>288</v>
      </c>
      <c r="BB47" s="424">
        <f t="shared" si="693"/>
        <v>7</v>
      </c>
      <c r="BC47" s="432">
        <f t="shared" si="694"/>
        <v>4204303.4880000008</v>
      </c>
      <c r="BD47" s="424">
        <f t="shared" si="622"/>
        <v>2207259331.2000003</v>
      </c>
      <c r="BF47" s="424"/>
      <c r="BG47" s="430">
        <v>0.105</v>
      </c>
      <c r="BH47" s="424">
        <f t="shared" si="695"/>
        <v>126</v>
      </c>
      <c r="BI47" s="433">
        <f t="shared" si="764"/>
        <v>1</v>
      </c>
      <c r="BJ47" s="424">
        <f t="shared" si="696"/>
        <v>126</v>
      </c>
      <c r="BK47" s="423">
        <f t="shared" si="782"/>
        <v>53</v>
      </c>
      <c r="BL47" s="424">
        <f t="shared" si="697"/>
        <v>6678</v>
      </c>
      <c r="BM47" s="431">
        <f>'Parameters and Summary'!E86</f>
        <v>0.67100000000000004</v>
      </c>
      <c r="BN47" s="424">
        <f t="shared" si="623"/>
        <v>4480.9380000000001</v>
      </c>
      <c r="BO47" s="424">
        <f t="shared" si="765"/>
        <v>7</v>
      </c>
      <c r="BP47" s="424">
        <f t="shared" si="765"/>
        <v>551.25</v>
      </c>
      <c r="BQ47" s="424">
        <f t="shared" si="624"/>
        <v>17290819.5075</v>
      </c>
      <c r="BR47" s="423">
        <v>6</v>
      </c>
      <c r="BS47" s="424">
        <f t="shared" si="698"/>
        <v>7</v>
      </c>
      <c r="BT47" s="432">
        <f t="shared" si="699"/>
        <v>26885.628000000001</v>
      </c>
      <c r="BU47" s="424">
        <f t="shared" si="625"/>
        <v>103744917.045</v>
      </c>
      <c r="BV47" s="423">
        <v>24</v>
      </c>
      <c r="BW47" s="424">
        <f t="shared" si="700"/>
        <v>7</v>
      </c>
      <c r="BX47" s="432">
        <f t="shared" si="626"/>
        <v>752797.58400000003</v>
      </c>
      <c r="BY47" s="424">
        <f t="shared" si="627"/>
        <v>414979668.18000001</v>
      </c>
      <c r="BZ47" s="423">
        <f t="shared" si="628"/>
        <v>288</v>
      </c>
      <c r="CA47" s="424">
        <f t="shared" si="701"/>
        <v>7</v>
      </c>
      <c r="CB47" s="432">
        <f t="shared" si="702"/>
        <v>9033571.0080000013</v>
      </c>
      <c r="CC47" s="424">
        <f t="shared" si="629"/>
        <v>4979756018.1600008</v>
      </c>
      <c r="CE47" s="424"/>
      <c r="CF47" s="430">
        <v>0.105</v>
      </c>
      <c r="CG47" s="424">
        <f t="shared" si="703"/>
        <v>168</v>
      </c>
      <c r="CH47" s="433">
        <f t="shared" si="766"/>
        <v>1</v>
      </c>
      <c r="CI47" s="424">
        <f t="shared" si="704"/>
        <v>168</v>
      </c>
      <c r="CJ47" s="423">
        <f t="shared" si="783"/>
        <v>53</v>
      </c>
      <c r="CK47" s="424">
        <f t="shared" si="705"/>
        <v>8904</v>
      </c>
      <c r="CL47" s="431">
        <f>'Parameters and Summary'!E86</f>
        <v>0.67100000000000004</v>
      </c>
      <c r="CM47" s="424">
        <f t="shared" si="630"/>
        <v>5974.5840000000007</v>
      </c>
      <c r="CN47" s="424">
        <f t="shared" si="767"/>
        <v>7</v>
      </c>
      <c r="CO47" s="424">
        <f t="shared" si="767"/>
        <v>578.8125</v>
      </c>
      <c r="CP47" s="424">
        <f t="shared" si="631"/>
        <v>24207147.310500003</v>
      </c>
      <c r="CQ47" s="423">
        <v>6</v>
      </c>
      <c r="CR47" s="424">
        <f t="shared" si="706"/>
        <v>7</v>
      </c>
      <c r="CS47" s="432">
        <f t="shared" si="707"/>
        <v>35847.504000000001</v>
      </c>
      <c r="CT47" s="424">
        <f t="shared" si="632"/>
        <v>145242883.86300001</v>
      </c>
      <c r="CU47" s="423">
        <v>24</v>
      </c>
      <c r="CV47" s="424">
        <f t="shared" si="708"/>
        <v>7</v>
      </c>
      <c r="CW47" s="432">
        <f t="shared" si="633"/>
        <v>1003730.112</v>
      </c>
      <c r="CX47" s="424">
        <f t="shared" si="634"/>
        <v>580971535.45200002</v>
      </c>
      <c r="CY47" s="423">
        <f t="shared" si="635"/>
        <v>288</v>
      </c>
      <c r="CZ47" s="424">
        <f t="shared" si="709"/>
        <v>7</v>
      </c>
      <c r="DA47" s="432">
        <f t="shared" si="710"/>
        <v>12044761.344000002</v>
      </c>
      <c r="DB47" s="424">
        <f t="shared" si="636"/>
        <v>6971658425.4240017</v>
      </c>
      <c r="DD47" s="424"/>
      <c r="DE47" s="430">
        <v>0.105</v>
      </c>
      <c r="DF47" s="424">
        <f t="shared" si="711"/>
        <v>210</v>
      </c>
      <c r="DG47" s="433">
        <f t="shared" si="768"/>
        <v>1</v>
      </c>
      <c r="DH47" s="424">
        <f t="shared" si="712"/>
        <v>210</v>
      </c>
      <c r="DI47" s="423">
        <f t="shared" si="784"/>
        <v>53</v>
      </c>
      <c r="DJ47" s="424">
        <f t="shared" si="713"/>
        <v>11130</v>
      </c>
      <c r="DK47" s="431">
        <f>'Parameters and Summary'!E86</f>
        <v>0.67100000000000004</v>
      </c>
      <c r="DL47" s="424">
        <f t="shared" si="637"/>
        <v>7468.2300000000005</v>
      </c>
      <c r="DM47" s="424">
        <f t="shared" si="769"/>
        <v>7</v>
      </c>
      <c r="DN47" s="424">
        <f t="shared" si="769"/>
        <v>607.75312500000007</v>
      </c>
      <c r="DO47" s="424">
        <f t="shared" si="638"/>
        <v>31771880.845031258</v>
      </c>
      <c r="DP47" s="423">
        <v>6</v>
      </c>
      <c r="DQ47" s="424">
        <f t="shared" si="714"/>
        <v>7</v>
      </c>
      <c r="DR47" s="432">
        <f t="shared" si="715"/>
        <v>44809.380000000005</v>
      </c>
      <c r="DS47" s="424">
        <f t="shared" si="639"/>
        <v>190631285.07018754</v>
      </c>
      <c r="DT47" s="423">
        <v>24</v>
      </c>
      <c r="DU47" s="424">
        <f t="shared" si="716"/>
        <v>7</v>
      </c>
      <c r="DV47" s="432">
        <f t="shared" si="640"/>
        <v>1254662.6400000001</v>
      </c>
      <c r="DW47" s="424">
        <f t="shared" si="641"/>
        <v>762525140.28075016</v>
      </c>
      <c r="DX47" s="423">
        <f t="shared" si="642"/>
        <v>288</v>
      </c>
      <c r="DY47" s="424">
        <f t="shared" si="717"/>
        <v>7</v>
      </c>
      <c r="DZ47" s="432">
        <f t="shared" si="718"/>
        <v>15055951.680000002</v>
      </c>
      <c r="EA47" s="424">
        <f t="shared" si="643"/>
        <v>9150301683.3690014</v>
      </c>
      <c r="EC47" s="424"/>
      <c r="ED47" s="430">
        <v>0.105</v>
      </c>
      <c r="EE47" s="424">
        <f t="shared" si="719"/>
        <v>210</v>
      </c>
      <c r="EF47" s="433">
        <f t="shared" si="770"/>
        <v>1</v>
      </c>
      <c r="EG47" s="424">
        <f t="shared" si="720"/>
        <v>210</v>
      </c>
      <c r="EH47" s="423">
        <f t="shared" si="785"/>
        <v>53</v>
      </c>
      <c r="EI47" s="424">
        <f t="shared" si="721"/>
        <v>11130</v>
      </c>
      <c r="EJ47" s="431">
        <f>'Parameters and Summary'!E86</f>
        <v>0.67100000000000004</v>
      </c>
      <c r="EK47" s="424">
        <f t="shared" si="644"/>
        <v>7468.2300000000005</v>
      </c>
      <c r="EL47" s="424">
        <f t="shared" si="771"/>
        <v>7</v>
      </c>
      <c r="EM47" s="424">
        <f t="shared" si="771"/>
        <v>638.14078125000015</v>
      </c>
      <c r="EN47" s="424">
        <f t="shared" si="645"/>
        <v>33360474.887282822</v>
      </c>
      <c r="EO47" s="423">
        <v>6</v>
      </c>
      <c r="EP47" s="424">
        <f t="shared" si="722"/>
        <v>7</v>
      </c>
      <c r="EQ47" s="432">
        <f t="shared" si="723"/>
        <v>44809.380000000005</v>
      </c>
      <c r="ER47" s="424">
        <f t="shared" si="646"/>
        <v>200162849.32369694</v>
      </c>
      <c r="ES47" s="423">
        <v>24</v>
      </c>
      <c r="ET47" s="424">
        <f t="shared" si="724"/>
        <v>7</v>
      </c>
      <c r="EU47" s="432">
        <f t="shared" si="647"/>
        <v>1254662.6400000001</v>
      </c>
      <c r="EV47" s="424">
        <f t="shared" si="648"/>
        <v>800651397.29478776</v>
      </c>
      <c r="EW47" s="423">
        <f t="shared" si="649"/>
        <v>288</v>
      </c>
      <c r="EX47" s="424">
        <f t="shared" si="725"/>
        <v>7</v>
      </c>
      <c r="EY47" s="432">
        <f t="shared" si="726"/>
        <v>15055951.680000002</v>
      </c>
      <c r="EZ47" s="424">
        <f t="shared" si="650"/>
        <v>9607816767.5374527</v>
      </c>
      <c r="FB47" s="424"/>
      <c r="FC47" s="430">
        <v>0.105</v>
      </c>
      <c r="FD47" s="424">
        <f t="shared" si="727"/>
        <v>210</v>
      </c>
      <c r="FE47" s="433">
        <f t="shared" si="772"/>
        <v>1</v>
      </c>
      <c r="FF47" s="424">
        <f t="shared" si="728"/>
        <v>210</v>
      </c>
      <c r="FG47" s="423">
        <f t="shared" si="786"/>
        <v>53</v>
      </c>
      <c r="FH47" s="424">
        <f t="shared" si="729"/>
        <v>11130</v>
      </c>
      <c r="FI47" s="431">
        <f>'Parameters and Summary'!E86</f>
        <v>0.67100000000000004</v>
      </c>
      <c r="FJ47" s="424">
        <f t="shared" si="651"/>
        <v>7468.2300000000005</v>
      </c>
      <c r="FK47" s="424">
        <f t="shared" si="773"/>
        <v>7</v>
      </c>
      <c r="FL47" s="424">
        <f t="shared" si="773"/>
        <v>670.04782031250022</v>
      </c>
      <c r="FM47" s="424">
        <f t="shared" si="652"/>
        <v>35028498.631646961</v>
      </c>
      <c r="FN47" s="423">
        <v>6</v>
      </c>
      <c r="FO47" s="424">
        <f t="shared" si="730"/>
        <v>7</v>
      </c>
      <c r="FP47" s="432">
        <f t="shared" si="731"/>
        <v>44809.380000000005</v>
      </c>
      <c r="FQ47" s="424">
        <f t="shared" si="653"/>
        <v>210170991.78988183</v>
      </c>
      <c r="FR47" s="423">
        <v>24</v>
      </c>
      <c r="FS47" s="424">
        <f t="shared" si="732"/>
        <v>7</v>
      </c>
      <c r="FT47" s="432">
        <f t="shared" si="654"/>
        <v>1254662.6400000001</v>
      </c>
      <c r="FU47" s="424">
        <f t="shared" si="655"/>
        <v>840683967.15952718</v>
      </c>
      <c r="FV47" s="423">
        <f t="shared" si="656"/>
        <v>288</v>
      </c>
      <c r="FW47" s="424">
        <f t="shared" si="733"/>
        <v>7</v>
      </c>
      <c r="FX47" s="432">
        <f t="shared" si="734"/>
        <v>15055951.680000002</v>
      </c>
      <c r="FY47" s="424">
        <f t="shared" si="657"/>
        <v>10088207605.914328</v>
      </c>
      <c r="GA47" s="424"/>
      <c r="GB47" s="430">
        <v>0.105</v>
      </c>
      <c r="GC47" s="424">
        <f t="shared" si="735"/>
        <v>210</v>
      </c>
      <c r="GD47" s="433">
        <f t="shared" si="774"/>
        <v>1</v>
      </c>
      <c r="GE47" s="424">
        <f t="shared" si="736"/>
        <v>210</v>
      </c>
      <c r="GF47" s="423">
        <f t="shared" si="787"/>
        <v>53</v>
      </c>
      <c r="GG47" s="424">
        <f t="shared" si="737"/>
        <v>11130</v>
      </c>
      <c r="GH47" s="431">
        <f>'Parameters and Summary'!E86</f>
        <v>0.67100000000000004</v>
      </c>
      <c r="GI47" s="424">
        <f t="shared" si="658"/>
        <v>7468.2300000000005</v>
      </c>
      <c r="GJ47" s="424">
        <f t="shared" si="775"/>
        <v>7</v>
      </c>
      <c r="GK47" s="424">
        <f t="shared" si="775"/>
        <v>703.55021132812522</v>
      </c>
      <c r="GL47" s="424">
        <f t="shared" si="659"/>
        <v>36779923.563229315</v>
      </c>
      <c r="GM47" s="423">
        <v>6</v>
      </c>
      <c r="GN47" s="424">
        <f t="shared" si="738"/>
        <v>7</v>
      </c>
      <c r="GO47" s="432">
        <f t="shared" si="739"/>
        <v>44809.380000000005</v>
      </c>
      <c r="GP47" s="424">
        <f t="shared" si="660"/>
        <v>220679541.3793759</v>
      </c>
      <c r="GQ47" s="423">
        <v>24</v>
      </c>
      <c r="GR47" s="424">
        <f t="shared" si="740"/>
        <v>7</v>
      </c>
      <c r="GS47" s="432">
        <f t="shared" si="661"/>
        <v>1254662.6400000001</v>
      </c>
      <c r="GT47" s="424">
        <f t="shared" si="662"/>
        <v>882718165.51750362</v>
      </c>
      <c r="GU47" s="423">
        <f t="shared" si="663"/>
        <v>288</v>
      </c>
      <c r="GV47" s="424">
        <f t="shared" si="741"/>
        <v>7</v>
      </c>
      <c r="GW47" s="432">
        <f t="shared" si="742"/>
        <v>15055951.680000002</v>
      </c>
      <c r="GX47" s="424">
        <f t="shared" si="664"/>
        <v>10592617986.210043</v>
      </c>
      <c r="GZ47" s="424"/>
      <c r="HA47" s="430">
        <v>0.105</v>
      </c>
      <c r="HB47" s="424">
        <f t="shared" si="743"/>
        <v>210</v>
      </c>
      <c r="HC47" s="433">
        <f t="shared" si="776"/>
        <v>1</v>
      </c>
      <c r="HD47" s="424">
        <f t="shared" si="744"/>
        <v>210</v>
      </c>
      <c r="HE47" s="423">
        <f t="shared" si="788"/>
        <v>53</v>
      </c>
      <c r="HF47" s="424">
        <f t="shared" si="745"/>
        <v>11130</v>
      </c>
      <c r="HG47" s="431">
        <f>'Parameters and Summary'!E86</f>
        <v>0.67100000000000004</v>
      </c>
      <c r="HH47" s="424">
        <f t="shared" si="665"/>
        <v>7468.2300000000005</v>
      </c>
      <c r="HI47" s="424">
        <f t="shared" si="777"/>
        <v>7</v>
      </c>
      <c r="HJ47" s="424">
        <f t="shared" si="777"/>
        <v>738.72772189453156</v>
      </c>
      <c r="HK47" s="424">
        <f t="shared" si="666"/>
        <v>38618919.74139078</v>
      </c>
      <c r="HL47" s="423">
        <v>6</v>
      </c>
      <c r="HM47" s="424">
        <f t="shared" si="746"/>
        <v>7</v>
      </c>
      <c r="HN47" s="432">
        <f t="shared" si="747"/>
        <v>44809.380000000005</v>
      </c>
      <c r="HO47" s="424">
        <f t="shared" si="667"/>
        <v>231713518.44834474</v>
      </c>
      <c r="HP47" s="423">
        <v>24</v>
      </c>
      <c r="HQ47" s="424">
        <f t="shared" si="748"/>
        <v>7</v>
      </c>
      <c r="HR47" s="432">
        <f t="shared" si="668"/>
        <v>1254662.6400000001</v>
      </c>
      <c r="HS47" s="424">
        <f t="shared" si="669"/>
        <v>926854073.79337883</v>
      </c>
      <c r="HT47" s="423">
        <f t="shared" si="670"/>
        <v>288</v>
      </c>
      <c r="HU47" s="424">
        <f t="shared" si="749"/>
        <v>7</v>
      </c>
      <c r="HV47" s="432">
        <f t="shared" si="750"/>
        <v>15055951.680000002</v>
      </c>
      <c r="HW47" s="424">
        <f t="shared" si="671"/>
        <v>11122248885.520546</v>
      </c>
      <c r="HY47" s="424"/>
      <c r="HZ47" s="430">
        <v>0.105</v>
      </c>
      <c r="IA47" s="424">
        <f t="shared" si="751"/>
        <v>210</v>
      </c>
      <c r="IB47" s="433">
        <f t="shared" si="778"/>
        <v>1</v>
      </c>
      <c r="IC47" s="424">
        <f t="shared" si="752"/>
        <v>210</v>
      </c>
      <c r="ID47" s="423">
        <f t="shared" si="789"/>
        <v>53</v>
      </c>
      <c r="IE47" s="424">
        <f t="shared" si="753"/>
        <v>11130</v>
      </c>
      <c r="IF47" s="431">
        <f>'Parameters and Summary'!E86</f>
        <v>0.67100000000000004</v>
      </c>
      <c r="IG47" s="424">
        <f t="shared" si="672"/>
        <v>7468.2300000000005</v>
      </c>
      <c r="IH47" s="424">
        <f t="shared" si="779"/>
        <v>7</v>
      </c>
      <c r="II47" s="424">
        <f t="shared" si="779"/>
        <v>775.66410798925813</v>
      </c>
      <c r="IJ47" s="424">
        <f t="shared" si="673"/>
        <v>40549865.728460319</v>
      </c>
      <c r="IK47" s="423">
        <v>6</v>
      </c>
      <c r="IL47" s="424">
        <f t="shared" si="754"/>
        <v>7</v>
      </c>
      <c r="IM47" s="432">
        <f t="shared" si="755"/>
        <v>44809.380000000005</v>
      </c>
      <c r="IN47" s="424">
        <f t="shared" si="674"/>
        <v>243299194.37076196</v>
      </c>
      <c r="IO47" s="423">
        <v>24</v>
      </c>
      <c r="IP47" s="424">
        <f t="shared" si="756"/>
        <v>7</v>
      </c>
      <c r="IQ47" s="432">
        <f t="shared" si="675"/>
        <v>1254662.6400000001</v>
      </c>
      <c r="IR47" s="424">
        <f t="shared" si="676"/>
        <v>973196777.48304784</v>
      </c>
      <c r="IS47" s="423">
        <f t="shared" si="677"/>
        <v>288</v>
      </c>
      <c r="IT47" s="424">
        <f t="shared" si="757"/>
        <v>7</v>
      </c>
      <c r="IU47" s="432">
        <f t="shared" si="758"/>
        <v>15055951.680000002</v>
      </c>
      <c r="IV47" s="424">
        <f t="shared" si="678"/>
        <v>11678361329.796574</v>
      </c>
    </row>
    <row r="48" spans="1:256" x14ac:dyDescent="0.25">
      <c r="B48" s="422"/>
      <c r="C48" s="422"/>
      <c r="D48" s="422"/>
      <c r="E48" s="419" t="s">
        <v>148</v>
      </c>
      <c r="F48" s="423"/>
      <c r="G48" s="423"/>
      <c r="H48" s="424"/>
      <c r="I48" s="430">
        <v>7.0000000000000007E-2</v>
      </c>
      <c r="J48" s="424">
        <f t="shared" si="679"/>
        <v>28.000000000000004</v>
      </c>
      <c r="K48" s="433">
        <f t="shared" si="759"/>
        <v>1</v>
      </c>
      <c r="L48" s="424">
        <f t="shared" si="680"/>
        <v>28.000000000000004</v>
      </c>
      <c r="M48" s="423">
        <f t="shared" si="780"/>
        <v>37</v>
      </c>
      <c r="N48" s="424">
        <f t="shared" si="681"/>
        <v>1036.0000000000002</v>
      </c>
      <c r="O48" s="431">
        <f>'Parameters and Summary'!E87</f>
        <v>0.72</v>
      </c>
      <c r="P48" s="424">
        <f t="shared" si="609"/>
        <v>745.92000000000019</v>
      </c>
      <c r="Q48" s="424">
        <f t="shared" si="760"/>
        <v>7</v>
      </c>
      <c r="R48" s="424">
        <f t="shared" si="761"/>
        <v>500</v>
      </c>
      <c r="S48" s="424">
        <f t="shared" si="610"/>
        <v>2610720.0000000009</v>
      </c>
      <c r="T48" s="423">
        <v>6</v>
      </c>
      <c r="U48" s="424">
        <f t="shared" si="682"/>
        <v>7</v>
      </c>
      <c r="V48" s="432">
        <f t="shared" si="683"/>
        <v>4475.5200000000013</v>
      </c>
      <c r="W48" s="424">
        <f t="shared" si="611"/>
        <v>15664320.000000004</v>
      </c>
      <c r="X48" s="423">
        <v>24</v>
      </c>
      <c r="Y48" s="424">
        <f t="shared" si="684"/>
        <v>7</v>
      </c>
      <c r="Z48" s="432">
        <f t="shared" si="612"/>
        <v>125314.56000000004</v>
      </c>
      <c r="AA48" s="424">
        <f t="shared" si="613"/>
        <v>62657280.000000022</v>
      </c>
      <c r="AB48" s="423">
        <f t="shared" si="614"/>
        <v>288</v>
      </c>
      <c r="AC48" s="424">
        <f t="shared" si="685"/>
        <v>7</v>
      </c>
      <c r="AD48" s="432">
        <f t="shared" si="686"/>
        <v>1503774.7200000004</v>
      </c>
      <c r="AE48" s="424">
        <f t="shared" si="615"/>
        <v>751887360.00000024</v>
      </c>
      <c r="AG48" s="424"/>
      <c r="AH48" s="430">
        <v>7.0000000000000007E-2</v>
      </c>
      <c r="AI48" s="424">
        <f t="shared" si="687"/>
        <v>56.000000000000007</v>
      </c>
      <c r="AJ48" s="433">
        <f t="shared" si="762"/>
        <v>1</v>
      </c>
      <c r="AK48" s="424">
        <f t="shared" si="688"/>
        <v>56.000000000000007</v>
      </c>
      <c r="AL48" s="423">
        <f t="shared" si="781"/>
        <v>37</v>
      </c>
      <c r="AM48" s="424">
        <f t="shared" si="689"/>
        <v>2072.0000000000005</v>
      </c>
      <c r="AN48" s="431">
        <f>'Parameters and Summary'!E87</f>
        <v>0.72</v>
      </c>
      <c r="AO48" s="424">
        <f t="shared" si="616"/>
        <v>1491.8400000000004</v>
      </c>
      <c r="AP48" s="424">
        <f t="shared" si="763"/>
        <v>7</v>
      </c>
      <c r="AQ48" s="424">
        <f t="shared" si="763"/>
        <v>525</v>
      </c>
      <c r="AR48" s="424">
        <f t="shared" si="617"/>
        <v>5482512.0000000019</v>
      </c>
      <c r="AS48" s="423">
        <v>6</v>
      </c>
      <c r="AT48" s="424">
        <f t="shared" si="690"/>
        <v>7</v>
      </c>
      <c r="AU48" s="432">
        <f t="shared" si="691"/>
        <v>8951.0400000000027</v>
      </c>
      <c r="AV48" s="424">
        <f t="shared" si="618"/>
        <v>32895072.000000015</v>
      </c>
      <c r="AW48" s="423">
        <v>24</v>
      </c>
      <c r="AX48" s="424">
        <f t="shared" si="692"/>
        <v>7</v>
      </c>
      <c r="AY48" s="432">
        <f t="shared" si="619"/>
        <v>250629.12000000008</v>
      </c>
      <c r="AZ48" s="424">
        <f t="shared" si="620"/>
        <v>131580288.00000004</v>
      </c>
      <c r="BA48" s="423">
        <f t="shared" si="621"/>
        <v>288</v>
      </c>
      <c r="BB48" s="424">
        <f t="shared" si="693"/>
        <v>7</v>
      </c>
      <c r="BC48" s="432">
        <f t="shared" si="694"/>
        <v>3007549.4400000009</v>
      </c>
      <c r="BD48" s="424">
        <f t="shared" si="622"/>
        <v>1578963456.0000005</v>
      </c>
      <c r="BF48" s="424"/>
      <c r="BG48" s="430">
        <v>7.0000000000000007E-2</v>
      </c>
      <c r="BH48" s="424">
        <f t="shared" si="695"/>
        <v>84.000000000000014</v>
      </c>
      <c r="BI48" s="433">
        <f t="shared" si="764"/>
        <v>1</v>
      </c>
      <c r="BJ48" s="424">
        <f t="shared" si="696"/>
        <v>84.000000000000014</v>
      </c>
      <c r="BK48" s="423">
        <f t="shared" si="782"/>
        <v>53</v>
      </c>
      <c r="BL48" s="424">
        <f t="shared" si="697"/>
        <v>4452.0000000000009</v>
      </c>
      <c r="BM48" s="431">
        <f>'Parameters and Summary'!E87</f>
        <v>0.72</v>
      </c>
      <c r="BN48" s="424">
        <f t="shared" si="623"/>
        <v>3205.4400000000005</v>
      </c>
      <c r="BO48" s="424">
        <f t="shared" si="765"/>
        <v>7</v>
      </c>
      <c r="BP48" s="424">
        <f t="shared" si="765"/>
        <v>551.25</v>
      </c>
      <c r="BQ48" s="424">
        <f t="shared" si="624"/>
        <v>12368991.600000001</v>
      </c>
      <c r="BR48" s="423">
        <v>6</v>
      </c>
      <c r="BS48" s="424">
        <f t="shared" si="698"/>
        <v>7</v>
      </c>
      <c r="BT48" s="432">
        <f t="shared" si="699"/>
        <v>19232.640000000003</v>
      </c>
      <c r="BU48" s="424">
        <f t="shared" si="625"/>
        <v>74213949.600000024</v>
      </c>
      <c r="BV48" s="423">
        <v>24</v>
      </c>
      <c r="BW48" s="424">
        <f t="shared" si="700"/>
        <v>7</v>
      </c>
      <c r="BX48" s="432">
        <f t="shared" si="626"/>
        <v>538513.92000000004</v>
      </c>
      <c r="BY48" s="424">
        <f t="shared" si="627"/>
        <v>296855798.40000004</v>
      </c>
      <c r="BZ48" s="423">
        <f t="shared" si="628"/>
        <v>288</v>
      </c>
      <c r="CA48" s="424">
        <f t="shared" si="701"/>
        <v>7</v>
      </c>
      <c r="CB48" s="432">
        <f t="shared" si="702"/>
        <v>6462167.040000001</v>
      </c>
      <c r="CC48" s="424">
        <f t="shared" si="629"/>
        <v>3562269580.8000007</v>
      </c>
      <c r="CE48" s="424"/>
      <c r="CF48" s="430">
        <v>7.0000000000000007E-2</v>
      </c>
      <c r="CG48" s="424">
        <f t="shared" si="703"/>
        <v>112.00000000000001</v>
      </c>
      <c r="CH48" s="433">
        <f t="shared" si="766"/>
        <v>1</v>
      </c>
      <c r="CI48" s="424">
        <f t="shared" si="704"/>
        <v>112.00000000000001</v>
      </c>
      <c r="CJ48" s="423">
        <f t="shared" si="783"/>
        <v>53</v>
      </c>
      <c r="CK48" s="424">
        <f t="shared" si="705"/>
        <v>5936.0000000000009</v>
      </c>
      <c r="CL48" s="431">
        <f>'Parameters and Summary'!E87</f>
        <v>0.72</v>
      </c>
      <c r="CM48" s="424">
        <f t="shared" si="630"/>
        <v>4273.92</v>
      </c>
      <c r="CN48" s="424">
        <f t="shared" si="767"/>
        <v>7</v>
      </c>
      <c r="CO48" s="424">
        <f t="shared" si="767"/>
        <v>578.8125</v>
      </c>
      <c r="CP48" s="424">
        <f t="shared" si="631"/>
        <v>17316588.239999998</v>
      </c>
      <c r="CQ48" s="423">
        <v>6</v>
      </c>
      <c r="CR48" s="424">
        <f t="shared" si="706"/>
        <v>7</v>
      </c>
      <c r="CS48" s="432">
        <f t="shared" si="707"/>
        <v>25643.52</v>
      </c>
      <c r="CT48" s="424">
        <f t="shared" si="632"/>
        <v>103899529.44</v>
      </c>
      <c r="CU48" s="423">
        <v>24</v>
      </c>
      <c r="CV48" s="424">
        <f t="shared" si="708"/>
        <v>7</v>
      </c>
      <c r="CW48" s="432">
        <f t="shared" si="633"/>
        <v>718018.56000000006</v>
      </c>
      <c r="CX48" s="424">
        <f t="shared" si="634"/>
        <v>415598117.76000005</v>
      </c>
      <c r="CY48" s="423">
        <f t="shared" si="635"/>
        <v>288</v>
      </c>
      <c r="CZ48" s="424">
        <f t="shared" si="709"/>
        <v>7</v>
      </c>
      <c r="DA48" s="432">
        <f t="shared" si="710"/>
        <v>8616222.7199999988</v>
      </c>
      <c r="DB48" s="424">
        <f t="shared" si="636"/>
        <v>4987177413.1199989</v>
      </c>
      <c r="DD48" s="424"/>
      <c r="DE48" s="430">
        <v>7.0000000000000007E-2</v>
      </c>
      <c r="DF48" s="424">
        <f t="shared" si="711"/>
        <v>140</v>
      </c>
      <c r="DG48" s="433">
        <f t="shared" si="768"/>
        <v>1</v>
      </c>
      <c r="DH48" s="424">
        <f t="shared" si="712"/>
        <v>140</v>
      </c>
      <c r="DI48" s="423">
        <f t="shared" si="784"/>
        <v>53</v>
      </c>
      <c r="DJ48" s="424">
        <f t="shared" si="713"/>
        <v>7420</v>
      </c>
      <c r="DK48" s="431">
        <f>'Parameters and Summary'!E87</f>
        <v>0.72</v>
      </c>
      <c r="DL48" s="424">
        <f t="shared" si="637"/>
        <v>5342.4</v>
      </c>
      <c r="DM48" s="424">
        <f t="shared" si="769"/>
        <v>7</v>
      </c>
      <c r="DN48" s="424">
        <f t="shared" si="769"/>
        <v>607.75312500000007</v>
      </c>
      <c r="DO48" s="424">
        <f t="shared" si="638"/>
        <v>22728022.064999998</v>
      </c>
      <c r="DP48" s="423">
        <v>6</v>
      </c>
      <c r="DQ48" s="424">
        <f t="shared" si="714"/>
        <v>7</v>
      </c>
      <c r="DR48" s="432">
        <f t="shared" si="715"/>
        <v>32054.399999999998</v>
      </c>
      <c r="DS48" s="424">
        <f t="shared" si="639"/>
        <v>136368132.38999999</v>
      </c>
      <c r="DT48" s="423">
        <v>24</v>
      </c>
      <c r="DU48" s="424">
        <f t="shared" si="716"/>
        <v>7</v>
      </c>
      <c r="DV48" s="432">
        <f t="shared" si="640"/>
        <v>897523.19999999995</v>
      </c>
      <c r="DW48" s="424">
        <f t="shared" si="641"/>
        <v>545472529.56000006</v>
      </c>
      <c r="DX48" s="423">
        <f t="shared" si="642"/>
        <v>288</v>
      </c>
      <c r="DY48" s="424">
        <f t="shared" si="717"/>
        <v>7</v>
      </c>
      <c r="DZ48" s="432">
        <f t="shared" si="718"/>
        <v>10770278.4</v>
      </c>
      <c r="EA48" s="424">
        <f t="shared" si="643"/>
        <v>6545670354.7200012</v>
      </c>
      <c r="EC48" s="424"/>
      <c r="ED48" s="430">
        <v>7.0000000000000007E-2</v>
      </c>
      <c r="EE48" s="424">
        <f t="shared" si="719"/>
        <v>140</v>
      </c>
      <c r="EF48" s="433">
        <f t="shared" si="770"/>
        <v>1</v>
      </c>
      <c r="EG48" s="424">
        <f t="shared" si="720"/>
        <v>140</v>
      </c>
      <c r="EH48" s="423">
        <f t="shared" si="785"/>
        <v>53</v>
      </c>
      <c r="EI48" s="424">
        <f t="shared" si="721"/>
        <v>7420</v>
      </c>
      <c r="EJ48" s="431">
        <f>'Parameters and Summary'!E87</f>
        <v>0.72</v>
      </c>
      <c r="EK48" s="424">
        <f t="shared" si="644"/>
        <v>5342.4</v>
      </c>
      <c r="EL48" s="424">
        <f t="shared" si="771"/>
        <v>7</v>
      </c>
      <c r="EM48" s="424">
        <f t="shared" si="771"/>
        <v>638.14078125000015</v>
      </c>
      <c r="EN48" s="424">
        <f t="shared" si="645"/>
        <v>23864423.168250002</v>
      </c>
      <c r="EO48" s="423">
        <v>6</v>
      </c>
      <c r="EP48" s="424">
        <f t="shared" si="722"/>
        <v>7</v>
      </c>
      <c r="EQ48" s="432">
        <f t="shared" si="723"/>
        <v>32054.399999999998</v>
      </c>
      <c r="ER48" s="424">
        <f t="shared" si="646"/>
        <v>143186539.00950003</v>
      </c>
      <c r="ES48" s="423">
        <v>24</v>
      </c>
      <c r="ET48" s="424">
        <f t="shared" si="724"/>
        <v>7</v>
      </c>
      <c r="EU48" s="432">
        <f t="shared" si="647"/>
        <v>897523.19999999995</v>
      </c>
      <c r="EV48" s="424">
        <f t="shared" si="648"/>
        <v>572746156.03800011</v>
      </c>
      <c r="EW48" s="423">
        <f t="shared" si="649"/>
        <v>288</v>
      </c>
      <c r="EX48" s="424">
        <f t="shared" si="725"/>
        <v>7</v>
      </c>
      <c r="EY48" s="432">
        <f t="shared" si="726"/>
        <v>10770278.4</v>
      </c>
      <c r="EZ48" s="424">
        <f t="shared" si="650"/>
        <v>6872953872.4560022</v>
      </c>
      <c r="FB48" s="424"/>
      <c r="FC48" s="430">
        <v>7.0000000000000007E-2</v>
      </c>
      <c r="FD48" s="424">
        <f t="shared" si="727"/>
        <v>140</v>
      </c>
      <c r="FE48" s="433">
        <f t="shared" si="772"/>
        <v>1</v>
      </c>
      <c r="FF48" s="424">
        <f t="shared" si="728"/>
        <v>140</v>
      </c>
      <c r="FG48" s="423">
        <f t="shared" si="786"/>
        <v>53</v>
      </c>
      <c r="FH48" s="424">
        <f t="shared" si="729"/>
        <v>7420</v>
      </c>
      <c r="FI48" s="431">
        <f>'Parameters and Summary'!E87</f>
        <v>0.72</v>
      </c>
      <c r="FJ48" s="424">
        <f t="shared" si="651"/>
        <v>5342.4</v>
      </c>
      <c r="FK48" s="424">
        <f t="shared" si="773"/>
        <v>7</v>
      </c>
      <c r="FL48" s="424">
        <f t="shared" si="773"/>
        <v>670.04782031250022</v>
      </c>
      <c r="FM48" s="424">
        <f t="shared" si="652"/>
        <v>25057644.326662507</v>
      </c>
      <c r="FN48" s="423">
        <v>6</v>
      </c>
      <c r="FO48" s="424">
        <f t="shared" si="730"/>
        <v>7</v>
      </c>
      <c r="FP48" s="432">
        <f t="shared" si="731"/>
        <v>32054.399999999998</v>
      </c>
      <c r="FQ48" s="424">
        <f t="shared" si="653"/>
        <v>150345865.95997506</v>
      </c>
      <c r="FR48" s="423">
        <v>24</v>
      </c>
      <c r="FS48" s="424">
        <f t="shared" si="732"/>
        <v>7</v>
      </c>
      <c r="FT48" s="432">
        <f t="shared" si="654"/>
        <v>897523.19999999995</v>
      </c>
      <c r="FU48" s="424">
        <f t="shared" si="655"/>
        <v>601383463.83990014</v>
      </c>
      <c r="FV48" s="423">
        <f t="shared" si="656"/>
        <v>288</v>
      </c>
      <c r="FW48" s="424">
        <f t="shared" si="733"/>
        <v>7</v>
      </c>
      <c r="FX48" s="432">
        <f t="shared" si="734"/>
        <v>10770278.4</v>
      </c>
      <c r="FY48" s="424">
        <f t="shared" si="657"/>
        <v>7216601566.0788031</v>
      </c>
      <c r="GA48" s="424"/>
      <c r="GB48" s="430">
        <v>7.0000000000000007E-2</v>
      </c>
      <c r="GC48" s="424">
        <f t="shared" si="735"/>
        <v>140</v>
      </c>
      <c r="GD48" s="433">
        <f t="shared" si="774"/>
        <v>1</v>
      </c>
      <c r="GE48" s="424">
        <f t="shared" si="736"/>
        <v>140</v>
      </c>
      <c r="GF48" s="423">
        <f t="shared" si="787"/>
        <v>53</v>
      </c>
      <c r="GG48" s="424">
        <f t="shared" si="737"/>
        <v>7420</v>
      </c>
      <c r="GH48" s="431">
        <f>'Parameters and Summary'!E87</f>
        <v>0.72</v>
      </c>
      <c r="GI48" s="424">
        <f t="shared" si="658"/>
        <v>5342.4</v>
      </c>
      <c r="GJ48" s="424">
        <f t="shared" si="775"/>
        <v>7</v>
      </c>
      <c r="GK48" s="424">
        <f t="shared" si="775"/>
        <v>703.55021132812522</v>
      </c>
      <c r="GL48" s="424">
        <f t="shared" si="659"/>
        <v>26310526.542995632</v>
      </c>
      <c r="GM48" s="423">
        <v>6</v>
      </c>
      <c r="GN48" s="424">
        <f t="shared" si="738"/>
        <v>7</v>
      </c>
      <c r="GO48" s="432">
        <f t="shared" si="739"/>
        <v>32054.399999999998</v>
      </c>
      <c r="GP48" s="424">
        <f t="shared" si="660"/>
        <v>157863159.25797379</v>
      </c>
      <c r="GQ48" s="423">
        <v>24</v>
      </c>
      <c r="GR48" s="424">
        <f t="shared" si="740"/>
        <v>7</v>
      </c>
      <c r="GS48" s="432">
        <f t="shared" si="661"/>
        <v>897523.19999999995</v>
      </c>
      <c r="GT48" s="424">
        <f t="shared" si="662"/>
        <v>631452637.03189516</v>
      </c>
      <c r="GU48" s="423">
        <f t="shared" si="663"/>
        <v>288</v>
      </c>
      <c r="GV48" s="424">
        <f t="shared" si="741"/>
        <v>7</v>
      </c>
      <c r="GW48" s="432">
        <f t="shared" si="742"/>
        <v>10770278.4</v>
      </c>
      <c r="GX48" s="424">
        <f t="shared" si="664"/>
        <v>7577431644.3827429</v>
      </c>
      <c r="GZ48" s="424"/>
      <c r="HA48" s="430">
        <v>7.0000000000000007E-2</v>
      </c>
      <c r="HB48" s="424">
        <f t="shared" si="743"/>
        <v>140</v>
      </c>
      <c r="HC48" s="433">
        <f t="shared" si="776"/>
        <v>1</v>
      </c>
      <c r="HD48" s="424">
        <f t="shared" si="744"/>
        <v>140</v>
      </c>
      <c r="HE48" s="423">
        <f t="shared" si="788"/>
        <v>53</v>
      </c>
      <c r="HF48" s="424">
        <f t="shared" si="745"/>
        <v>7420</v>
      </c>
      <c r="HG48" s="431">
        <f>'Parameters and Summary'!E87</f>
        <v>0.72</v>
      </c>
      <c r="HH48" s="424">
        <f t="shared" si="665"/>
        <v>5342.4</v>
      </c>
      <c r="HI48" s="424">
        <f t="shared" si="777"/>
        <v>7</v>
      </c>
      <c r="HJ48" s="424">
        <f t="shared" si="777"/>
        <v>738.72772189453156</v>
      </c>
      <c r="HK48" s="424">
        <f t="shared" si="666"/>
        <v>27626052.870145418</v>
      </c>
      <c r="HL48" s="423">
        <v>6</v>
      </c>
      <c r="HM48" s="424">
        <f t="shared" si="746"/>
        <v>7</v>
      </c>
      <c r="HN48" s="432">
        <f t="shared" si="747"/>
        <v>32054.399999999998</v>
      </c>
      <c r="HO48" s="424">
        <f t="shared" si="667"/>
        <v>165756317.22087249</v>
      </c>
      <c r="HP48" s="423">
        <v>24</v>
      </c>
      <c r="HQ48" s="424">
        <f t="shared" si="748"/>
        <v>7</v>
      </c>
      <c r="HR48" s="432">
        <f t="shared" si="668"/>
        <v>897523.19999999995</v>
      </c>
      <c r="HS48" s="424">
        <f t="shared" si="669"/>
        <v>663025268.88348997</v>
      </c>
      <c r="HT48" s="423">
        <f t="shared" si="670"/>
        <v>288</v>
      </c>
      <c r="HU48" s="424">
        <f t="shared" si="749"/>
        <v>7</v>
      </c>
      <c r="HV48" s="432">
        <f t="shared" si="750"/>
        <v>10770278.4</v>
      </c>
      <c r="HW48" s="424">
        <f t="shared" si="671"/>
        <v>7956303226.601881</v>
      </c>
      <c r="HY48" s="424"/>
      <c r="HZ48" s="430">
        <v>7.0000000000000007E-2</v>
      </c>
      <c r="IA48" s="424">
        <f t="shared" si="751"/>
        <v>140</v>
      </c>
      <c r="IB48" s="433">
        <f t="shared" si="778"/>
        <v>1</v>
      </c>
      <c r="IC48" s="424">
        <f t="shared" si="752"/>
        <v>140</v>
      </c>
      <c r="ID48" s="423">
        <f t="shared" si="789"/>
        <v>53</v>
      </c>
      <c r="IE48" s="424">
        <f t="shared" si="753"/>
        <v>7420</v>
      </c>
      <c r="IF48" s="431">
        <f>'Parameters and Summary'!E87</f>
        <v>0.72</v>
      </c>
      <c r="IG48" s="424">
        <f t="shared" si="672"/>
        <v>5342.4</v>
      </c>
      <c r="IH48" s="424">
        <f t="shared" si="779"/>
        <v>7</v>
      </c>
      <c r="II48" s="424">
        <f t="shared" si="779"/>
        <v>775.66410798925813</v>
      </c>
      <c r="IJ48" s="424">
        <f t="shared" si="673"/>
        <v>29007355.513652686</v>
      </c>
      <c r="IK48" s="423">
        <v>6</v>
      </c>
      <c r="IL48" s="424">
        <f t="shared" si="754"/>
        <v>7</v>
      </c>
      <c r="IM48" s="432">
        <f t="shared" si="755"/>
        <v>32054.399999999998</v>
      </c>
      <c r="IN48" s="424">
        <f t="shared" si="674"/>
        <v>174044133.08191612</v>
      </c>
      <c r="IO48" s="423">
        <v>24</v>
      </c>
      <c r="IP48" s="424">
        <f t="shared" si="756"/>
        <v>7</v>
      </c>
      <c r="IQ48" s="432">
        <f t="shared" si="675"/>
        <v>897523.19999999995</v>
      </c>
      <c r="IR48" s="424">
        <f t="shared" si="676"/>
        <v>696176532.32766449</v>
      </c>
      <c r="IS48" s="423">
        <f t="shared" si="677"/>
        <v>288</v>
      </c>
      <c r="IT48" s="424">
        <f t="shared" si="757"/>
        <v>7</v>
      </c>
      <c r="IU48" s="432">
        <f t="shared" si="758"/>
        <v>10770278.4</v>
      </c>
      <c r="IV48" s="424">
        <f t="shared" si="678"/>
        <v>8354118387.9319744</v>
      </c>
    </row>
    <row r="49" spans="2:256" x14ac:dyDescent="0.25">
      <c r="B49" s="422">
        <v>2</v>
      </c>
      <c r="C49" s="422">
        <v>8</v>
      </c>
      <c r="D49" s="422" t="s">
        <v>81</v>
      </c>
      <c r="E49" s="419"/>
      <c r="F49" s="423" t="s">
        <v>97</v>
      </c>
      <c r="G49" s="423" t="s">
        <v>98</v>
      </c>
      <c r="H49" s="424">
        <f>H42</f>
        <v>400</v>
      </c>
      <c r="I49" s="425">
        <v>0.75</v>
      </c>
      <c r="J49" s="426">
        <f>H49*I49</f>
        <v>300</v>
      </c>
      <c r="K49" s="425"/>
      <c r="L49" s="426"/>
      <c r="M49" s="427">
        <f>M42</f>
        <v>37</v>
      </c>
      <c r="N49" s="426">
        <f t="shared" ref="N49" si="790">J49*M49</f>
        <v>11100</v>
      </c>
      <c r="O49" s="428"/>
      <c r="P49" s="426"/>
      <c r="Q49" s="426"/>
      <c r="R49" s="426"/>
      <c r="S49" s="426">
        <f>SUM(S43:S48)</f>
        <v>35413329</v>
      </c>
      <c r="T49" s="427"/>
      <c r="U49" s="426"/>
      <c r="V49" s="429"/>
      <c r="W49" s="426"/>
      <c r="X49" s="427"/>
      <c r="Y49" s="426"/>
      <c r="Z49" s="429"/>
      <c r="AA49" s="426"/>
      <c r="AB49" s="427"/>
      <c r="AC49" s="426"/>
      <c r="AD49" s="429"/>
      <c r="AE49" s="426"/>
      <c r="AG49" s="424">
        <f>AG42</f>
        <v>800</v>
      </c>
      <c r="AH49" s="425">
        <v>0.75</v>
      </c>
      <c r="AI49" s="426">
        <f>AG49*AH49</f>
        <v>600</v>
      </c>
      <c r="AJ49" s="425"/>
      <c r="AK49" s="426"/>
      <c r="AL49" s="427">
        <f>AL42</f>
        <v>37</v>
      </c>
      <c r="AM49" s="426">
        <f t="shared" ref="AM49" si="791">AI49*AL49</f>
        <v>22200</v>
      </c>
      <c r="AN49" s="428"/>
      <c r="AO49" s="426"/>
      <c r="AP49" s="426"/>
      <c r="AQ49" s="426"/>
      <c r="AR49" s="426"/>
      <c r="AS49" s="427"/>
      <c r="AT49" s="426"/>
      <c r="AU49" s="429"/>
      <c r="AV49" s="426"/>
      <c r="AW49" s="427"/>
      <c r="AX49" s="426"/>
      <c r="AY49" s="429"/>
      <c r="AZ49" s="426"/>
      <c r="BA49" s="427"/>
      <c r="BB49" s="426"/>
      <c r="BC49" s="429"/>
      <c r="BD49" s="426"/>
      <c r="BF49" s="424">
        <f>BF42</f>
        <v>1200</v>
      </c>
      <c r="BG49" s="425">
        <v>0.75</v>
      </c>
      <c r="BH49" s="426">
        <f>BF49*BG49</f>
        <v>900</v>
      </c>
      <c r="BI49" s="425"/>
      <c r="BJ49" s="426"/>
      <c r="BK49" s="427">
        <f>BK42</f>
        <v>53</v>
      </c>
      <c r="BL49" s="426">
        <f t="shared" ref="BL49" si="792">BH49*BK49</f>
        <v>47700</v>
      </c>
      <c r="BM49" s="428"/>
      <c r="BN49" s="426"/>
      <c r="BO49" s="426"/>
      <c r="BP49" s="426"/>
      <c r="BQ49" s="426"/>
      <c r="BR49" s="427"/>
      <c r="BS49" s="426"/>
      <c r="BT49" s="429"/>
      <c r="BU49" s="426"/>
      <c r="BV49" s="427"/>
      <c r="BW49" s="426"/>
      <c r="BX49" s="429"/>
      <c r="BY49" s="426"/>
      <c r="BZ49" s="427"/>
      <c r="CA49" s="426"/>
      <c r="CB49" s="429"/>
      <c r="CC49" s="426"/>
      <c r="CE49" s="424">
        <f>CE42</f>
        <v>1600</v>
      </c>
      <c r="CF49" s="425">
        <v>0.75</v>
      </c>
      <c r="CG49" s="426">
        <f>CE49*CF49</f>
        <v>1200</v>
      </c>
      <c r="CH49" s="425"/>
      <c r="CI49" s="426"/>
      <c r="CJ49" s="427">
        <f>CJ42</f>
        <v>53</v>
      </c>
      <c r="CK49" s="426">
        <f t="shared" ref="CK49" si="793">CG49*CJ49</f>
        <v>63600</v>
      </c>
      <c r="CL49" s="428"/>
      <c r="CM49" s="426"/>
      <c r="CN49" s="426"/>
      <c r="CO49" s="426"/>
      <c r="CP49" s="426"/>
      <c r="CQ49" s="427"/>
      <c r="CR49" s="426"/>
      <c r="CS49" s="429"/>
      <c r="CT49" s="426"/>
      <c r="CU49" s="427"/>
      <c r="CV49" s="426"/>
      <c r="CW49" s="429"/>
      <c r="CX49" s="426"/>
      <c r="CY49" s="427"/>
      <c r="CZ49" s="426"/>
      <c r="DA49" s="429"/>
      <c r="DB49" s="426"/>
      <c r="DD49" s="424">
        <f>DD42</f>
        <v>2000</v>
      </c>
      <c r="DE49" s="425">
        <v>0.75</v>
      </c>
      <c r="DF49" s="426">
        <f>DD49*DE49</f>
        <v>1500</v>
      </c>
      <c r="DG49" s="425"/>
      <c r="DH49" s="426"/>
      <c r="DI49" s="427">
        <f>DI42</f>
        <v>53</v>
      </c>
      <c r="DJ49" s="426">
        <f t="shared" ref="DJ49" si="794">DF49*DI49</f>
        <v>79500</v>
      </c>
      <c r="DK49" s="428"/>
      <c r="DL49" s="426"/>
      <c r="DM49" s="426"/>
      <c r="DN49" s="426"/>
      <c r="DO49" s="426"/>
      <c r="DP49" s="427"/>
      <c r="DQ49" s="426"/>
      <c r="DR49" s="429"/>
      <c r="DS49" s="426"/>
      <c r="DT49" s="427"/>
      <c r="DU49" s="426"/>
      <c r="DV49" s="429"/>
      <c r="DW49" s="426"/>
      <c r="DX49" s="427"/>
      <c r="DY49" s="426"/>
      <c r="DZ49" s="429"/>
      <c r="EA49" s="426"/>
      <c r="EC49" s="424">
        <f>EC42</f>
        <v>2000</v>
      </c>
      <c r="ED49" s="425">
        <v>0.75</v>
      </c>
      <c r="EE49" s="426">
        <f>EC49*ED49</f>
        <v>1500</v>
      </c>
      <c r="EF49" s="425"/>
      <c r="EG49" s="426"/>
      <c r="EH49" s="427">
        <f>EH42</f>
        <v>53</v>
      </c>
      <c r="EI49" s="426">
        <f t="shared" ref="EI49" si="795">EE49*EH49</f>
        <v>79500</v>
      </c>
      <c r="EJ49" s="428"/>
      <c r="EK49" s="426"/>
      <c r="EL49" s="426"/>
      <c r="EM49" s="426"/>
      <c r="EN49" s="426"/>
      <c r="EO49" s="427"/>
      <c r="EP49" s="426"/>
      <c r="EQ49" s="429"/>
      <c r="ER49" s="426"/>
      <c r="ES49" s="427"/>
      <c r="ET49" s="426"/>
      <c r="EU49" s="429"/>
      <c r="EV49" s="426"/>
      <c r="EW49" s="427"/>
      <c r="EX49" s="426"/>
      <c r="EY49" s="429"/>
      <c r="EZ49" s="426"/>
      <c r="FB49" s="424">
        <f>FB42</f>
        <v>2000</v>
      </c>
      <c r="FC49" s="425">
        <v>0.75</v>
      </c>
      <c r="FD49" s="426">
        <f>FB49*FC49</f>
        <v>1500</v>
      </c>
      <c r="FE49" s="425"/>
      <c r="FF49" s="426"/>
      <c r="FG49" s="427">
        <f>FG42</f>
        <v>53</v>
      </c>
      <c r="FH49" s="426">
        <f t="shared" ref="FH49" si="796">FD49*FG49</f>
        <v>79500</v>
      </c>
      <c r="FI49" s="428"/>
      <c r="FJ49" s="426"/>
      <c r="FK49" s="426"/>
      <c r="FL49" s="426"/>
      <c r="FM49" s="426"/>
      <c r="FN49" s="427"/>
      <c r="FO49" s="426"/>
      <c r="FP49" s="429"/>
      <c r="FQ49" s="426"/>
      <c r="FR49" s="427"/>
      <c r="FS49" s="426"/>
      <c r="FT49" s="429"/>
      <c r="FU49" s="426"/>
      <c r="FV49" s="427"/>
      <c r="FW49" s="426"/>
      <c r="FX49" s="429"/>
      <c r="FY49" s="426"/>
      <c r="GA49" s="424">
        <f>GA42</f>
        <v>2000</v>
      </c>
      <c r="GB49" s="425">
        <v>0.75</v>
      </c>
      <c r="GC49" s="426">
        <f>GA49*GB49</f>
        <v>1500</v>
      </c>
      <c r="GD49" s="425"/>
      <c r="GE49" s="426"/>
      <c r="GF49" s="427">
        <f>GF42</f>
        <v>53</v>
      </c>
      <c r="GG49" s="426">
        <f t="shared" ref="GG49" si="797">GC49*GF49</f>
        <v>79500</v>
      </c>
      <c r="GH49" s="428"/>
      <c r="GI49" s="426"/>
      <c r="GJ49" s="426"/>
      <c r="GK49" s="426"/>
      <c r="GL49" s="426"/>
      <c r="GM49" s="427"/>
      <c r="GN49" s="426"/>
      <c r="GO49" s="429"/>
      <c r="GP49" s="426"/>
      <c r="GQ49" s="427"/>
      <c r="GR49" s="426"/>
      <c r="GS49" s="429"/>
      <c r="GT49" s="426"/>
      <c r="GU49" s="427"/>
      <c r="GV49" s="426"/>
      <c r="GW49" s="429"/>
      <c r="GX49" s="426"/>
      <c r="GZ49" s="424">
        <f>GZ42</f>
        <v>2000</v>
      </c>
      <c r="HA49" s="425">
        <v>0.75</v>
      </c>
      <c r="HB49" s="426">
        <f>GZ49*HA49</f>
        <v>1500</v>
      </c>
      <c r="HC49" s="425"/>
      <c r="HD49" s="426"/>
      <c r="HE49" s="427">
        <f>HE42</f>
        <v>53</v>
      </c>
      <c r="HF49" s="426">
        <f t="shared" ref="HF49" si="798">HB49*HE49</f>
        <v>79500</v>
      </c>
      <c r="HG49" s="428"/>
      <c r="HH49" s="426"/>
      <c r="HI49" s="426"/>
      <c r="HJ49" s="426"/>
      <c r="HK49" s="426"/>
      <c r="HL49" s="427"/>
      <c r="HM49" s="426"/>
      <c r="HN49" s="429"/>
      <c r="HO49" s="426"/>
      <c r="HP49" s="427"/>
      <c r="HQ49" s="426"/>
      <c r="HR49" s="429"/>
      <c r="HS49" s="426"/>
      <c r="HT49" s="427"/>
      <c r="HU49" s="426"/>
      <c r="HV49" s="429"/>
      <c r="HW49" s="426"/>
      <c r="HY49" s="424">
        <f>HY42</f>
        <v>2000</v>
      </c>
      <c r="HZ49" s="425">
        <v>0.75</v>
      </c>
      <c r="IA49" s="426">
        <f>HY49*HZ49</f>
        <v>1500</v>
      </c>
      <c r="IB49" s="425"/>
      <c r="IC49" s="426"/>
      <c r="ID49" s="427">
        <f>ID42</f>
        <v>53</v>
      </c>
      <c r="IE49" s="426">
        <f t="shared" ref="IE49" si="799">IA49*ID49</f>
        <v>79500</v>
      </c>
      <c r="IF49" s="428"/>
      <c r="IG49" s="426"/>
      <c r="IH49" s="426"/>
      <c r="II49" s="426"/>
      <c r="IJ49" s="426"/>
      <c r="IK49" s="427"/>
      <c r="IL49" s="426"/>
      <c r="IM49" s="429"/>
      <c r="IN49" s="426"/>
      <c r="IO49" s="427"/>
      <c r="IP49" s="426"/>
      <c r="IQ49" s="429"/>
      <c r="IR49" s="426"/>
      <c r="IS49" s="427"/>
      <c r="IT49" s="426"/>
      <c r="IU49" s="429"/>
      <c r="IV49" s="426"/>
    </row>
    <row r="50" spans="2:256" x14ac:dyDescent="0.25">
      <c r="B50" s="422"/>
      <c r="C50" s="422"/>
      <c r="D50" s="422"/>
      <c r="E50" s="419" t="s">
        <v>143</v>
      </c>
      <c r="F50" s="423"/>
      <c r="G50" s="423"/>
      <c r="H50" s="424"/>
      <c r="I50" s="430">
        <v>0.21</v>
      </c>
      <c r="J50" s="424">
        <f>I50*H$49</f>
        <v>84</v>
      </c>
      <c r="K50" s="430">
        <v>0.75</v>
      </c>
      <c r="L50" s="424">
        <f>J50*K50</f>
        <v>63</v>
      </c>
      <c r="M50" s="423">
        <f>M49</f>
        <v>37</v>
      </c>
      <c r="N50" s="424">
        <f t="shared" ref="N50:N55" si="800">L50*M50</f>
        <v>2331</v>
      </c>
      <c r="O50" s="431">
        <f>'Parameters and Summary'!E82</f>
        <v>0.7</v>
      </c>
      <c r="P50" s="424">
        <f t="shared" ref="P50:P55" si="801">N50*O50</f>
        <v>1631.6999999999998</v>
      </c>
      <c r="Q50" s="424">
        <v>3</v>
      </c>
      <c r="R50" s="424">
        <f>R43</f>
        <v>500</v>
      </c>
      <c r="S50" s="424">
        <f t="shared" ref="S50:S55" si="802">R50*P50*Q50</f>
        <v>2447549.9999999995</v>
      </c>
      <c r="T50" s="423">
        <f t="shared" ref="T50:T55" si="803">T43</f>
        <v>6</v>
      </c>
      <c r="U50" s="424">
        <v>5</v>
      </c>
      <c r="V50" s="432">
        <f t="shared" ref="V50:V55" si="804">T50*P50</f>
        <v>9790.1999999999989</v>
      </c>
      <c r="W50" s="424">
        <f t="shared" ref="W50:W55" si="805">V50*R50*U50</f>
        <v>24475499.999999996</v>
      </c>
      <c r="X50" s="423">
        <f t="shared" ref="X50:X55" si="806">X43</f>
        <v>24</v>
      </c>
      <c r="Y50" s="424">
        <f t="shared" ref="Y50:Y55" si="807">U50</f>
        <v>5</v>
      </c>
      <c r="Z50" s="432">
        <f t="shared" ref="Z50:Z55" si="808">X50*P50*Y50</f>
        <v>195803.99999999997</v>
      </c>
      <c r="AA50" s="424">
        <f t="shared" ref="AA50:AA55" si="809">Z50*R50</f>
        <v>97901999.999999985</v>
      </c>
      <c r="AB50" s="423">
        <f t="shared" ref="AB50:AB55" si="810">AB43</f>
        <v>288</v>
      </c>
      <c r="AC50" s="424">
        <f t="shared" ref="AC50:AC55" si="811">Y50</f>
        <v>5</v>
      </c>
      <c r="AD50" s="432">
        <f t="shared" ref="AD50:AD55" si="812">AB50*P50*AC50</f>
        <v>2349648</v>
      </c>
      <c r="AE50" s="424">
        <f t="shared" ref="AE50:AE55" si="813">AD50*R50</f>
        <v>1174824000</v>
      </c>
      <c r="AG50" s="424"/>
      <c r="AH50" s="430">
        <v>0.21</v>
      </c>
      <c r="AI50" s="424">
        <f>AH50*AG$49</f>
        <v>168</v>
      </c>
      <c r="AJ50" s="430">
        <v>0.75</v>
      </c>
      <c r="AK50" s="424">
        <f>AI50*AJ50</f>
        <v>126</v>
      </c>
      <c r="AL50" s="423">
        <f>AL49</f>
        <v>37</v>
      </c>
      <c r="AM50" s="424">
        <f t="shared" ref="AM50:AM55" si="814">AK50*AL50</f>
        <v>4662</v>
      </c>
      <c r="AN50" s="431">
        <f>AN43</f>
        <v>0.7</v>
      </c>
      <c r="AO50" s="424">
        <f t="shared" ref="AO50:AO55" si="815">AM50*AN50</f>
        <v>3263.3999999999996</v>
      </c>
      <c r="AP50" s="424">
        <v>3</v>
      </c>
      <c r="AQ50" s="424">
        <f>AQ43</f>
        <v>525</v>
      </c>
      <c r="AR50" s="424">
        <f t="shared" ref="AR50:AR55" si="816">AQ50*AO50*AP50</f>
        <v>5139854.9999999991</v>
      </c>
      <c r="AS50" s="423">
        <f t="shared" ref="AS50:AS55" si="817">AS43</f>
        <v>6</v>
      </c>
      <c r="AT50" s="424">
        <v>5</v>
      </c>
      <c r="AU50" s="432">
        <f t="shared" ref="AU50:AU55" si="818">AS50*AO50</f>
        <v>19580.399999999998</v>
      </c>
      <c r="AV50" s="424">
        <f t="shared" ref="AV50:AV54" si="819">AU50*AQ50*AT50</f>
        <v>51398549.999999993</v>
      </c>
      <c r="AW50" s="423">
        <f t="shared" ref="AW50:AW55" si="820">AW43</f>
        <v>24</v>
      </c>
      <c r="AX50" s="424">
        <f t="shared" ref="AX50:AX55" si="821">AT50</f>
        <v>5</v>
      </c>
      <c r="AY50" s="432">
        <f t="shared" ref="AY50:AY55" si="822">AW50*AO50*AX50</f>
        <v>391607.99999999994</v>
      </c>
      <c r="AZ50" s="424">
        <f t="shared" ref="AZ50:AZ55" si="823">AY50*AQ50</f>
        <v>205594199.99999997</v>
      </c>
      <c r="BA50" s="423">
        <f t="shared" ref="BA50:BA55" si="824">BA43</f>
        <v>288</v>
      </c>
      <c r="BB50" s="424">
        <f t="shared" ref="BB50:BB55" si="825">AX50</f>
        <v>5</v>
      </c>
      <c r="BC50" s="432">
        <f t="shared" ref="BC50:BC55" si="826">BA50*AO50*BB50</f>
        <v>4699296</v>
      </c>
      <c r="BD50" s="424">
        <f t="shared" ref="BD50:BD55" si="827">BC50*AQ50</f>
        <v>2467130400</v>
      </c>
      <c r="BF50" s="424"/>
      <c r="BG50" s="430">
        <v>0.21</v>
      </c>
      <c r="BH50" s="424">
        <f>BG50*BF$49</f>
        <v>252</v>
      </c>
      <c r="BI50" s="430">
        <v>0.75</v>
      </c>
      <c r="BJ50" s="424">
        <f>BH50*BI50</f>
        <v>189</v>
      </c>
      <c r="BK50" s="423">
        <f>BK49</f>
        <v>53</v>
      </c>
      <c r="BL50" s="424">
        <f t="shared" ref="BL50:BL55" si="828">BJ50*BK50</f>
        <v>10017</v>
      </c>
      <c r="BM50" s="431">
        <f>BM43</f>
        <v>0.7</v>
      </c>
      <c r="BN50" s="424">
        <f t="shared" ref="BN50:BN55" si="829">BL50*BM50</f>
        <v>7011.9</v>
      </c>
      <c r="BO50" s="424">
        <v>3</v>
      </c>
      <c r="BP50" s="424">
        <f>BP43</f>
        <v>551.25</v>
      </c>
      <c r="BQ50" s="424">
        <f t="shared" ref="BQ50:BQ55" si="830">BP50*BN50*BO50</f>
        <v>11595929.625</v>
      </c>
      <c r="BR50" s="423">
        <f t="shared" ref="BR50:BR55" si="831">BR43</f>
        <v>6</v>
      </c>
      <c r="BS50" s="424">
        <v>5</v>
      </c>
      <c r="BT50" s="432">
        <f t="shared" ref="BT50:BT55" si="832">BR50*BN50</f>
        <v>42071.399999999994</v>
      </c>
      <c r="BU50" s="424">
        <f t="shared" ref="BU50:BU55" si="833">BT50*BP50*BS50</f>
        <v>115959296.24999999</v>
      </c>
      <c r="BV50" s="423">
        <f t="shared" ref="BV50:BV55" si="834">BV43</f>
        <v>24</v>
      </c>
      <c r="BW50" s="424">
        <f t="shared" ref="BW50:BW55" si="835">BS50</f>
        <v>5</v>
      </c>
      <c r="BX50" s="432">
        <f t="shared" ref="BX50:BX55" si="836">BV50*BN50*BW50</f>
        <v>841427.99999999988</v>
      </c>
      <c r="BY50" s="424">
        <f t="shared" ref="BY50:BY55" si="837">BX50*BP50</f>
        <v>463837184.99999994</v>
      </c>
      <c r="BZ50" s="423">
        <f t="shared" ref="BZ50:BZ55" si="838">BZ43</f>
        <v>288</v>
      </c>
      <c r="CA50" s="424">
        <f t="shared" ref="CA50:CA55" si="839">BW50</f>
        <v>5</v>
      </c>
      <c r="CB50" s="432">
        <f t="shared" ref="CB50:CB55" si="840">BZ50*BN50*CA50</f>
        <v>10097136</v>
      </c>
      <c r="CC50" s="424">
        <f t="shared" ref="CC50:CC55" si="841">CB50*BP50</f>
        <v>5566046220</v>
      </c>
      <c r="CE50" s="424"/>
      <c r="CF50" s="430">
        <v>0.21</v>
      </c>
      <c r="CG50" s="424">
        <f>CF50*CE$49</f>
        <v>336</v>
      </c>
      <c r="CH50" s="430">
        <v>0.75</v>
      </c>
      <c r="CI50" s="424">
        <f>CG50*CH50</f>
        <v>252</v>
      </c>
      <c r="CJ50" s="423">
        <f>CJ49</f>
        <v>53</v>
      </c>
      <c r="CK50" s="424">
        <f t="shared" ref="CK50:CK55" si="842">CI50*CJ50</f>
        <v>13356</v>
      </c>
      <c r="CL50" s="431">
        <f>CL43</f>
        <v>0.7</v>
      </c>
      <c r="CM50" s="424">
        <f t="shared" ref="CM50:CM55" si="843">CK50*CL50</f>
        <v>9349.1999999999989</v>
      </c>
      <c r="CN50" s="424">
        <v>3</v>
      </c>
      <c r="CO50" s="424">
        <f>CO43</f>
        <v>578.8125</v>
      </c>
      <c r="CP50" s="424">
        <f t="shared" ref="CP50:CP55" si="844">CO50*CM50*CN50</f>
        <v>16234301.474999998</v>
      </c>
      <c r="CQ50" s="423">
        <f t="shared" ref="CQ50:CQ55" si="845">CQ43</f>
        <v>6</v>
      </c>
      <c r="CR50" s="424">
        <v>5</v>
      </c>
      <c r="CS50" s="432">
        <f t="shared" ref="CS50:CS55" si="846">CQ50*CM50</f>
        <v>56095.199999999997</v>
      </c>
      <c r="CT50" s="424">
        <f t="shared" ref="CT50:CT55" si="847">CS50*CO50*CR50</f>
        <v>162343014.75</v>
      </c>
      <c r="CU50" s="423">
        <f t="shared" ref="CU50:CU55" si="848">CU43</f>
        <v>24</v>
      </c>
      <c r="CV50" s="424">
        <f t="shared" ref="CV50:CV55" si="849">CR50</f>
        <v>5</v>
      </c>
      <c r="CW50" s="432">
        <f t="shared" ref="CW50:CW55" si="850">CU50*CM50*CV50</f>
        <v>1121904</v>
      </c>
      <c r="CX50" s="424">
        <f t="shared" ref="CX50:CX55" si="851">CW50*CO50</f>
        <v>649372059</v>
      </c>
      <c r="CY50" s="423">
        <f t="shared" ref="CY50:CY55" si="852">CY43</f>
        <v>288</v>
      </c>
      <c r="CZ50" s="424">
        <f t="shared" ref="CZ50:CZ55" si="853">CV50</f>
        <v>5</v>
      </c>
      <c r="DA50" s="432">
        <f t="shared" ref="DA50:DA55" si="854">CY50*CM50*CZ50</f>
        <v>13462847.999999998</v>
      </c>
      <c r="DB50" s="424">
        <f t="shared" ref="DB50:DB55" si="855">DA50*CO50</f>
        <v>7792464707.999999</v>
      </c>
      <c r="DD50" s="424"/>
      <c r="DE50" s="430">
        <v>0.21</v>
      </c>
      <c r="DF50" s="424">
        <f>DE50*DD$49</f>
        <v>420</v>
      </c>
      <c r="DG50" s="430">
        <v>0.75</v>
      </c>
      <c r="DH50" s="424">
        <f>DF50*DG50</f>
        <v>315</v>
      </c>
      <c r="DI50" s="423">
        <f>DI49</f>
        <v>53</v>
      </c>
      <c r="DJ50" s="424">
        <f t="shared" ref="DJ50:DJ55" si="856">DH50*DI50</f>
        <v>16695</v>
      </c>
      <c r="DK50" s="431">
        <f>DK43</f>
        <v>0.7</v>
      </c>
      <c r="DL50" s="424">
        <f t="shared" ref="DL50:DL55" si="857">DJ50*DK50</f>
        <v>11686.5</v>
      </c>
      <c r="DM50" s="424">
        <v>3</v>
      </c>
      <c r="DN50" s="424">
        <f>DN43</f>
        <v>607.75312500000007</v>
      </c>
      <c r="DO50" s="424">
        <f t="shared" ref="DO50:DO55" si="858">DN50*DL50*DM50</f>
        <v>21307520.685937501</v>
      </c>
      <c r="DP50" s="423">
        <f t="shared" ref="DP50:DP55" si="859">DP43</f>
        <v>6</v>
      </c>
      <c r="DQ50" s="424">
        <v>5</v>
      </c>
      <c r="DR50" s="432">
        <f t="shared" ref="DR50:DR55" si="860">DP50*DL50</f>
        <v>70119</v>
      </c>
      <c r="DS50" s="424">
        <f t="shared" ref="DS50:DS55" si="861">DR50*DN50*DQ50</f>
        <v>213075206.859375</v>
      </c>
      <c r="DT50" s="423">
        <f t="shared" ref="DT50:DT55" si="862">DT43</f>
        <v>24</v>
      </c>
      <c r="DU50" s="424">
        <f t="shared" ref="DU50:DU55" si="863">DQ50</f>
        <v>5</v>
      </c>
      <c r="DV50" s="432">
        <f t="shared" ref="DV50:DV55" si="864">DT50*DL50*DU50</f>
        <v>1402380</v>
      </c>
      <c r="DW50" s="424">
        <f t="shared" ref="DW50:DW55" si="865">DV50*DN50</f>
        <v>852300827.43750012</v>
      </c>
      <c r="DX50" s="423">
        <f t="shared" ref="DX50:DX55" si="866">DX43</f>
        <v>288</v>
      </c>
      <c r="DY50" s="424">
        <f t="shared" ref="DY50:DY55" si="867">DU50</f>
        <v>5</v>
      </c>
      <c r="DZ50" s="432">
        <f t="shared" ref="DZ50:DZ55" si="868">DX50*DL50*DY50</f>
        <v>16828560</v>
      </c>
      <c r="EA50" s="424">
        <f t="shared" ref="EA50:EA55" si="869">DZ50*DN50</f>
        <v>10227609929.250002</v>
      </c>
      <c r="EC50" s="424"/>
      <c r="ED50" s="430">
        <v>0.21</v>
      </c>
      <c r="EE50" s="424">
        <f>ED50*EC$49</f>
        <v>420</v>
      </c>
      <c r="EF50" s="430">
        <v>0.75</v>
      </c>
      <c r="EG50" s="424">
        <f>EE50*EF50</f>
        <v>315</v>
      </c>
      <c r="EH50" s="423">
        <f>EH49</f>
        <v>53</v>
      </c>
      <c r="EI50" s="424">
        <f t="shared" ref="EI50:EI55" si="870">EG50*EH50</f>
        <v>16695</v>
      </c>
      <c r="EJ50" s="431">
        <f>EJ43</f>
        <v>0.7</v>
      </c>
      <c r="EK50" s="424">
        <f t="shared" ref="EK50:EK55" si="871">EI50*EJ50</f>
        <v>11686.5</v>
      </c>
      <c r="EL50" s="424">
        <v>3</v>
      </c>
      <c r="EM50" s="424">
        <f>EM43</f>
        <v>638.14078125000015</v>
      </c>
      <c r="EN50" s="424">
        <f t="shared" ref="EN50:EN55" si="872">EM50*EK50*EL50</f>
        <v>22372896.720234379</v>
      </c>
      <c r="EO50" s="423">
        <f t="shared" ref="EO50:EO55" si="873">EO43</f>
        <v>6</v>
      </c>
      <c r="EP50" s="424">
        <v>5</v>
      </c>
      <c r="EQ50" s="432">
        <f t="shared" ref="EQ50:EQ55" si="874">EO50*EK50</f>
        <v>70119</v>
      </c>
      <c r="ER50" s="424">
        <f t="shared" ref="ER50:ER55" si="875">EQ50*EM50*EP50</f>
        <v>223728967.20234379</v>
      </c>
      <c r="ES50" s="423">
        <f t="shared" ref="ES50:ES55" si="876">ES43</f>
        <v>24</v>
      </c>
      <c r="ET50" s="424">
        <f t="shared" ref="ET50:ET55" si="877">EP50</f>
        <v>5</v>
      </c>
      <c r="EU50" s="432">
        <f t="shared" ref="EU50:EU55" si="878">ES50*EK50*ET50</f>
        <v>1402380</v>
      </c>
      <c r="EV50" s="424">
        <f t="shared" ref="EV50:EV55" si="879">EU50*EM50</f>
        <v>894915868.80937517</v>
      </c>
      <c r="EW50" s="423">
        <f t="shared" ref="EW50:EW55" si="880">EW43</f>
        <v>288</v>
      </c>
      <c r="EX50" s="424">
        <f t="shared" ref="EX50:EX55" si="881">ET50</f>
        <v>5</v>
      </c>
      <c r="EY50" s="432">
        <f t="shared" ref="EY50:EY55" si="882">EW50*EK50*EX50</f>
        <v>16828560</v>
      </c>
      <c r="EZ50" s="424">
        <f t="shared" ref="EZ50:EZ55" si="883">EY50*EM50</f>
        <v>10738990425.712502</v>
      </c>
      <c r="FB50" s="424"/>
      <c r="FC50" s="430">
        <v>0.21</v>
      </c>
      <c r="FD50" s="424">
        <f>FC50*FB$49</f>
        <v>420</v>
      </c>
      <c r="FE50" s="430">
        <v>0.75</v>
      </c>
      <c r="FF50" s="424">
        <f>FD50*FE50</f>
        <v>315</v>
      </c>
      <c r="FG50" s="423">
        <f>FG49</f>
        <v>53</v>
      </c>
      <c r="FH50" s="424">
        <f t="shared" ref="FH50:FH55" si="884">FF50*FG50</f>
        <v>16695</v>
      </c>
      <c r="FI50" s="431">
        <f>FI43</f>
        <v>0.7</v>
      </c>
      <c r="FJ50" s="424">
        <f t="shared" ref="FJ50:FJ55" si="885">FH50*FI50</f>
        <v>11686.5</v>
      </c>
      <c r="FK50" s="424">
        <v>3</v>
      </c>
      <c r="FL50" s="424">
        <f>FL43</f>
        <v>670.04782031250022</v>
      </c>
      <c r="FM50" s="424">
        <f t="shared" ref="FM50:FM55" si="886">FL50*FJ50*FK50</f>
        <v>23491541.556246102</v>
      </c>
      <c r="FN50" s="423">
        <f t="shared" ref="FN50:FN55" si="887">FN43</f>
        <v>6</v>
      </c>
      <c r="FO50" s="424">
        <v>5</v>
      </c>
      <c r="FP50" s="432">
        <f t="shared" ref="FP50:FP55" si="888">FN50*FJ50</f>
        <v>70119</v>
      </c>
      <c r="FQ50" s="424">
        <f t="shared" ref="FQ50:FQ55" si="889">FP50*FL50*FO50</f>
        <v>234915415.56246102</v>
      </c>
      <c r="FR50" s="423">
        <f t="shared" ref="FR50:FR55" si="890">FR43</f>
        <v>24</v>
      </c>
      <c r="FS50" s="424">
        <f t="shared" ref="FS50:FS55" si="891">FO50</f>
        <v>5</v>
      </c>
      <c r="FT50" s="432">
        <f t="shared" ref="FT50:FT55" si="892">FR50*FJ50*FS50</f>
        <v>1402380</v>
      </c>
      <c r="FU50" s="424">
        <f t="shared" ref="FU50:FU55" si="893">FT50*FL50</f>
        <v>939661662.24984407</v>
      </c>
      <c r="FV50" s="423">
        <f t="shared" ref="FV50:FV55" si="894">FV43</f>
        <v>288</v>
      </c>
      <c r="FW50" s="424">
        <f t="shared" ref="FW50:FW55" si="895">FS50</f>
        <v>5</v>
      </c>
      <c r="FX50" s="432">
        <f t="shared" ref="FX50:FX55" si="896">FV50*FJ50*FW50</f>
        <v>16828560</v>
      </c>
      <c r="FY50" s="424">
        <f t="shared" ref="FY50:FY55" si="897">FX50*FL50</f>
        <v>11275939946.998129</v>
      </c>
      <c r="GA50" s="424"/>
      <c r="GB50" s="430">
        <v>0.21</v>
      </c>
      <c r="GC50" s="424">
        <f>GB50*GA$49</f>
        <v>420</v>
      </c>
      <c r="GD50" s="430">
        <v>0.75</v>
      </c>
      <c r="GE50" s="424">
        <f>GC50*GD50</f>
        <v>315</v>
      </c>
      <c r="GF50" s="423">
        <f>GF49</f>
        <v>53</v>
      </c>
      <c r="GG50" s="424">
        <f t="shared" ref="GG50:GG55" si="898">GE50*GF50</f>
        <v>16695</v>
      </c>
      <c r="GH50" s="431">
        <f>GH43</f>
        <v>0.7</v>
      </c>
      <c r="GI50" s="424">
        <f t="shared" ref="GI50:GI55" si="899">GG50*GH50</f>
        <v>11686.5</v>
      </c>
      <c r="GJ50" s="424">
        <v>3</v>
      </c>
      <c r="GK50" s="424">
        <f>GK43</f>
        <v>703.55021132812522</v>
      </c>
      <c r="GL50" s="424">
        <f t="shared" ref="GL50:GL55" si="900">GK50*GI50*GJ50</f>
        <v>24666118.634058405</v>
      </c>
      <c r="GM50" s="423">
        <f t="shared" ref="GM50:GM55" si="901">GM43</f>
        <v>6</v>
      </c>
      <c r="GN50" s="424">
        <v>5</v>
      </c>
      <c r="GO50" s="432">
        <f t="shared" ref="GO50:GO55" si="902">GM50*GI50</f>
        <v>70119</v>
      </c>
      <c r="GP50" s="424">
        <f t="shared" ref="GP50:GP55" si="903">GO50*GK50*GN50</f>
        <v>246661186.34058404</v>
      </c>
      <c r="GQ50" s="423">
        <f t="shared" ref="GQ50:GQ55" si="904">GQ43</f>
        <v>24</v>
      </c>
      <c r="GR50" s="424">
        <f t="shared" ref="GR50:GR55" si="905">GN50</f>
        <v>5</v>
      </c>
      <c r="GS50" s="432">
        <f t="shared" ref="GS50:GS55" si="906">GQ50*GI50*GR50</f>
        <v>1402380</v>
      </c>
      <c r="GT50" s="424">
        <f t="shared" ref="GT50:GT55" si="907">GS50*GK50</f>
        <v>986644745.36233628</v>
      </c>
      <c r="GU50" s="423">
        <f t="shared" ref="GU50:GU55" si="908">GU43</f>
        <v>288</v>
      </c>
      <c r="GV50" s="424">
        <f t="shared" ref="GV50:GV55" si="909">GR50</f>
        <v>5</v>
      </c>
      <c r="GW50" s="432">
        <f t="shared" ref="GW50:GW55" si="910">GU50*GI50*GV50</f>
        <v>16828560</v>
      </c>
      <c r="GX50" s="424">
        <f t="shared" ref="GX50:GX55" si="911">GW50*GK50</f>
        <v>11839736944.348036</v>
      </c>
      <c r="GZ50" s="424"/>
      <c r="HA50" s="430">
        <v>0.21</v>
      </c>
      <c r="HB50" s="424">
        <f>HA50*GZ$49</f>
        <v>420</v>
      </c>
      <c r="HC50" s="430">
        <v>0.75</v>
      </c>
      <c r="HD50" s="424">
        <f>HB50*HC50</f>
        <v>315</v>
      </c>
      <c r="HE50" s="423">
        <f>HE49</f>
        <v>53</v>
      </c>
      <c r="HF50" s="424">
        <f t="shared" ref="HF50:HF55" si="912">HD50*HE50</f>
        <v>16695</v>
      </c>
      <c r="HG50" s="431">
        <f>HG43</f>
        <v>0.7</v>
      </c>
      <c r="HH50" s="424">
        <f t="shared" ref="HH50:HH55" si="913">HF50*HG50</f>
        <v>11686.5</v>
      </c>
      <c r="HI50" s="424">
        <v>3</v>
      </c>
      <c r="HJ50" s="424">
        <f>HJ43</f>
        <v>738.72772189453156</v>
      </c>
      <c r="HK50" s="424">
        <f t="shared" ref="HK50:HK55" si="914">HJ50*HH50*HI50</f>
        <v>25899424.565761328</v>
      </c>
      <c r="HL50" s="423">
        <f t="shared" ref="HL50:HL55" si="915">HL43</f>
        <v>6</v>
      </c>
      <c r="HM50" s="424">
        <v>5</v>
      </c>
      <c r="HN50" s="432">
        <f t="shared" ref="HN50:HN55" si="916">HL50*HH50</f>
        <v>70119</v>
      </c>
      <c r="HO50" s="424">
        <f t="shared" ref="HO50:HO55" si="917">HN50*HJ50*HM50</f>
        <v>258994245.65761328</v>
      </c>
      <c r="HP50" s="423">
        <f t="shared" ref="HP50:HP55" si="918">HP43</f>
        <v>24</v>
      </c>
      <c r="HQ50" s="424">
        <f t="shared" ref="HQ50:HQ55" si="919">HM50</f>
        <v>5</v>
      </c>
      <c r="HR50" s="432">
        <f t="shared" ref="HR50:HR55" si="920">HP50*HH50*HQ50</f>
        <v>1402380</v>
      </c>
      <c r="HS50" s="424">
        <f t="shared" ref="HS50:HS55" si="921">HR50*HJ50</f>
        <v>1035976982.6304531</v>
      </c>
      <c r="HT50" s="423">
        <f t="shared" ref="HT50:HT55" si="922">HT43</f>
        <v>288</v>
      </c>
      <c r="HU50" s="424">
        <f t="shared" ref="HU50:HU55" si="923">HQ50</f>
        <v>5</v>
      </c>
      <c r="HV50" s="432">
        <f t="shared" ref="HV50:HV55" si="924">HT50*HH50*HU50</f>
        <v>16828560</v>
      </c>
      <c r="HW50" s="424">
        <f t="shared" ref="HW50:HW55" si="925">HV50*HJ50</f>
        <v>12431723791.565437</v>
      </c>
      <c r="HY50" s="424"/>
      <c r="HZ50" s="430">
        <v>0.21</v>
      </c>
      <c r="IA50" s="424">
        <f>HZ50*HY$49</f>
        <v>420</v>
      </c>
      <c r="IB50" s="430">
        <v>0.75</v>
      </c>
      <c r="IC50" s="424">
        <f>IA50*IB50</f>
        <v>315</v>
      </c>
      <c r="ID50" s="423">
        <f>ID49</f>
        <v>53</v>
      </c>
      <c r="IE50" s="424">
        <f t="shared" ref="IE50:IE55" si="926">IC50*ID50</f>
        <v>16695</v>
      </c>
      <c r="IF50" s="431">
        <f>IF43</f>
        <v>0.7</v>
      </c>
      <c r="IG50" s="424">
        <f t="shared" ref="IG50:IG55" si="927">IE50*IF50</f>
        <v>11686.5</v>
      </c>
      <c r="IH50" s="424">
        <v>3</v>
      </c>
      <c r="II50" s="424">
        <f>II43</f>
        <v>775.66410798925813</v>
      </c>
      <c r="IJ50" s="424">
        <f t="shared" ref="IJ50:IJ55" si="928">II50*IG50*IH50</f>
        <v>27194395.794049397</v>
      </c>
      <c r="IK50" s="423">
        <f t="shared" ref="IK50:IK55" si="929">IK43</f>
        <v>6</v>
      </c>
      <c r="IL50" s="424">
        <v>5</v>
      </c>
      <c r="IM50" s="432">
        <f t="shared" ref="IM50:IM55" si="930">IK50*IG50</f>
        <v>70119</v>
      </c>
      <c r="IN50" s="424">
        <f t="shared" ref="IN50:IN55" si="931">IM50*II50*IL50</f>
        <v>271943957.94049394</v>
      </c>
      <c r="IO50" s="423">
        <f t="shared" ref="IO50:IO55" si="932">IO43</f>
        <v>24</v>
      </c>
      <c r="IP50" s="424">
        <f t="shared" ref="IP50:IP55" si="933">IL50</f>
        <v>5</v>
      </c>
      <c r="IQ50" s="432">
        <f t="shared" ref="IQ50:IQ55" si="934">IO50*IG50*IP50</f>
        <v>1402380</v>
      </c>
      <c r="IR50" s="424">
        <f t="shared" ref="IR50:IR55" si="935">IQ50*II50</f>
        <v>1087775831.7619758</v>
      </c>
      <c r="IS50" s="423">
        <f t="shared" ref="IS50:IS55" si="936">IS43</f>
        <v>288</v>
      </c>
      <c r="IT50" s="424">
        <f t="shared" ref="IT50:IT55" si="937">IP50</f>
        <v>5</v>
      </c>
      <c r="IU50" s="432">
        <f t="shared" ref="IU50:IU55" si="938">IS50*IG50*IT50</f>
        <v>16828560</v>
      </c>
      <c r="IV50" s="424">
        <f t="shared" ref="IV50:IV55" si="939">IU50*II50</f>
        <v>13053309981.143709</v>
      </c>
    </row>
    <row r="51" spans="2:256" x14ac:dyDescent="0.25">
      <c r="B51" s="422"/>
      <c r="C51" s="422"/>
      <c r="D51" s="422"/>
      <c r="E51" s="419" t="s">
        <v>144</v>
      </c>
      <c r="F51" s="423"/>
      <c r="G51" s="423"/>
      <c r="H51" s="424"/>
      <c r="I51" s="430">
        <v>0.3</v>
      </c>
      <c r="J51" s="424">
        <f t="shared" ref="J51:J55" si="940">I51*H$49</f>
        <v>120</v>
      </c>
      <c r="K51" s="433">
        <f>K50</f>
        <v>0.75</v>
      </c>
      <c r="L51" s="424">
        <f t="shared" ref="L51:L55" si="941">J51*K51</f>
        <v>90</v>
      </c>
      <c r="M51" s="423">
        <f t="shared" ref="M51:M55" si="942">M50</f>
        <v>37</v>
      </c>
      <c r="N51" s="424">
        <f t="shared" si="800"/>
        <v>3330</v>
      </c>
      <c r="O51" s="431">
        <f>'Parameters and Summary'!E83</f>
        <v>0.68600000000000005</v>
      </c>
      <c r="P51" s="424">
        <f t="shared" si="801"/>
        <v>2284.38</v>
      </c>
      <c r="Q51" s="424">
        <f>Q50</f>
        <v>3</v>
      </c>
      <c r="R51" s="424">
        <f t="shared" ref="R51:R55" si="943">R44</f>
        <v>500</v>
      </c>
      <c r="S51" s="424">
        <f t="shared" si="802"/>
        <v>3426570</v>
      </c>
      <c r="T51" s="423">
        <f t="shared" si="803"/>
        <v>6</v>
      </c>
      <c r="U51" s="424">
        <f>U50</f>
        <v>5</v>
      </c>
      <c r="V51" s="432">
        <f t="shared" si="804"/>
        <v>13706.28</v>
      </c>
      <c r="W51" s="424">
        <f t="shared" si="805"/>
        <v>34265700</v>
      </c>
      <c r="X51" s="423">
        <f t="shared" si="806"/>
        <v>24</v>
      </c>
      <c r="Y51" s="424">
        <f t="shared" si="807"/>
        <v>5</v>
      </c>
      <c r="Z51" s="432">
        <f t="shared" si="808"/>
        <v>274125.60000000003</v>
      </c>
      <c r="AA51" s="424">
        <f t="shared" si="809"/>
        <v>137062800.00000003</v>
      </c>
      <c r="AB51" s="423">
        <f t="shared" si="810"/>
        <v>288</v>
      </c>
      <c r="AC51" s="424">
        <f t="shared" si="811"/>
        <v>5</v>
      </c>
      <c r="AD51" s="432">
        <f t="shared" si="812"/>
        <v>3289507.2</v>
      </c>
      <c r="AE51" s="424">
        <f t="shared" si="813"/>
        <v>1644753600</v>
      </c>
      <c r="AG51" s="424"/>
      <c r="AH51" s="430">
        <v>0.3</v>
      </c>
      <c r="AI51" s="424">
        <f t="shared" ref="AI51:AI55" si="944">AH51*AG$49</f>
        <v>240</v>
      </c>
      <c r="AJ51" s="433">
        <f>AJ50</f>
        <v>0.75</v>
      </c>
      <c r="AK51" s="424">
        <f t="shared" ref="AK51:AK55" si="945">AI51*AJ51</f>
        <v>180</v>
      </c>
      <c r="AL51" s="423">
        <f t="shared" ref="AL51:AL55" si="946">AL50</f>
        <v>37</v>
      </c>
      <c r="AM51" s="424">
        <f t="shared" si="814"/>
        <v>6660</v>
      </c>
      <c r="AN51" s="431">
        <f t="shared" ref="AN51:AN55" si="947">AN44</f>
        <v>0.68600000000000005</v>
      </c>
      <c r="AO51" s="424">
        <f t="shared" si="815"/>
        <v>4568.76</v>
      </c>
      <c r="AP51" s="424">
        <f>AP50</f>
        <v>3</v>
      </c>
      <c r="AQ51" s="424">
        <f t="shared" ref="AQ51:AQ55" si="948">AQ44</f>
        <v>525</v>
      </c>
      <c r="AR51" s="424">
        <f t="shared" si="816"/>
        <v>7195797</v>
      </c>
      <c r="AS51" s="423">
        <f t="shared" si="817"/>
        <v>6</v>
      </c>
      <c r="AT51" s="424">
        <f>AT50</f>
        <v>5</v>
      </c>
      <c r="AU51" s="432">
        <f t="shared" si="818"/>
        <v>27412.560000000001</v>
      </c>
      <c r="AV51" s="424">
        <f t="shared" si="819"/>
        <v>71957970</v>
      </c>
      <c r="AW51" s="423">
        <f t="shared" si="820"/>
        <v>24</v>
      </c>
      <c r="AX51" s="424">
        <f t="shared" si="821"/>
        <v>5</v>
      </c>
      <c r="AY51" s="432">
        <f t="shared" si="822"/>
        <v>548251.20000000007</v>
      </c>
      <c r="AZ51" s="424">
        <f t="shared" si="823"/>
        <v>287831880.00000006</v>
      </c>
      <c r="BA51" s="423">
        <f t="shared" si="824"/>
        <v>288</v>
      </c>
      <c r="BB51" s="424">
        <f t="shared" si="825"/>
        <v>5</v>
      </c>
      <c r="BC51" s="432">
        <f t="shared" si="826"/>
        <v>6579014.4000000004</v>
      </c>
      <c r="BD51" s="424">
        <f t="shared" si="827"/>
        <v>3453982560</v>
      </c>
      <c r="BF51" s="424"/>
      <c r="BG51" s="430">
        <v>0.3</v>
      </c>
      <c r="BH51" s="424">
        <f t="shared" ref="BH51:BH55" si="949">BG51*BF$49</f>
        <v>360</v>
      </c>
      <c r="BI51" s="433">
        <f>BI50</f>
        <v>0.75</v>
      </c>
      <c r="BJ51" s="424">
        <f t="shared" ref="BJ51:BJ55" si="950">BH51*BI51</f>
        <v>270</v>
      </c>
      <c r="BK51" s="423">
        <f t="shared" ref="BK51:BK55" si="951">BK50</f>
        <v>53</v>
      </c>
      <c r="BL51" s="424">
        <f t="shared" si="828"/>
        <v>14310</v>
      </c>
      <c r="BM51" s="431">
        <f t="shared" ref="BM51:BM55" si="952">BM44</f>
        <v>0.68600000000000005</v>
      </c>
      <c r="BN51" s="424">
        <f t="shared" si="829"/>
        <v>9816.6600000000017</v>
      </c>
      <c r="BO51" s="424">
        <f>BO50</f>
        <v>3</v>
      </c>
      <c r="BP51" s="424">
        <f t="shared" ref="BP51:BP55" si="953">BP44</f>
        <v>551.25</v>
      </c>
      <c r="BQ51" s="424">
        <f t="shared" si="830"/>
        <v>16234301.475000003</v>
      </c>
      <c r="BR51" s="423">
        <f t="shared" si="831"/>
        <v>6</v>
      </c>
      <c r="BS51" s="424">
        <f>BS50</f>
        <v>5</v>
      </c>
      <c r="BT51" s="432">
        <f t="shared" si="832"/>
        <v>58899.960000000006</v>
      </c>
      <c r="BU51" s="424">
        <f t="shared" si="833"/>
        <v>162343014.75</v>
      </c>
      <c r="BV51" s="423">
        <f t="shared" si="834"/>
        <v>24</v>
      </c>
      <c r="BW51" s="424">
        <f t="shared" si="835"/>
        <v>5</v>
      </c>
      <c r="BX51" s="432">
        <f t="shared" si="836"/>
        <v>1177999.2000000002</v>
      </c>
      <c r="BY51" s="424">
        <f t="shared" si="837"/>
        <v>649372059.00000012</v>
      </c>
      <c r="BZ51" s="423">
        <f t="shared" si="838"/>
        <v>288</v>
      </c>
      <c r="CA51" s="424">
        <f t="shared" si="839"/>
        <v>5</v>
      </c>
      <c r="CB51" s="432">
        <f t="shared" si="840"/>
        <v>14135990.400000002</v>
      </c>
      <c r="CC51" s="424">
        <f t="shared" si="841"/>
        <v>7792464708.000001</v>
      </c>
      <c r="CE51" s="424"/>
      <c r="CF51" s="430">
        <v>0.3</v>
      </c>
      <c r="CG51" s="424">
        <f t="shared" ref="CG51:CG55" si="954">CF51*CE$49</f>
        <v>480</v>
      </c>
      <c r="CH51" s="433">
        <f>CH50</f>
        <v>0.75</v>
      </c>
      <c r="CI51" s="424">
        <f t="shared" ref="CI51:CI55" si="955">CG51*CH51</f>
        <v>360</v>
      </c>
      <c r="CJ51" s="423">
        <f t="shared" ref="CJ51:CJ55" si="956">CJ50</f>
        <v>53</v>
      </c>
      <c r="CK51" s="424">
        <f t="shared" si="842"/>
        <v>19080</v>
      </c>
      <c r="CL51" s="431">
        <f t="shared" ref="CL51:CL55" si="957">CL44</f>
        <v>0.68600000000000005</v>
      </c>
      <c r="CM51" s="424">
        <f t="shared" si="843"/>
        <v>13088.880000000001</v>
      </c>
      <c r="CN51" s="424">
        <f>CN50</f>
        <v>3</v>
      </c>
      <c r="CO51" s="424">
        <f t="shared" ref="CO51:CO55" si="958">CO44</f>
        <v>578.8125</v>
      </c>
      <c r="CP51" s="424">
        <f t="shared" si="844"/>
        <v>22728022.065000001</v>
      </c>
      <c r="CQ51" s="423">
        <f t="shared" si="845"/>
        <v>6</v>
      </c>
      <c r="CR51" s="424">
        <f>CR50</f>
        <v>5</v>
      </c>
      <c r="CS51" s="432">
        <f t="shared" si="846"/>
        <v>78533.279999999999</v>
      </c>
      <c r="CT51" s="424">
        <f t="shared" si="847"/>
        <v>227280220.65000001</v>
      </c>
      <c r="CU51" s="423">
        <f t="shared" si="848"/>
        <v>24</v>
      </c>
      <c r="CV51" s="424">
        <f t="shared" si="849"/>
        <v>5</v>
      </c>
      <c r="CW51" s="432">
        <f t="shared" si="850"/>
        <v>1570665.6</v>
      </c>
      <c r="CX51" s="424">
        <f t="shared" si="851"/>
        <v>909120882.60000002</v>
      </c>
      <c r="CY51" s="423">
        <f t="shared" si="852"/>
        <v>288</v>
      </c>
      <c r="CZ51" s="424">
        <f t="shared" si="853"/>
        <v>5</v>
      </c>
      <c r="DA51" s="432">
        <f t="shared" si="854"/>
        <v>18847987.200000003</v>
      </c>
      <c r="DB51" s="424">
        <f t="shared" si="855"/>
        <v>10909450591.200003</v>
      </c>
      <c r="DD51" s="424"/>
      <c r="DE51" s="430">
        <v>0.3</v>
      </c>
      <c r="DF51" s="424">
        <f t="shared" ref="DF51:DF55" si="959">DE51*DD$49</f>
        <v>600</v>
      </c>
      <c r="DG51" s="433">
        <f>DG50</f>
        <v>0.75</v>
      </c>
      <c r="DH51" s="424">
        <f t="shared" ref="DH51:DH55" si="960">DF51*DG51</f>
        <v>450</v>
      </c>
      <c r="DI51" s="423">
        <f t="shared" ref="DI51:DI55" si="961">DI50</f>
        <v>53</v>
      </c>
      <c r="DJ51" s="424">
        <f t="shared" si="856"/>
        <v>23850</v>
      </c>
      <c r="DK51" s="431">
        <f t="shared" ref="DK51:DK55" si="962">DK44</f>
        <v>0.68600000000000005</v>
      </c>
      <c r="DL51" s="424">
        <f t="shared" si="857"/>
        <v>16361.100000000002</v>
      </c>
      <c r="DM51" s="424">
        <f>DM50</f>
        <v>3</v>
      </c>
      <c r="DN51" s="424">
        <f t="shared" ref="DN51:DN55" si="963">DN44</f>
        <v>607.75312500000007</v>
      </c>
      <c r="DO51" s="424">
        <f t="shared" si="858"/>
        <v>29830528.960312508</v>
      </c>
      <c r="DP51" s="423">
        <f t="shared" si="859"/>
        <v>6</v>
      </c>
      <c r="DQ51" s="424">
        <f>DQ50</f>
        <v>5</v>
      </c>
      <c r="DR51" s="432">
        <f t="shared" si="860"/>
        <v>98166.6</v>
      </c>
      <c r="DS51" s="424">
        <f t="shared" si="861"/>
        <v>298305289.60312504</v>
      </c>
      <c r="DT51" s="423">
        <f t="shared" si="862"/>
        <v>24</v>
      </c>
      <c r="DU51" s="424">
        <f t="shared" si="863"/>
        <v>5</v>
      </c>
      <c r="DV51" s="432">
        <f t="shared" si="864"/>
        <v>1963332</v>
      </c>
      <c r="DW51" s="424">
        <f t="shared" si="865"/>
        <v>1193221158.4125001</v>
      </c>
      <c r="DX51" s="423">
        <f t="shared" si="866"/>
        <v>288</v>
      </c>
      <c r="DY51" s="424">
        <f t="shared" si="867"/>
        <v>5</v>
      </c>
      <c r="DZ51" s="432">
        <f t="shared" si="868"/>
        <v>23559984.000000004</v>
      </c>
      <c r="EA51" s="424">
        <f t="shared" si="869"/>
        <v>14318653900.950005</v>
      </c>
      <c r="EC51" s="424"/>
      <c r="ED51" s="430">
        <v>0.3</v>
      </c>
      <c r="EE51" s="424">
        <f t="shared" ref="EE51:EE55" si="964">ED51*EC$49</f>
        <v>600</v>
      </c>
      <c r="EF51" s="433">
        <f>EF50</f>
        <v>0.75</v>
      </c>
      <c r="EG51" s="424">
        <f t="shared" ref="EG51:EG55" si="965">EE51*EF51</f>
        <v>450</v>
      </c>
      <c r="EH51" s="423">
        <f t="shared" ref="EH51:EH55" si="966">EH50</f>
        <v>53</v>
      </c>
      <c r="EI51" s="424">
        <f t="shared" si="870"/>
        <v>23850</v>
      </c>
      <c r="EJ51" s="431">
        <f t="shared" ref="EJ51:EJ55" si="967">EJ44</f>
        <v>0.68600000000000005</v>
      </c>
      <c r="EK51" s="424">
        <f t="shared" si="871"/>
        <v>16361.100000000002</v>
      </c>
      <c r="EL51" s="424">
        <f>EL50</f>
        <v>3</v>
      </c>
      <c r="EM51" s="424">
        <f t="shared" ref="EM51:EM55" si="968">EM44</f>
        <v>638.14078125000015</v>
      </c>
      <c r="EN51" s="424">
        <f t="shared" si="872"/>
        <v>31322055.408328135</v>
      </c>
      <c r="EO51" s="423">
        <f t="shared" si="873"/>
        <v>6</v>
      </c>
      <c r="EP51" s="424">
        <f>EP50</f>
        <v>5</v>
      </c>
      <c r="EQ51" s="432">
        <f t="shared" si="874"/>
        <v>98166.6</v>
      </c>
      <c r="ER51" s="424">
        <f t="shared" si="875"/>
        <v>313220554.08328134</v>
      </c>
      <c r="ES51" s="423">
        <f t="shared" si="876"/>
        <v>24</v>
      </c>
      <c r="ET51" s="424">
        <f t="shared" si="877"/>
        <v>5</v>
      </c>
      <c r="EU51" s="432">
        <f t="shared" si="878"/>
        <v>1963332</v>
      </c>
      <c r="EV51" s="424">
        <f t="shared" si="879"/>
        <v>1252882216.3331254</v>
      </c>
      <c r="EW51" s="423">
        <f t="shared" si="880"/>
        <v>288</v>
      </c>
      <c r="EX51" s="424">
        <f t="shared" si="881"/>
        <v>5</v>
      </c>
      <c r="EY51" s="432">
        <f t="shared" si="882"/>
        <v>23559984.000000004</v>
      </c>
      <c r="EZ51" s="424">
        <f t="shared" si="883"/>
        <v>15034586595.997505</v>
      </c>
      <c r="FB51" s="424"/>
      <c r="FC51" s="430">
        <v>0.3</v>
      </c>
      <c r="FD51" s="424">
        <f t="shared" ref="FD51:FD55" si="969">FC51*FB$49</f>
        <v>600</v>
      </c>
      <c r="FE51" s="433">
        <f>FE50</f>
        <v>0.75</v>
      </c>
      <c r="FF51" s="424">
        <f t="shared" ref="FF51:FF55" si="970">FD51*FE51</f>
        <v>450</v>
      </c>
      <c r="FG51" s="423">
        <f t="shared" ref="FG51:FG55" si="971">FG50</f>
        <v>53</v>
      </c>
      <c r="FH51" s="424">
        <f t="shared" si="884"/>
        <v>23850</v>
      </c>
      <c r="FI51" s="431">
        <f t="shared" ref="FI51:FI55" si="972">FI44</f>
        <v>0.68600000000000005</v>
      </c>
      <c r="FJ51" s="424">
        <f t="shared" si="885"/>
        <v>16361.100000000002</v>
      </c>
      <c r="FK51" s="424">
        <f>FK50</f>
        <v>3</v>
      </c>
      <c r="FL51" s="424">
        <f t="shared" ref="FL51:FL55" si="973">FL44</f>
        <v>670.04782031250022</v>
      </c>
      <c r="FM51" s="424">
        <f t="shared" si="886"/>
        <v>32888158.178744547</v>
      </c>
      <c r="FN51" s="423">
        <f t="shared" si="887"/>
        <v>6</v>
      </c>
      <c r="FO51" s="424">
        <f>FO50</f>
        <v>5</v>
      </c>
      <c r="FP51" s="432">
        <f t="shared" si="888"/>
        <v>98166.6</v>
      </c>
      <c r="FQ51" s="424">
        <f t="shared" si="889"/>
        <v>328881581.78744543</v>
      </c>
      <c r="FR51" s="423">
        <f t="shared" si="890"/>
        <v>24</v>
      </c>
      <c r="FS51" s="424">
        <f t="shared" si="891"/>
        <v>5</v>
      </c>
      <c r="FT51" s="432">
        <f t="shared" si="892"/>
        <v>1963332</v>
      </c>
      <c r="FU51" s="424">
        <f t="shared" si="893"/>
        <v>1315526327.1497817</v>
      </c>
      <c r="FV51" s="423">
        <f t="shared" si="894"/>
        <v>288</v>
      </c>
      <c r="FW51" s="424">
        <f t="shared" si="895"/>
        <v>5</v>
      </c>
      <c r="FX51" s="432">
        <f t="shared" si="896"/>
        <v>23559984.000000004</v>
      </c>
      <c r="FY51" s="424">
        <f t="shared" si="897"/>
        <v>15786315925.797382</v>
      </c>
      <c r="GA51" s="424"/>
      <c r="GB51" s="430">
        <v>0.3</v>
      </c>
      <c r="GC51" s="424">
        <f t="shared" ref="GC51:GC55" si="974">GB51*GA$49</f>
        <v>600</v>
      </c>
      <c r="GD51" s="433">
        <f>GD50</f>
        <v>0.75</v>
      </c>
      <c r="GE51" s="424">
        <f t="shared" ref="GE51:GE55" si="975">GC51*GD51</f>
        <v>450</v>
      </c>
      <c r="GF51" s="423">
        <f t="shared" ref="GF51:GF55" si="976">GF50</f>
        <v>53</v>
      </c>
      <c r="GG51" s="424">
        <f t="shared" si="898"/>
        <v>23850</v>
      </c>
      <c r="GH51" s="431">
        <f t="shared" ref="GH51:GH55" si="977">GH44</f>
        <v>0.68600000000000005</v>
      </c>
      <c r="GI51" s="424">
        <f t="shared" si="899"/>
        <v>16361.100000000002</v>
      </c>
      <c r="GJ51" s="424">
        <f>GJ50</f>
        <v>3</v>
      </c>
      <c r="GK51" s="424">
        <f t="shared" ref="GK51:GK55" si="978">GK44</f>
        <v>703.55021132812522</v>
      </c>
      <c r="GL51" s="424">
        <f t="shared" si="900"/>
        <v>34532566.08768177</v>
      </c>
      <c r="GM51" s="423">
        <f t="shared" si="901"/>
        <v>6</v>
      </c>
      <c r="GN51" s="424">
        <f>GN50</f>
        <v>5</v>
      </c>
      <c r="GO51" s="432">
        <f t="shared" si="902"/>
        <v>98166.6</v>
      </c>
      <c r="GP51" s="424">
        <f t="shared" si="903"/>
        <v>345325660.8768177</v>
      </c>
      <c r="GQ51" s="423">
        <f t="shared" si="904"/>
        <v>24</v>
      </c>
      <c r="GR51" s="424">
        <f t="shared" si="905"/>
        <v>5</v>
      </c>
      <c r="GS51" s="432">
        <f t="shared" si="906"/>
        <v>1963332</v>
      </c>
      <c r="GT51" s="424">
        <f t="shared" si="907"/>
        <v>1381302643.5072708</v>
      </c>
      <c r="GU51" s="423">
        <f t="shared" si="908"/>
        <v>288</v>
      </c>
      <c r="GV51" s="424">
        <f t="shared" si="909"/>
        <v>5</v>
      </c>
      <c r="GW51" s="432">
        <f t="shared" si="910"/>
        <v>23559984.000000004</v>
      </c>
      <c r="GX51" s="424">
        <f t="shared" si="911"/>
        <v>16575631722.087252</v>
      </c>
      <c r="GZ51" s="424"/>
      <c r="HA51" s="430">
        <v>0.3</v>
      </c>
      <c r="HB51" s="424">
        <f t="shared" ref="HB51:HB55" si="979">HA51*GZ$49</f>
        <v>600</v>
      </c>
      <c r="HC51" s="433">
        <f>HC50</f>
        <v>0.75</v>
      </c>
      <c r="HD51" s="424">
        <f t="shared" ref="HD51:HD55" si="980">HB51*HC51</f>
        <v>450</v>
      </c>
      <c r="HE51" s="423">
        <f t="shared" ref="HE51:HE55" si="981">HE50</f>
        <v>53</v>
      </c>
      <c r="HF51" s="424">
        <f t="shared" si="912"/>
        <v>23850</v>
      </c>
      <c r="HG51" s="431">
        <f t="shared" ref="HG51:HG55" si="982">HG44</f>
        <v>0.68600000000000005</v>
      </c>
      <c r="HH51" s="424">
        <f t="shared" si="913"/>
        <v>16361.100000000002</v>
      </c>
      <c r="HI51" s="424">
        <f>HI50</f>
        <v>3</v>
      </c>
      <c r="HJ51" s="424">
        <f t="shared" ref="HJ51:HJ55" si="983">HJ44</f>
        <v>738.72772189453156</v>
      </c>
      <c r="HK51" s="424">
        <f t="shared" si="914"/>
        <v>36259194.392065868</v>
      </c>
      <c r="HL51" s="423">
        <f t="shared" si="915"/>
        <v>6</v>
      </c>
      <c r="HM51" s="424">
        <f>HM50</f>
        <v>5</v>
      </c>
      <c r="HN51" s="432">
        <f t="shared" si="916"/>
        <v>98166.6</v>
      </c>
      <c r="HO51" s="424">
        <f t="shared" si="917"/>
        <v>362591943.92065859</v>
      </c>
      <c r="HP51" s="423">
        <f t="shared" si="918"/>
        <v>24</v>
      </c>
      <c r="HQ51" s="424">
        <f t="shared" si="919"/>
        <v>5</v>
      </c>
      <c r="HR51" s="432">
        <f t="shared" si="920"/>
        <v>1963332</v>
      </c>
      <c r="HS51" s="424">
        <f t="shared" si="921"/>
        <v>1450367775.6826344</v>
      </c>
      <c r="HT51" s="423">
        <f t="shared" si="922"/>
        <v>288</v>
      </c>
      <c r="HU51" s="424">
        <f t="shared" si="923"/>
        <v>5</v>
      </c>
      <c r="HV51" s="432">
        <f t="shared" si="924"/>
        <v>23559984.000000004</v>
      </c>
      <c r="HW51" s="424">
        <f t="shared" si="925"/>
        <v>17404413308.191616</v>
      </c>
      <c r="HY51" s="424"/>
      <c r="HZ51" s="430">
        <v>0.3</v>
      </c>
      <c r="IA51" s="424">
        <f t="shared" ref="IA51:IA55" si="984">HZ51*HY$49</f>
        <v>600</v>
      </c>
      <c r="IB51" s="433">
        <f>IB50</f>
        <v>0.75</v>
      </c>
      <c r="IC51" s="424">
        <f t="shared" ref="IC51:IC55" si="985">IA51*IB51</f>
        <v>450</v>
      </c>
      <c r="ID51" s="423">
        <f t="shared" ref="ID51:ID55" si="986">ID50</f>
        <v>53</v>
      </c>
      <c r="IE51" s="424">
        <f t="shared" si="926"/>
        <v>23850</v>
      </c>
      <c r="IF51" s="431">
        <f t="shared" ref="IF51:IF55" si="987">IF44</f>
        <v>0.68600000000000005</v>
      </c>
      <c r="IG51" s="424">
        <f t="shared" si="927"/>
        <v>16361.100000000002</v>
      </c>
      <c r="IH51" s="424">
        <f>IH50</f>
        <v>3</v>
      </c>
      <c r="II51" s="424">
        <f t="shared" ref="II51:II55" si="988">II44</f>
        <v>775.66410798925813</v>
      </c>
      <c r="IJ51" s="424">
        <f t="shared" si="928"/>
        <v>38072154.111669153</v>
      </c>
      <c r="IK51" s="423">
        <f t="shared" si="929"/>
        <v>6</v>
      </c>
      <c r="IL51" s="424">
        <f>IL50</f>
        <v>5</v>
      </c>
      <c r="IM51" s="432">
        <f t="shared" si="930"/>
        <v>98166.6</v>
      </c>
      <c r="IN51" s="424">
        <f t="shared" si="931"/>
        <v>380721541.11669153</v>
      </c>
      <c r="IO51" s="423">
        <f t="shared" si="932"/>
        <v>24</v>
      </c>
      <c r="IP51" s="424">
        <f t="shared" si="933"/>
        <v>5</v>
      </c>
      <c r="IQ51" s="432">
        <f t="shared" si="934"/>
        <v>1963332</v>
      </c>
      <c r="IR51" s="424">
        <f t="shared" si="935"/>
        <v>1522886164.4667661</v>
      </c>
      <c r="IS51" s="423">
        <f t="shared" si="936"/>
        <v>288</v>
      </c>
      <c r="IT51" s="424">
        <f t="shared" si="937"/>
        <v>5</v>
      </c>
      <c r="IU51" s="432">
        <f t="shared" si="938"/>
        <v>23559984.000000004</v>
      </c>
      <c r="IV51" s="424">
        <f t="shared" si="939"/>
        <v>18274633973.601196</v>
      </c>
    </row>
    <row r="52" spans="2:256" x14ac:dyDescent="0.25">
      <c r="B52" s="422"/>
      <c r="C52" s="422"/>
      <c r="D52" s="422"/>
      <c r="E52" s="419" t="s">
        <v>145</v>
      </c>
      <c r="F52" s="423"/>
      <c r="G52" s="423"/>
      <c r="H52" s="424"/>
      <c r="I52" s="430">
        <v>0.14000000000000001</v>
      </c>
      <c r="J52" s="424">
        <f t="shared" si="940"/>
        <v>56.000000000000007</v>
      </c>
      <c r="K52" s="433">
        <f t="shared" ref="K52:K55" si="989">K51</f>
        <v>0.75</v>
      </c>
      <c r="L52" s="424">
        <f t="shared" si="941"/>
        <v>42.000000000000007</v>
      </c>
      <c r="M52" s="423">
        <f t="shared" si="942"/>
        <v>37</v>
      </c>
      <c r="N52" s="424">
        <f t="shared" si="800"/>
        <v>1554.0000000000002</v>
      </c>
      <c r="O52" s="431">
        <f>'Parameters and Summary'!E84</f>
        <v>0.6</v>
      </c>
      <c r="P52" s="424">
        <f t="shared" si="801"/>
        <v>932.40000000000009</v>
      </c>
      <c r="Q52" s="424">
        <f t="shared" ref="Q52:Q55" si="990">Q51</f>
        <v>3</v>
      </c>
      <c r="R52" s="424">
        <f t="shared" si="943"/>
        <v>500</v>
      </c>
      <c r="S52" s="424">
        <f t="shared" si="802"/>
        <v>1398600.0000000002</v>
      </c>
      <c r="T52" s="423">
        <f t="shared" si="803"/>
        <v>6</v>
      </c>
      <c r="U52" s="424">
        <f t="shared" ref="U52:U55" si="991">U51</f>
        <v>5</v>
      </c>
      <c r="V52" s="432">
        <f t="shared" si="804"/>
        <v>5594.4000000000005</v>
      </c>
      <c r="W52" s="424">
        <f t="shared" si="805"/>
        <v>13986000.000000002</v>
      </c>
      <c r="X52" s="423">
        <f t="shared" si="806"/>
        <v>24</v>
      </c>
      <c r="Y52" s="424">
        <f t="shared" si="807"/>
        <v>5</v>
      </c>
      <c r="Z52" s="432">
        <f t="shared" si="808"/>
        <v>111888.00000000001</v>
      </c>
      <c r="AA52" s="424">
        <f t="shared" si="809"/>
        <v>55944000.000000007</v>
      </c>
      <c r="AB52" s="423">
        <f t="shared" si="810"/>
        <v>288</v>
      </c>
      <c r="AC52" s="424">
        <f t="shared" si="811"/>
        <v>5</v>
      </c>
      <c r="AD52" s="432">
        <f t="shared" si="812"/>
        <v>1342656</v>
      </c>
      <c r="AE52" s="424">
        <f t="shared" si="813"/>
        <v>671328000</v>
      </c>
      <c r="AG52" s="424"/>
      <c r="AH52" s="430">
        <v>0.14000000000000001</v>
      </c>
      <c r="AI52" s="424">
        <f t="shared" si="944"/>
        <v>112.00000000000001</v>
      </c>
      <c r="AJ52" s="433">
        <f t="shared" ref="AJ52:AJ55" si="992">AJ51</f>
        <v>0.75</v>
      </c>
      <c r="AK52" s="424">
        <f t="shared" si="945"/>
        <v>84.000000000000014</v>
      </c>
      <c r="AL52" s="423">
        <f t="shared" si="946"/>
        <v>37</v>
      </c>
      <c r="AM52" s="424">
        <f t="shared" si="814"/>
        <v>3108.0000000000005</v>
      </c>
      <c r="AN52" s="431">
        <f t="shared" si="947"/>
        <v>0.6</v>
      </c>
      <c r="AO52" s="424">
        <f t="shared" si="815"/>
        <v>1864.8000000000002</v>
      </c>
      <c r="AP52" s="424">
        <f t="shared" ref="AP52:AP55" si="993">AP51</f>
        <v>3</v>
      </c>
      <c r="AQ52" s="424">
        <f t="shared" si="948"/>
        <v>525</v>
      </c>
      <c r="AR52" s="424">
        <f t="shared" si="816"/>
        <v>2937060.0000000005</v>
      </c>
      <c r="AS52" s="423">
        <f t="shared" si="817"/>
        <v>6</v>
      </c>
      <c r="AT52" s="424">
        <f t="shared" ref="AT52:AT55" si="994">AT51</f>
        <v>5</v>
      </c>
      <c r="AU52" s="432">
        <f t="shared" si="818"/>
        <v>11188.800000000001</v>
      </c>
      <c r="AV52" s="424">
        <f t="shared" si="819"/>
        <v>29370600.000000004</v>
      </c>
      <c r="AW52" s="423">
        <f t="shared" si="820"/>
        <v>24</v>
      </c>
      <c r="AX52" s="424">
        <f t="shared" si="821"/>
        <v>5</v>
      </c>
      <c r="AY52" s="432">
        <f t="shared" si="822"/>
        <v>223776.00000000003</v>
      </c>
      <c r="AZ52" s="424">
        <f t="shared" si="823"/>
        <v>117482400.00000001</v>
      </c>
      <c r="BA52" s="423">
        <f t="shared" si="824"/>
        <v>288</v>
      </c>
      <c r="BB52" s="424">
        <f t="shared" si="825"/>
        <v>5</v>
      </c>
      <c r="BC52" s="432">
        <f t="shared" si="826"/>
        <v>2685312</v>
      </c>
      <c r="BD52" s="424">
        <f t="shared" si="827"/>
        <v>1409788800</v>
      </c>
      <c r="BF52" s="424"/>
      <c r="BG52" s="430">
        <v>0.14000000000000001</v>
      </c>
      <c r="BH52" s="424">
        <f t="shared" si="949"/>
        <v>168.00000000000003</v>
      </c>
      <c r="BI52" s="433">
        <f t="shared" ref="BI52:BI55" si="995">BI51</f>
        <v>0.75</v>
      </c>
      <c r="BJ52" s="424">
        <f t="shared" si="950"/>
        <v>126.00000000000003</v>
      </c>
      <c r="BK52" s="423">
        <f t="shared" si="951"/>
        <v>53</v>
      </c>
      <c r="BL52" s="424">
        <f t="shared" si="828"/>
        <v>6678.0000000000018</v>
      </c>
      <c r="BM52" s="431">
        <f t="shared" si="952"/>
        <v>0.6</v>
      </c>
      <c r="BN52" s="424">
        <f t="shared" si="829"/>
        <v>4006.8000000000011</v>
      </c>
      <c r="BO52" s="424">
        <f t="shared" ref="BO52:BO55" si="996">BO51</f>
        <v>3</v>
      </c>
      <c r="BP52" s="424">
        <f t="shared" si="953"/>
        <v>551.25</v>
      </c>
      <c r="BQ52" s="424">
        <f t="shared" si="830"/>
        <v>6626245.5000000019</v>
      </c>
      <c r="BR52" s="423">
        <f t="shared" si="831"/>
        <v>6</v>
      </c>
      <c r="BS52" s="424">
        <f t="shared" ref="BS52:BS55" si="997">BS51</f>
        <v>5</v>
      </c>
      <c r="BT52" s="432">
        <f t="shared" si="832"/>
        <v>24040.800000000007</v>
      </c>
      <c r="BU52" s="424">
        <f t="shared" si="833"/>
        <v>66262455.000000015</v>
      </c>
      <c r="BV52" s="423">
        <f t="shared" si="834"/>
        <v>24</v>
      </c>
      <c r="BW52" s="424">
        <f t="shared" si="835"/>
        <v>5</v>
      </c>
      <c r="BX52" s="432">
        <f t="shared" si="836"/>
        <v>480816.00000000012</v>
      </c>
      <c r="BY52" s="424">
        <f t="shared" si="837"/>
        <v>265049820.00000006</v>
      </c>
      <c r="BZ52" s="423">
        <f t="shared" si="838"/>
        <v>288</v>
      </c>
      <c r="CA52" s="424">
        <f t="shared" si="839"/>
        <v>5</v>
      </c>
      <c r="CB52" s="432">
        <f t="shared" si="840"/>
        <v>5769792.0000000019</v>
      </c>
      <c r="CC52" s="424">
        <f t="shared" si="841"/>
        <v>3180597840.000001</v>
      </c>
      <c r="CE52" s="424"/>
      <c r="CF52" s="430">
        <v>0.14000000000000001</v>
      </c>
      <c r="CG52" s="424">
        <f t="shared" si="954"/>
        <v>224.00000000000003</v>
      </c>
      <c r="CH52" s="433">
        <f t="shared" ref="CH52:CH55" si="998">CH51</f>
        <v>0.75</v>
      </c>
      <c r="CI52" s="424">
        <f t="shared" si="955"/>
        <v>168.00000000000003</v>
      </c>
      <c r="CJ52" s="423">
        <f t="shared" si="956"/>
        <v>53</v>
      </c>
      <c r="CK52" s="424">
        <f t="shared" si="842"/>
        <v>8904.0000000000018</v>
      </c>
      <c r="CL52" s="431">
        <f t="shared" si="957"/>
        <v>0.6</v>
      </c>
      <c r="CM52" s="424">
        <f t="shared" si="843"/>
        <v>5342.4000000000005</v>
      </c>
      <c r="CN52" s="424">
        <f t="shared" ref="CN52:CN55" si="999">CN51</f>
        <v>3</v>
      </c>
      <c r="CO52" s="424">
        <f t="shared" si="958"/>
        <v>578.8125</v>
      </c>
      <c r="CP52" s="424">
        <f t="shared" si="844"/>
        <v>9276743.7000000011</v>
      </c>
      <c r="CQ52" s="423">
        <f t="shared" si="845"/>
        <v>6</v>
      </c>
      <c r="CR52" s="424">
        <f t="shared" ref="CR52:CR55" si="1000">CR51</f>
        <v>5</v>
      </c>
      <c r="CS52" s="432">
        <f t="shared" si="846"/>
        <v>32054.400000000001</v>
      </c>
      <c r="CT52" s="424">
        <f t="shared" si="847"/>
        <v>92767437.000000015</v>
      </c>
      <c r="CU52" s="423">
        <f t="shared" si="848"/>
        <v>24</v>
      </c>
      <c r="CV52" s="424">
        <f t="shared" si="849"/>
        <v>5</v>
      </c>
      <c r="CW52" s="432">
        <f t="shared" si="850"/>
        <v>641088</v>
      </c>
      <c r="CX52" s="424">
        <f t="shared" si="851"/>
        <v>371069748</v>
      </c>
      <c r="CY52" s="423">
        <f t="shared" si="852"/>
        <v>288</v>
      </c>
      <c r="CZ52" s="424">
        <f t="shared" si="853"/>
        <v>5</v>
      </c>
      <c r="DA52" s="432">
        <f t="shared" si="854"/>
        <v>7693056.0000000009</v>
      </c>
      <c r="DB52" s="424">
        <f t="shared" si="855"/>
        <v>4452836976.000001</v>
      </c>
      <c r="DD52" s="424"/>
      <c r="DE52" s="430">
        <v>0.14000000000000001</v>
      </c>
      <c r="DF52" s="424">
        <f t="shared" si="959"/>
        <v>280</v>
      </c>
      <c r="DG52" s="433">
        <f t="shared" ref="DG52:DG55" si="1001">DG51</f>
        <v>0.75</v>
      </c>
      <c r="DH52" s="424">
        <f t="shared" si="960"/>
        <v>210</v>
      </c>
      <c r="DI52" s="423">
        <f t="shared" si="961"/>
        <v>53</v>
      </c>
      <c r="DJ52" s="424">
        <f t="shared" si="856"/>
        <v>11130</v>
      </c>
      <c r="DK52" s="431">
        <f t="shared" si="962"/>
        <v>0.6</v>
      </c>
      <c r="DL52" s="424">
        <f t="shared" si="857"/>
        <v>6678</v>
      </c>
      <c r="DM52" s="424">
        <f t="shared" ref="DM52:DM55" si="1002">DM51</f>
        <v>3</v>
      </c>
      <c r="DN52" s="424">
        <f t="shared" si="963"/>
        <v>607.75312500000007</v>
      </c>
      <c r="DO52" s="424">
        <f t="shared" si="858"/>
        <v>12175726.106250001</v>
      </c>
      <c r="DP52" s="423">
        <f t="shared" si="859"/>
        <v>6</v>
      </c>
      <c r="DQ52" s="424">
        <f t="shared" ref="DQ52:DQ55" si="1003">DQ51</f>
        <v>5</v>
      </c>
      <c r="DR52" s="432">
        <f t="shared" si="860"/>
        <v>40068</v>
      </c>
      <c r="DS52" s="424">
        <f t="shared" si="861"/>
        <v>121757261.06250001</v>
      </c>
      <c r="DT52" s="423">
        <f t="shared" si="862"/>
        <v>24</v>
      </c>
      <c r="DU52" s="424">
        <f t="shared" si="863"/>
        <v>5</v>
      </c>
      <c r="DV52" s="432">
        <f t="shared" si="864"/>
        <v>801360</v>
      </c>
      <c r="DW52" s="424">
        <f t="shared" si="865"/>
        <v>487029044.25000006</v>
      </c>
      <c r="DX52" s="423">
        <f t="shared" si="866"/>
        <v>288</v>
      </c>
      <c r="DY52" s="424">
        <f t="shared" si="867"/>
        <v>5</v>
      </c>
      <c r="DZ52" s="432">
        <f t="shared" si="868"/>
        <v>9616320</v>
      </c>
      <c r="EA52" s="424">
        <f t="shared" si="869"/>
        <v>5844348531.000001</v>
      </c>
      <c r="EC52" s="424"/>
      <c r="ED52" s="430">
        <v>0.14000000000000001</v>
      </c>
      <c r="EE52" s="424">
        <f t="shared" si="964"/>
        <v>280</v>
      </c>
      <c r="EF52" s="433">
        <f t="shared" ref="EF52:EF55" si="1004">EF51</f>
        <v>0.75</v>
      </c>
      <c r="EG52" s="424">
        <f t="shared" si="965"/>
        <v>210</v>
      </c>
      <c r="EH52" s="423">
        <f t="shared" si="966"/>
        <v>53</v>
      </c>
      <c r="EI52" s="424">
        <f t="shared" si="870"/>
        <v>11130</v>
      </c>
      <c r="EJ52" s="431">
        <f t="shared" si="967"/>
        <v>0.6</v>
      </c>
      <c r="EK52" s="424">
        <f t="shared" si="871"/>
        <v>6678</v>
      </c>
      <c r="EL52" s="424">
        <f t="shared" ref="EL52:EL55" si="1005">EL51</f>
        <v>3</v>
      </c>
      <c r="EM52" s="424">
        <f t="shared" si="968"/>
        <v>638.14078125000015</v>
      </c>
      <c r="EN52" s="424">
        <f t="shared" si="872"/>
        <v>12784512.411562504</v>
      </c>
      <c r="EO52" s="423">
        <f t="shared" si="873"/>
        <v>6</v>
      </c>
      <c r="EP52" s="424">
        <f t="shared" ref="EP52:EP55" si="1006">EP51</f>
        <v>5</v>
      </c>
      <c r="EQ52" s="432">
        <f t="shared" si="874"/>
        <v>40068</v>
      </c>
      <c r="ER52" s="424">
        <f t="shared" si="875"/>
        <v>127845124.11562502</v>
      </c>
      <c r="ES52" s="423">
        <f t="shared" si="876"/>
        <v>24</v>
      </c>
      <c r="ET52" s="424">
        <f t="shared" si="877"/>
        <v>5</v>
      </c>
      <c r="EU52" s="432">
        <f t="shared" si="878"/>
        <v>801360</v>
      </c>
      <c r="EV52" s="424">
        <f t="shared" si="879"/>
        <v>511380496.4625001</v>
      </c>
      <c r="EW52" s="423">
        <f t="shared" si="880"/>
        <v>288</v>
      </c>
      <c r="EX52" s="424">
        <f t="shared" si="881"/>
        <v>5</v>
      </c>
      <c r="EY52" s="432">
        <f t="shared" si="882"/>
        <v>9616320</v>
      </c>
      <c r="EZ52" s="424">
        <f t="shared" si="883"/>
        <v>6136565957.5500011</v>
      </c>
      <c r="FB52" s="424"/>
      <c r="FC52" s="430">
        <v>0.14000000000000001</v>
      </c>
      <c r="FD52" s="424">
        <f t="shared" si="969"/>
        <v>280</v>
      </c>
      <c r="FE52" s="433">
        <f t="shared" ref="FE52:FE55" si="1007">FE51</f>
        <v>0.75</v>
      </c>
      <c r="FF52" s="424">
        <f t="shared" si="970"/>
        <v>210</v>
      </c>
      <c r="FG52" s="423">
        <f t="shared" si="971"/>
        <v>53</v>
      </c>
      <c r="FH52" s="424">
        <f t="shared" si="884"/>
        <v>11130</v>
      </c>
      <c r="FI52" s="431">
        <f t="shared" si="972"/>
        <v>0.6</v>
      </c>
      <c r="FJ52" s="424">
        <f t="shared" si="885"/>
        <v>6678</v>
      </c>
      <c r="FK52" s="424">
        <f t="shared" ref="FK52:FK55" si="1008">FK51</f>
        <v>3</v>
      </c>
      <c r="FL52" s="424">
        <f t="shared" si="973"/>
        <v>670.04782031250022</v>
      </c>
      <c r="FM52" s="424">
        <f t="shared" si="886"/>
        <v>13423738.032140631</v>
      </c>
      <c r="FN52" s="423">
        <f t="shared" si="887"/>
        <v>6</v>
      </c>
      <c r="FO52" s="424">
        <f t="shared" ref="FO52:FO55" si="1009">FO51</f>
        <v>5</v>
      </c>
      <c r="FP52" s="432">
        <f t="shared" si="888"/>
        <v>40068</v>
      </c>
      <c r="FQ52" s="424">
        <f t="shared" si="889"/>
        <v>134237380.3214063</v>
      </c>
      <c r="FR52" s="423">
        <f t="shared" si="890"/>
        <v>24</v>
      </c>
      <c r="FS52" s="424">
        <f t="shared" si="891"/>
        <v>5</v>
      </c>
      <c r="FT52" s="432">
        <f t="shared" si="892"/>
        <v>801360</v>
      </c>
      <c r="FU52" s="424">
        <f t="shared" si="893"/>
        <v>536949521.28562522</v>
      </c>
      <c r="FV52" s="423">
        <f t="shared" si="894"/>
        <v>288</v>
      </c>
      <c r="FW52" s="424">
        <f t="shared" si="895"/>
        <v>5</v>
      </c>
      <c r="FX52" s="432">
        <f t="shared" si="896"/>
        <v>9616320</v>
      </c>
      <c r="FY52" s="424">
        <f t="shared" si="897"/>
        <v>6443394255.4275017</v>
      </c>
      <c r="GA52" s="424"/>
      <c r="GB52" s="430">
        <v>0.14000000000000001</v>
      </c>
      <c r="GC52" s="424">
        <f t="shared" si="974"/>
        <v>280</v>
      </c>
      <c r="GD52" s="433">
        <f t="shared" ref="GD52:GD55" si="1010">GD51</f>
        <v>0.75</v>
      </c>
      <c r="GE52" s="424">
        <f t="shared" si="975"/>
        <v>210</v>
      </c>
      <c r="GF52" s="423">
        <f t="shared" si="976"/>
        <v>53</v>
      </c>
      <c r="GG52" s="424">
        <f t="shared" si="898"/>
        <v>11130</v>
      </c>
      <c r="GH52" s="431">
        <f t="shared" si="977"/>
        <v>0.6</v>
      </c>
      <c r="GI52" s="424">
        <f t="shared" si="899"/>
        <v>6678</v>
      </c>
      <c r="GJ52" s="424">
        <f t="shared" ref="GJ52:GJ55" si="1011">GJ51</f>
        <v>3</v>
      </c>
      <c r="GK52" s="424">
        <f t="shared" si="978"/>
        <v>703.55021132812522</v>
      </c>
      <c r="GL52" s="424">
        <f t="shared" si="900"/>
        <v>14094924.93374766</v>
      </c>
      <c r="GM52" s="423">
        <f t="shared" si="901"/>
        <v>6</v>
      </c>
      <c r="GN52" s="424">
        <f t="shared" ref="GN52:GN55" si="1012">GN51</f>
        <v>5</v>
      </c>
      <c r="GO52" s="432">
        <f t="shared" si="902"/>
        <v>40068</v>
      </c>
      <c r="GP52" s="424">
        <f t="shared" si="903"/>
        <v>140949249.33747661</v>
      </c>
      <c r="GQ52" s="423">
        <f t="shared" si="904"/>
        <v>24</v>
      </c>
      <c r="GR52" s="424">
        <f t="shared" si="905"/>
        <v>5</v>
      </c>
      <c r="GS52" s="432">
        <f t="shared" si="906"/>
        <v>801360</v>
      </c>
      <c r="GT52" s="424">
        <f t="shared" si="907"/>
        <v>563796997.34990644</v>
      </c>
      <c r="GU52" s="423">
        <f t="shared" si="908"/>
        <v>288</v>
      </c>
      <c r="GV52" s="424">
        <f t="shared" si="909"/>
        <v>5</v>
      </c>
      <c r="GW52" s="432">
        <f t="shared" si="910"/>
        <v>9616320</v>
      </c>
      <c r="GX52" s="424">
        <f t="shared" si="911"/>
        <v>6765563968.1988773</v>
      </c>
      <c r="GZ52" s="424"/>
      <c r="HA52" s="430">
        <v>0.14000000000000001</v>
      </c>
      <c r="HB52" s="424">
        <f t="shared" si="979"/>
        <v>280</v>
      </c>
      <c r="HC52" s="433">
        <f t="shared" ref="HC52:HC55" si="1013">HC51</f>
        <v>0.75</v>
      </c>
      <c r="HD52" s="424">
        <f t="shared" si="980"/>
        <v>210</v>
      </c>
      <c r="HE52" s="423">
        <f t="shared" si="981"/>
        <v>53</v>
      </c>
      <c r="HF52" s="424">
        <f t="shared" si="912"/>
        <v>11130</v>
      </c>
      <c r="HG52" s="431">
        <f t="shared" si="982"/>
        <v>0.6</v>
      </c>
      <c r="HH52" s="424">
        <f t="shared" si="913"/>
        <v>6678</v>
      </c>
      <c r="HI52" s="424">
        <f t="shared" ref="HI52:HI55" si="1014">HI51</f>
        <v>3</v>
      </c>
      <c r="HJ52" s="424">
        <f t="shared" si="983"/>
        <v>738.72772189453156</v>
      </c>
      <c r="HK52" s="424">
        <f t="shared" si="914"/>
        <v>14799671.180435047</v>
      </c>
      <c r="HL52" s="423">
        <f t="shared" si="915"/>
        <v>6</v>
      </c>
      <c r="HM52" s="424">
        <f t="shared" ref="HM52:HM55" si="1015">HM51</f>
        <v>5</v>
      </c>
      <c r="HN52" s="432">
        <f t="shared" si="916"/>
        <v>40068</v>
      </c>
      <c r="HO52" s="424">
        <f t="shared" si="917"/>
        <v>147996711.80435044</v>
      </c>
      <c r="HP52" s="423">
        <f t="shared" si="918"/>
        <v>24</v>
      </c>
      <c r="HQ52" s="424">
        <f t="shared" si="919"/>
        <v>5</v>
      </c>
      <c r="HR52" s="432">
        <f t="shared" si="920"/>
        <v>801360</v>
      </c>
      <c r="HS52" s="424">
        <f t="shared" si="921"/>
        <v>591986847.21740186</v>
      </c>
      <c r="HT52" s="423">
        <f t="shared" si="922"/>
        <v>288</v>
      </c>
      <c r="HU52" s="424">
        <f t="shared" si="923"/>
        <v>5</v>
      </c>
      <c r="HV52" s="432">
        <f t="shared" si="924"/>
        <v>9616320</v>
      </c>
      <c r="HW52" s="424">
        <f t="shared" si="925"/>
        <v>7103842166.6088219</v>
      </c>
      <c r="HY52" s="424"/>
      <c r="HZ52" s="430">
        <v>0.14000000000000001</v>
      </c>
      <c r="IA52" s="424">
        <f t="shared" si="984"/>
        <v>280</v>
      </c>
      <c r="IB52" s="433">
        <f t="shared" ref="IB52:IB55" si="1016">IB51</f>
        <v>0.75</v>
      </c>
      <c r="IC52" s="424">
        <f t="shared" si="985"/>
        <v>210</v>
      </c>
      <c r="ID52" s="423">
        <f t="shared" si="986"/>
        <v>53</v>
      </c>
      <c r="IE52" s="424">
        <f t="shared" si="926"/>
        <v>11130</v>
      </c>
      <c r="IF52" s="431">
        <f t="shared" si="987"/>
        <v>0.6</v>
      </c>
      <c r="IG52" s="424">
        <f t="shared" si="927"/>
        <v>6678</v>
      </c>
      <c r="IH52" s="424">
        <f t="shared" ref="IH52:IH55" si="1017">IH51</f>
        <v>3</v>
      </c>
      <c r="II52" s="424">
        <f t="shared" si="988"/>
        <v>775.66410798925813</v>
      </c>
      <c r="IJ52" s="424">
        <f t="shared" si="928"/>
        <v>15539654.739456795</v>
      </c>
      <c r="IK52" s="423">
        <f t="shared" si="929"/>
        <v>6</v>
      </c>
      <c r="IL52" s="424">
        <f t="shared" ref="IL52:IL55" si="1018">IL51</f>
        <v>5</v>
      </c>
      <c r="IM52" s="432">
        <f t="shared" si="930"/>
        <v>40068</v>
      </c>
      <c r="IN52" s="424">
        <f t="shared" si="931"/>
        <v>155396547.39456797</v>
      </c>
      <c r="IO52" s="423">
        <f t="shared" si="932"/>
        <v>24</v>
      </c>
      <c r="IP52" s="424">
        <f t="shared" si="933"/>
        <v>5</v>
      </c>
      <c r="IQ52" s="432">
        <f t="shared" si="934"/>
        <v>801360</v>
      </c>
      <c r="IR52" s="424">
        <f t="shared" si="935"/>
        <v>621586189.57827187</v>
      </c>
      <c r="IS52" s="423">
        <f t="shared" si="936"/>
        <v>288</v>
      </c>
      <c r="IT52" s="424">
        <f t="shared" si="937"/>
        <v>5</v>
      </c>
      <c r="IU52" s="432">
        <f t="shared" si="938"/>
        <v>9616320</v>
      </c>
      <c r="IV52" s="424">
        <f t="shared" si="939"/>
        <v>7459034274.9392624</v>
      </c>
    </row>
    <row r="53" spans="2:256" x14ac:dyDescent="0.25">
      <c r="B53" s="422"/>
      <c r="C53" s="422"/>
      <c r="D53" s="422"/>
      <c r="E53" s="419" t="s">
        <v>146</v>
      </c>
      <c r="F53" s="423"/>
      <c r="G53" s="423"/>
      <c r="H53" s="424"/>
      <c r="I53" s="430">
        <v>0.17499999999999999</v>
      </c>
      <c r="J53" s="424">
        <f t="shared" si="940"/>
        <v>70</v>
      </c>
      <c r="K53" s="433">
        <f t="shared" si="989"/>
        <v>0.75</v>
      </c>
      <c r="L53" s="424">
        <f t="shared" si="941"/>
        <v>52.5</v>
      </c>
      <c r="M53" s="423">
        <f t="shared" si="942"/>
        <v>37</v>
      </c>
      <c r="N53" s="424">
        <f t="shared" si="800"/>
        <v>1942.5</v>
      </c>
      <c r="O53" s="431">
        <f>'Parameters and Summary'!E85</f>
        <v>0.72</v>
      </c>
      <c r="P53" s="424">
        <f t="shared" si="801"/>
        <v>1398.6</v>
      </c>
      <c r="Q53" s="424">
        <f t="shared" si="990"/>
        <v>3</v>
      </c>
      <c r="R53" s="424">
        <f t="shared" si="943"/>
        <v>500</v>
      </c>
      <c r="S53" s="424">
        <f t="shared" si="802"/>
        <v>2097900</v>
      </c>
      <c r="T53" s="423">
        <f t="shared" si="803"/>
        <v>6</v>
      </c>
      <c r="U53" s="424">
        <f t="shared" si="991"/>
        <v>5</v>
      </c>
      <c r="V53" s="432">
        <f t="shared" si="804"/>
        <v>8391.5999999999985</v>
      </c>
      <c r="W53" s="424">
        <f t="shared" si="805"/>
        <v>20978999.999999996</v>
      </c>
      <c r="X53" s="423">
        <f t="shared" si="806"/>
        <v>24</v>
      </c>
      <c r="Y53" s="424">
        <f t="shared" si="807"/>
        <v>5</v>
      </c>
      <c r="Z53" s="432">
        <f t="shared" si="808"/>
        <v>167831.99999999997</v>
      </c>
      <c r="AA53" s="424">
        <f t="shared" si="809"/>
        <v>83915999.999999985</v>
      </c>
      <c r="AB53" s="423">
        <f t="shared" si="810"/>
        <v>288</v>
      </c>
      <c r="AC53" s="424">
        <f t="shared" si="811"/>
        <v>5</v>
      </c>
      <c r="AD53" s="432">
        <f t="shared" si="812"/>
        <v>2013984</v>
      </c>
      <c r="AE53" s="424">
        <f t="shared" si="813"/>
        <v>1006992000</v>
      </c>
      <c r="AG53" s="424"/>
      <c r="AH53" s="430">
        <v>0.17499999999999999</v>
      </c>
      <c r="AI53" s="424">
        <f t="shared" si="944"/>
        <v>140</v>
      </c>
      <c r="AJ53" s="433">
        <f t="shared" si="992"/>
        <v>0.75</v>
      </c>
      <c r="AK53" s="424">
        <f t="shared" si="945"/>
        <v>105</v>
      </c>
      <c r="AL53" s="423">
        <f t="shared" si="946"/>
        <v>37</v>
      </c>
      <c r="AM53" s="424">
        <f t="shared" si="814"/>
        <v>3885</v>
      </c>
      <c r="AN53" s="431">
        <f t="shared" si="947"/>
        <v>0.72</v>
      </c>
      <c r="AO53" s="424">
        <f t="shared" si="815"/>
        <v>2797.2</v>
      </c>
      <c r="AP53" s="424">
        <f t="shared" si="993"/>
        <v>3</v>
      </c>
      <c r="AQ53" s="424">
        <f t="shared" si="948"/>
        <v>525</v>
      </c>
      <c r="AR53" s="424">
        <f t="shared" si="816"/>
        <v>4405590</v>
      </c>
      <c r="AS53" s="423">
        <f t="shared" si="817"/>
        <v>6</v>
      </c>
      <c r="AT53" s="424">
        <f t="shared" si="994"/>
        <v>5</v>
      </c>
      <c r="AU53" s="432">
        <f t="shared" si="818"/>
        <v>16783.199999999997</v>
      </c>
      <c r="AV53" s="424">
        <f t="shared" si="819"/>
        <v>44055899.999999993</v>
      </c>
      <c r="AW53" s="423">
        <f t="shared" si="820"/>
        <v>24</v>
      </c>
      <c r="AX53" s="424">
        <f t="shared" si="821"/>
        <v>5</v>
      </c>
      <c r="AY53" s="432">
        <f t="shared" si="822"/>
        <v>335663.99999999994</v>
      </c>
      <c r="AZ53" s="424">
        <f t="shared" si="823"/>
        <v>176223599.99999997</v>
      </c>
      <c r="BA53" s="423">
        <f t="shared" si="824"/>
        <v>288</v>
      </c>
      <c r="BB53" s="424">
        <f t="shared" si="825"/>
        <v>5</v>
      </c>
      <c r="BC53" s="432">
        <f t="shared" si="826"/>
        <v>4027968</v>
      </c>
      <c r="BD53" s="424">
        <f t="shared" si="827"/>
        <v>2114683200</v>
      </c>
      <c r="BF53" s="424"/>
      <c r="BG53" s="430">
        <v>0.17499999999999999</v>
      </c>
      <c r="BH53" s="424">
        <f t="shared" si="949"/>
        <v>210</v>
      </c>
      <c r="BI53" s="433">
        <f t="shared" si="995"/>
        <v>0.75</v>
      </c>
      <c r="BJ53" s="424">
        <f t="shared" si="950"/>
        <v>157.5</v>
      </c>
      <c r="BK53" s="423">
        <f t="shared" si="951"/>
        <v>53</v>
      </c>
      <c r="BL53" s="424">
        <f t="shared" si="828"/>
        <v>8347.5</v>
      </c>
      <c r="BM53" s="431">
        <f t="shared" si="952"/>
        <v>0.72</v>
      </c>
      <c r="BN53" s="424">
        <f t="shared" si="829"/>
        <v>6010.2</v>
      </c>
      <c r="BO53" s="424">
        <f t="shared" si="996"/>
        <v>3</v>
      </c>
      <c r="BP53" s="424">
        <f t="shared" si="953"/>
        <v>551.25</v>
      </c>
      <c r="BQ53" s="424">
        <f t="shared" si="830"/>
        <v>9939368.25</v>
      </c>
      <c r="BR53" s="423">
        <f t="shared" si="831"/>
        <v>6</v>
      </c>
      <c r="BS53" s="424">
        <f t="shared" si="997"/>
        <v>5</v>
      </c>
      <c r="BT53" s="432">
        <f t="shared" si="832"/>
        <v>36061.199999999997</v>
      </c>
      <c r="BU53" s="424">
        <f t="shared" si="833"/>
        <v>99393682.5</v>
      </c>
      <c r="BV53" s="423">
        <f t="shared" si="834"/>
        <v>24</v>
      </c>
      <c r="BW53" s="424">
        <f t="shared" si="835"/>
        <v>5</v>
      </c>
      <c r="BX53" s="432">
        <f t="shared" si="836"/>
        <v>721224</v>
      </c>
      <c r="BY53" s="424">
        <f t="shared" si="837"/>
        <v>397574730</v>
      </c>
      <c r="BZ53" s="423">
        <f t="shared" si="838"/>
        <v>288</v>
      </c>
      <c r="CA53" s="424">
        <f t="shared" si="839"/>
        <v>5</v>
      </c>
      <c r="CB53" s="432">
        <f t="shared" si="840"/>
        <v>8654688</v>
      </c>
      <c r="CC53" s="424">
        <f t="shared" si="841"/>
        <v>4770896760</v>
      </c>
      <c r="CE53" s="424"/>
      <c r="CF53" s="430">
        <v>0.17499999999999999</v>
      </c>
      <c r="CG53" s="424">
        <f t="shared" si="954"/>
        <v>280</v>
      </c>
      <c r="CH53" s="433">
        <f t="shared" si="998"/>
        <v>0.75</v>
      </c>
      <c r="CI53" s="424">
        <f t="shared" si="955"/>
        <v>210</v>
      </c>
      <c r="CJ53" s="423">
        <f t="shared" si="956"/>
        <v>53</v>
      </c>
      <c r="CK53" s="424">
        <f t="shared" si="842"/>
        <v>11130</v>
      </c>
      <c r="CL53" s="431">
        <f t="shared" si="957"/>
        <v>0.72</v>
      </c>
      <c r="CM53" s="424">
        <f t="shared" si="843"/>
        <v>8013.5999999999995</v>
      </c>
      <c r="CN53" s="424">
        <f t="shared" si="999"/>
        <v>3</v>
      </c>
      <c r="CO53" s="424">
        <f t="shared" si="958"/>
        <v>578.8125</v>
      </c>
      <c r="CP53" s="424">
        <f t="shared" si="844"/>
        <v>13915115.549999999</v>
      </c>
      <c r="CQ53" s="423">
        <f t="shared" si="845"/>
        <v>6</v>
      </c>
      <c r="CR53" s="424">
        <f t="shared" si="1000"/>
        <v>5</v>
      </c>
      <c r="CS53" s="432">
        <f t="shared" si="846"/>
        <v>48081.599999999999</v>
      </c>
      <c r="CT53" s="424">
        <f t="shared" si="847"/>
        <v>139151155.5</v>
      </c>
      <c r="CU53" s="423">
        <f t="shared" si="848"/>
        <v>24</v>
      </c>
      <c r="CV53" s="424">
        <f t="shared" si="849"/>
        <v>5</v>
      </c>
      <c r="CW53" s="432">
        <f t="shared" si="850"/>
        <v>961632</v>
      </c>
      <c r="CX53" s="424">
        <f t="shared" si="851"/>
        <v>556604622</v>
      </c>
      <c r="CY53" s="423">
        <f t="shared" si="852"/>
        <v>288</v>
      </c>
      <c r="CZ53" s="424">
        <f t="shared" si="853"/>
        <v>5</v>
      </c>
      <c r="DA53" s="432">
        <f t="shared" si="854"/>
        <v>11539584</v>
      </c>
      <c r="DB53" s="424">
        <f t="shared" si="855"/>
        <v>6679255464</v>
      </c>
      <c r="DD53" s="424"/>
      <c r="DE53" s="430">
        <v>0.17499999999999999</v>
      </c>
      <c r="DF53" s="424">
        <f t="shared" si="959"/>
        <v>350</v>
      </c>
      <c r="DG53" s="433">
        <f t="shared" si="1001"/>
        <v>0.75</v>
      </c>
      <c r="DH53" s="424">
        <f t="shared" si="960"/>
        <v>262.5</v>
      </c>
      <c r="DI53" s="423">
        <f t="shared" si="961"/>
        <v>53</v>
      </c>
      <c r="DJ53" s="424">
        <f t="shared" si="856"/>
        <v>13912.5</v>
      </c>
      <c r="DK53" s="431">
        <f t="shared" si="962"/>
        <v>0.72</v>
      </c>
      <c r="DL53" s="424">
        <f t="shared" si="857"/>
        <v>10017</v>
      </c>
      <c r="DM53" s="424">
        <f t="shared" si="1002"/>
        <v>3</v>
      </c>
      <c r="DN53" s="424">
        <f t="shared" si="963"/>
        <v>607.75312500000007</v>
      </c>
      <c r="DO53" s="424">
        <f t="shared" si="858"/>
        <v>18263589.159375001</v>
      </c>
      <c r="DP53" s="423">
        <f t="shared" si="859"/>
        <v>6</v>
      </c>
      <c r="DQ53" s="424">
        <f t="shared" si="1003"/>
        <v>5</v>
      </c>
      <c r="DR53" s="432">
        <f t="shared" si="860"/>
        <v>60102</v>
      </c>
      <c r="DS53" s="424">
        <f t="shared" si="861"/>
        <v>182635891.59375</v>
      </c>
      <c r="DT53" s="423">
        <f t="shared" si="862"/>
        <v>24</v>
      </c>
      <c r="DU53" s="424">
        <f t="shared" si="863"/>
        <v>5</v>
      </c>
      <c r="DV53" s="432">
        <f t="shared" si="864"/>
        <v>1202040</v>
      </c>
      <c r="DW53" s="424">
        <f t="shared" si="865"/>
        <v>730543566.37500012</v>
      </c>
      <c r="DX53" s="423">
        <f t="shared" si="866"/>
        <v>288</v>
      </c>
      <c r="DY53" s="424">
        <f t="shared" si="867"/>
        <v>5</v>
      </c>
      <c r="DZ53" s="432">
        <f t="shared" si="868"/>
        <v>14424480</v>
      </c>
      <c r="EA53" s="424">
        <f t="shared" si="869"/>
        <v>8766522796.5000019</v>
      </c>
      <c r="EC53" s="424"/>
      <c r="ED53" s="430">
        <v>0.17499999999999999</v>
      </c>
      <c r="EE53" s="424">
        <f t="shared" si="964"/>
        <v>350</v>
      </c>
      <c r="EF53" s="433">
        <f t="shared" si="1004"/>
        <v>0.75</v>
      </c>
      <c r="EG53" s="424">
        <f t="shared" si="965"/>
        <v>262.5</v>
      </c>
      <c r="EH53" s="423">
        <f t="shared" si="966"/>
        <v>53</v>
      </c>
      <c r="EI53" s="424">
        <f t="shared" si="870"/>
        <v>13912.5</v>
      </c>
      <c r="EJ53" s="431">
        <f t="shared" si="967"/>
        <v>0.72</v>
      </c>
      <c r="EK53" s="424">
        <f t="shared" si="871"/>
        <v>10017</v>
      </c>
      <c r="EL53" s="424">
        <f t="shared" si="1005"/>
        <v>3</v>
      </c>
      <c r="EM53" s="424">
        <f t="shared" si="968"/>
        <v>638.14078125000015</v>
      </c>
      <c r="EN53" s="424">
        <f t="shared" si="872"/>
        <v>19176768.617343754</v>
      </c>
      <c r="EO53" s="423">
        <f t="shared" si="873"/>
        <v>6</v>
      </c>
      <c r="EP53" s="424">
        <f t="shared" si="1006"/>
        <v>5</v>
      </c>
      <c r="EQ53" s="432">
        <f t="shared" si="874"/>
        <v>60102</v>
      </c>
      <c r="ER53" s="424">
        <f t="shared" si="875"/>
        <v>191767686.17343754</v>
      </c>
      <c r="ES53" s="423">
        <f t="shared" si="876"/>
        <v>24</v>
      </c>
      <c r="ET53" s="424">
        <f t="shared" si="877"/>
        <v>5</v>
      </c>
      <c r="EU53" s="432">
        <f t="shared" si="878"/>
        <v>1202040</v>
      </c>
      <c r="EV53" s="424">
        <f t="shared" si="879"/>
        <v>767070744.69375014</v>
      </c>
      <c r="EW53" s="423">
        <f t="shared" si="880"/>
        <v>288</v>
      </c>
      <c r="EX53" s="424">
        <f t="shared" si="881"/>
        <v>5</v>
      </c>
      <c r="EY53" s="432">
        <f t="shared" si="882"/>
        <v>14424480</v>
      </c>
      <c r="EZ53" s="424">
        <f t="shared" si="883"/>
        <v>9204848936.3250027</v>
      </c>
      <c r="FB53" s="424"/>
      <c r="FC53" s="430">
        <v>0.17499999999999999</v>
      </c>
      <c r="FD53" s="424">
        <f t="shared" si="969"/>
        <v>350</v>
      </c>
      <c r="FE53" s="433">
        <f t="shared" si="1007"/>
        <v>0.75</v>
      </c>
      <c r="FF53" s="424">
        <f t="shared" si="970"/>
        <v>262.5</v>
      </c>
      <c r="FG53" s="423">
        <f t="shared" si="971"/>
        <v>53</v>
      </c>
      <c r="FH53" s="424">
        <f t="shared" si="884"/>
        <v>13912.5</v>
      </c>
      <c r="FI53" s="431">
        <f t="shared" si="972"/>
        <v>0.72</v>
      </c>
      <c r="FJ53" s="424">
        <f t="shared" si="885"/>
        <v>10017</v>
      </c>
      <c r="FK53" s="424">
        <f t="shared" si="1008"/>
        <v>3</v>
      </c>
      <c r="FL53" s="424">
        <f t="shared" si="973"/>
        <v>670.04782031250022</v>
      </c>
      <c r="FM53" s="424">
        <f t="shared" si="886"/>
        <v>20135607.048210945</v>
      </c>
      <c r="FN53" s="423">
        <f t="shared" si="887"/>
        <v>6</v>
      </c>
      <c r="FO53" s="424">
        <f t="shared" si="1009"/>
        <v>5</v>
      </c>
      <c r="FP53" s="432">
        <f t="shared" si="888"/>
        <v>60102</v>
      </c>
      <c r="FQ53" s="424">
        <f t="shared" si="889"/>
        <v>201356070.48210946</v>
      </c>
      <c r="FR53" s="423">
        <f t="shared" si="890"/>
        <v>24</v>
      </c>
      <c r="FS53" s="424">
        <f t="shared" si="891"/>
        <v>5</v>
      </c>
      <c r="FT53" s="432">
        <f t="shared" si="892"/>
        <v>1202040</v>
      </c>
      <c r="FU53" s="424">
        <f t="shared" si="893"/>
        <v>805424281.92843771</v>
      </c>
      <c r="FV53" s="423">
        <f t="shared" si="894"/>
        <v>288</v>
      </c>
      <c r="FW53" s="424">
        <f t="shared" si="895"/>
        <v>5</v>
      </c>
      <c r="FX53" s="432">
        <f t="shared" si="896"/>
        <v>14424480</v>
      </c>
      <c r="FY53" s="424">
        <f t="shared" si="897"/>
        <v>9665091383.1412525</v>
      </c>
      <c r="GA53" s="424"/>
      <c r="GB53" s="430">
        <v>0.17499999999999999</v>
      </c>
      <c r="GC53" s="424">
        <f t="shared" si="974"/>
        <v>350</v>
      </c>
      <c r="GD53" s="433">
        <f t="shared" si="1010"/>
        <v>0.75</v>
      </c>
      <c r="GE53" s="424">
        <f t="shared" si="975"/>
        <v>262.5</v>
      </c>
      <c r="GF53" s="423">
        <f t="shared" si="976"/>
        <v>53</v>
      </c>
      <c r="GG53" s="424">
        <f t="shared" si="898"/>
        <v>13912.5</v>
      </c>
      <c r="GH53" s="431">
        <f t="shared" si="977"/>
        <v>0.72</v>
      </c>
      <c r="GI53" s="424">
        <f t="shared" si="899"/>
        <v>10017</v>
      </c>
      <c r="GJ53" s="424">
        <f t="shared" si="1011"/>
        <v>3</v>
      </c>
      <c r="GK53" s="424">
        <f t="shared" si="978"/>
        <v>703.55021132812522</v>
      </c>
      <c r="GL53" s="424">
        <f t="shared" si="900"/>
        <v>21142387.400621489</v>
      </c>
      <c r="GM53" s="423">
        <f t="shared" si="901"/>
        <v>6</v>
      </c>
      <c r="GN53" s="424">
        <f t="shared" si="1012"/>
        <v>5</v>
      </c>
      <c r="GO53" s="432">
        <f t="shared" si="902"/>
        <v>60102</v>
      </c>
      <c r="GP53" s="424">
        <f t="shared" si="903"/>
        <v>211423874.00621492</v>
      </c>
      <c r="GQ53" s="423">
        <f t="shared" si="904"/>
        <v>24</v>
      </c>
      <c r="GR53" s="424">
        <f t="shared" si="905"/>
        <v>5</v>
      </c>
      <c r="GS53" s="432">
        <f t="shared" si="906"/>
        <v>1202040</v>
      </c>
      <c r="GT53" s="424">
        <f t="shared" si="907"/>
        <v>845695496.02485967</v>
      </c>
      <c r="GU53" s="423">
        <f t="shared" si="908"/>
        <v>288</v>
      </c>
      <c r="GV53" s="424">
        <f t="shared" si="909"/>
        <v>5</v>
      </c>
      <c r="GW53" s="432">
        <f t="shared" si="910"/>
        <v>14424480</v>
      </c>
      <c r="GX53" s="424">
        <f t="shared" si="911"/>
        <v>10148345952.298315</v>
      </c>
      <c r="GZ53" s="424"/>
      <c r="HA53" s="430">
        <v>0.17499999999999999</v>
      </c>
      <c r="HB53" s="424">
        <f t="shared" si="979"/>
        <v>350</v>
      </c>
      <c r="HC53" s="433">
        <f t="shared" si="1013"/>
        <v>0.75</v>
      </c>
      <c r="HD53" s="424">
        <f t="shared" si="980"/>
        <v>262.5</v>
      </c>
      <c r="HE53" s="423">
        <f t="shared" si="981"/>
        <v>53</v>
      </c>
      <c r="HF53" s="424">
        <f t="shared" si="912"/>
        <v>13912.5</v>
      </c>
      <c r="HG53" s="431">
        <f t="shared" si="982"/>
        <v>0.72</v>
      </c>
      <c r="HH53" s="424">
        <f t="shared" si="913"/>
        <v>10017</v>
      </c>
      <c r="HI53" s="424">
        <f t="shared" si="1014"/>
        <v>3</v>
      </c>
      <c r="HJ53" s="424">
        <f t="shared" si="983"/>
        <v>738.72772189453156</v>
      </c>
      <c r="HK53" s="424">
        <f t="shared" si="914"/>
        <v>22199506.770652566</v>
      </c>
      <c r="HL53" s="423">
        <f t="shared" si="915"/>
        <v>6</v>
      </c>
      <c r="HM53" s="424">
        <f t="shared" si="1015"/>
        <v>5</v>
      </c>
      <c r="HN53" s="432">
        <f t="shared" si="916"/>
        <v>60102</v>
      </c>
      <c r="HO53" s="424">
        <f t="shared" si="917"/>
        <v>221995067.70652565</v>
      </c>
      <c r="HP53" s="423">
        <f t="shared" si="918"/>
        <v>24</v>
      </c>
      <c r="HQ53" s="424">
        <f t="shared" si="919"/>
        <v>5</v>
      </c>
      <c r="HR53" s="432">
        <f t="shared" si="920"/>
        <v>1202040</v>
      </c>
      <c r="HS53" s="424">
        <f t="shared" si="921"/>
        <v>887980270.82610273</v>
      </c>
      <c r="HT53" s="423">
        <f t="shared" si="922"/>
        <v>288</v>
      </c>
      <c r="HU53" s="424">
        <f t="shared" si="923"/>
        <v>5</v>
      </c>
      <c r="HV53" s="432">
        <f t="shared" si="924"/>
        <v>14424480</v>
      </c>
      <c r="HW53" s="424">
        <f t="shared" si="925"/>
        <v>10655763249.913233</v>
      </c>
      <c r="HY53" s="424"/>
      <c r="HZ53" s="430">
        <v>0.17499999999999999</v>
      </c>
      <c r="IA53" s="424">
        <f t="shared" si="984"/>
        <v>350</v>
      </c>
      <c r="IB53" s="433">
        <f t="shared" si="1016"/>
        <v>0.75</v>
      </c>
      <c r="IC53" s="424">
        <f t="shared" si="985"/>
        <v>262.5</v>
      </c>
      <c r="ID53" s="423">
        <f t="shared" si="986"/>
        <v>53</v>
      </c>
      <c r="IE53" s="424">
        <f t="shared" si="926"/>
        <v>13912.5</v>
      </c>
      <c r="IF53" s="431">
        <f t="shared" si="987"/>
        <v>0.72</v>
      </c>
      <c r="IG53" s="424">
        <f t="shared" si="927"/>
        <v>10017</v>
      </c>
      <c r="IH53" s="424">
        <f t="shared" si="1017"/>
        <v>3</v>
      </c>
      <c r="II53" s="424">
        <f t="shared" si="988"/>
        <v>775.66410798925813</v>
      </c>
      <c r="IJ53" s="424">
        <f t="shared" si="928"/>
        <v>23309482.109185196</v>
      </c>
      <c r="IK53" s="423">
        <f t="shared" si="929"/>
        <v>6</v>
      </c>
      <c r="IL53" s="424">
        <f t="shared" si="1018"/>
        <v>5</v>
      </c>
      <c r="IM53" s="432">
        <f t="shared" si="930"/>
        <v>60102</v>
      </c>
      <c r="IN53" s="424">
        <f t="shared" si="931"/>
        <v>233094821.09185195</v>
      </c>
      <c r="IO53" s="423">
        <f t="shared" si="932"/>
        <v>24</v>
      </c>
      <c r="IP53" s="424">
        <f t="shared" si="933"/>
        <v>5</v>
      </c>
      <c r="IQ53" s="432">
        <f t="shared" si="934"/>
        <v>1202040</v>
      </c>
      <c r="IR53" s="424">
        <f t="shared" si="935"/>
        <v>932379284.3674078</v>
      </c>
      <c r="IS53" s="423">
        <f t="shared" si="936"/>
        <v>288</v>
      </c>
      <c r="IT53" s="424">
        <f t="shared" si="937"/>
        <v>5</v>
      </c>
      <c r="IU53" s="432">
        <f t="shared" si="938"/>
        <v>14424480</v>
      </c>
      <c r="IV53" s="424">
        <f t="shared" si="939"/>
        <v>11188551412.408894</v>
      </c>
    </row>
    <row r="54" spans="2:256" x14ac:dyDescent="0.25">
      <c r="B54" s="422"/>
      <c r="C54" s="422"/>
      <c r="D54" s="422"/>
      <c r="E54" s="419" t="s">
        <v>147</v>
      </c>
      <c r="F54" s="423"/>
      <c r="G54" s="423"/>
      <c r="H54" s="424"/>
      <c r="I54" s="430">
        <v>0.105</v>
      </c>
      <c r="J54" s="424">
        <f t="shared" si="940"/>
        <v>42</v>
      </c>
      <c r="K54" s="433">
        <f t="shared" si="989"/>
        <v>0.75</v>
      </c>
      <c r="L54" s="424">
        <f t="shared" si="941"/>
        <v>31.5</v>
      </c>
      <c r="M54" s="423">
        <f t="shared" si="942"/>
        <v>37</v>
      </c>
      <c r="N54" s="424">
        <f t="shared" si="800"/>
        <v>1165.5</v>
      </c>
      <c r="O54" s="431">
        <f>'Parameters and Summary'!E86</f>
        <v>0.67100000000000004</v>
      </c>
      <c r="P54" s="424">
        <f t="shared" si="801"/>
        <v>782.05050000000006</v>
      </c>
      <c r="Q54" s="424">
        <f t="shared" si="990"/>
        <v>3</v>
      </c>
      <c r="R54" s="424">
        <f t="shared" si="943"/>
        <v>500</v>
      </c>
      <c r="S54" s="424">
        <f t="shared" si="802"/>
        <v>1173075.75</v>
      </c>
      <c r="T54" s="423">
        <f t="shared" si="803"/>
        <v>6</v>
      </c>
      <c r="U54" s="424">
        <f t="shared" si="991"/>
        <v>5</v>
      </c>
      <c r="V54" s="432">
        <f t="shared" si="804"/>
        <v>4692.3029999999999</v>
      </c>
      <c r="W54" s="424">
        <f t="shared" si="805"/>
        <v>11730757.5</v>
      </c>
      <c r="X54" s="423">
        <f t="shared" si="806"/>
        <v>24</v>
      </c>
      <c r="Y54" s="424">
        <f t="shared" si="807"/>
        <v>5</v>
      </c>
      <c r="Z54" s="432">
        <f t="shared" si="808"/>
        <v>93846.06</v>
      </c>
      <c r="AA54" s="424">
        <f t="shared" si="809"/>
        <v>46923030</v>
      </c>
      <c r="AB54" s="423">
        <f t="shared" si="810"/>
        <v>288</v>
      </c>
      <c r="AC54" s="424">
        <f t="shared" si="811"/>
        <v>5</v>
      </c>
      <c r="AD54" s="432">
        <f t="shared" si="812"/>
        <v>1126152.7200000002</v>
      </c>
      <c r="AE54" s="424">
        <f t="shared" si="813"/>
        <v>563076360.00000012</v>
      </c>
      <c r="AG54" s="424"/>
      <c r="AH54" s="430">
        <v>0.105</v>
      </c>
      <c r="AI54" s="424">
        <f t="shared" si="944"/>
        <v>84</v>
      </c>
      <c r="AJ54" s="433">
        <f t="shared" si="992"/>
        <v>0.75</v>
      </c>
      <c r="AK54" s="424">
        <f t="shared" si="945"/>
        <v>63</v>
      </c>
      <c r="AL54" s="423">
        <f t="shared" si="946"/>
        <v>37</v>
      </c>
      <c r="AM54" s="424">
        <f t="shared" si="814"/>
        <v>2331</v>
      </c>
      <c r="AN54" s="431">
        <f t="shared" si="947"/>
        <v>0.67100000000000004</v>
      </c>
      <c r="AO54" s="424">
        <f t="shared" si="815"/>
        <v>1564.1010000000001</v>
      </c>
      <c r="AP54" s="424">
        <f t="shared" si="993"/>
        <v>3</v>
      </c>
      <c r="AQ54" s="424">
        <f t="shared" si="948"/>
        <v>525</v>
      </c>
      <c r="AR54" s="424">
        <f t="shared" si="816"/>
        <v>2463459.0750000002</v>
      </c>
      <c r="AS54" s="423">
        <f t="shared" si="817"/>
        <v>6</v>
      </c>
      <c r="AT54" s="424">
        <f t="shared" si="994"/>
        <v>5</v>
      </c>
      <c r="AU54" s="432">
        <f t="shared" si="818"/>
        <v>9384.6059999999998</v>
      </c>
      <c r="AV54" s="424">
        <f t="shared" si="819"/>
        <v>24634590.749999996</v>
      </c>
      <c r="AW54" s="423">
        <f t="shared" si="820"/>
        <v>24</v>
      </c>
      <c r="AX54" s="424">
        <f t="shared" si="821"/>
        <v>5</v>
      </c>
      <c r="AY54" s="432">
        <f t="shared" si="822"/>
        <v>187692.12</v>
      </c>
      <c r="AZ54" s="424">
        <f t="shared" si="823"/>
        <v>98538363</v>
      </c>
      <c r="BA54" s="423">
        <f t="shared" si="824"/>
        <v>288</v>
      </c>
      <c r="BB54" s="424">
        <f t="shared" si="825"/>
        <v>5</v>
      </c>
      <c r="BC54" s="432">
        <f t="shared" si="826"/>
        <v>2252305.4400000004</v>
      </c>
      <c r="BD54" s="424">
        <f t="shared" si="827"/>
        <v>1182460356.0000002</v>
      </c>
      <c r="BF54" s="424"/>
      <c r="BG54" s="430">
        <v>0.105</v>
      </c>
      <c r="BH54" s="424">
        <f t="shared" si="949"/>
        <v>126</v>
      </c>
      <c r="BI54" s="433">
        <f t="shared" si="995"/>
        <v>0.75</v>
      </c>
      <c r="BJ54" s="424">
        <f t="shared" si="950"/>
        <v>94.5</v>
      </c>
      <c r="BK54" s="423">
        <f t="shared" si="951"/>
        <v>53</v>
      </c>
      <c r="BL54" s="424">
        <f t="shared" si="828"/>
        <v>5008.5</v>
      </c>
      <c r="BM54" s="431">
        <f t="shared" si="952"/>
        <v>0.67100000000000004</v>
      </c>
      <c r="BN54" s="424">
        <f t="shared" si="829"/>
        <v>3360.7035000000001</v>
      </c>
      <c r="BO54" s="424">
        <f t="shared" si="996"/>
        <v>3</v>
      </c>
      <c r="BP54" s="424">
        <f t="shared" si="953"/>
        <v>551.25</v>
      </c>
      <c r="BQ54" s="424">
        <f t="shared" si="830"/>
        <v>5557763.413125</v>
      </c>
      <c r="BR54" s="423">
        <f t="shared" si="831"/>
        <v>6</v>
      </c>
      <c r="BS54" s="424">
        <f t="shared" si="997"/>
        <v>5</v>
      </c>
      <c r="BT54" s="432">
        <f t="shared" si="832"/>
        <v>20164.221000000001</v>
      </c>
      <c r="BU54" s="424">
        <f t="shared" si="833"/>
        <v>55577634.131250001</v>
      </c>
      <c r="BV54" s="423">
        <f t="shared" si="834"/>
        <v>24</v>
      </c>
      <c r="BW54" s="424">
        <f t="shared" si="835"/>
        <v>5</v>
      </c>
      <c r="BX54" s="432">
        <f t="shared" si="836"/>
        <v>403284.42000000004</v>
      </c>
      <c r="BY54" s="424">
        <f t="shared" si="837"/>
        <v>222310536.52500004</v>
      </c>
      <c r="BZ54" s="423">
        <f t="shared" si="838"/>
        <v>288</v>
      </c>
      <c r="CA54" s="424">
        <f t="shared" si="839"/>
        <v>5</v>
      </c>
      <c r="CB54" s="432">
        <f t="shared" si="840"/>
        <v>4839413.04</v>
      </c>
      <c r="CC54" s="424">
        <f t="shared" si="841"/>
        <v>2667726438.3000002</v>
      </c>
      <c r="CE54" s="424"/>
      <c r="CF54" s="430">
        <v>0.105</v>
      </c>
      <c r="CG54" s="424">
        <f t="shared" si="954"/>
        <v>168</v>
      </c>
      <c r="CH54" s="433">
        <f t="shared" si="998"/>
        <v>0.75</v>
      </c>
      <c r="CI54" s="424">
        <f t="shared" si="955"/>
        <v>126</v>
      </c>
      <c r="CJ54" s="423">
        <f t="shared" si="956"/>
        <v>53</v>
      </c>
      <c r="CK54" s="424">
        <f t="shared" si="842"/>
        <v>6678</v>
      </c>
      <c r="CL54" s="431">
        <f t="shared" si="957"/>
        <v>0.67100000000000004</v>
      </c>
      <c r="CM54" s="424">
        <f t="shared" si="843"/>
        <v>4480.9380000000001</v>
      </c>
      <c r="CN54" s="424">
        <f t="shared" si="999"/>
        <v>3</v>
      </c>
      <c r="CO54" s="424">
        <f t="shared" si="958"/>
        <v>578.8125</v>
      </c>
      <c r="CP54" s="424">
        <f t="shared" si="844"/>
        <v>7780868.7783750007</v>
      </c>
      <c r="CQ54" s="423">
        <f t="shared" si="845"/>
        <v>6</v>
      </c>
      <c r="CR54" s="424">
        <f t="shared" si="1000"/>
        <v>5</v>
      </c>
      <c r="CS54" s="432">
        <f t="shared" si="846"/>
        <v>26885.628000000001</v>
      </c>
      <c r="CT54" s="424">
        <f t="shared" si="847"/>
        <v>77808687.783749998</v>
      </c>
      <c r="CU54" s="423">
        <f t="shared" si="848"/>
        <v>24</v>
      </c>
      <c r="CV54" s="424">
        <f t="shared" si="849"/>
        <v>5</v>
      </c>
      <c r="CW54" s="432">
        <f t="shared" si="850"/>
        <v>537712.56000000006</v>
      </c>
      <c r="CX54" s="424">
        <f t="shared" si="851"/>
        <v>311234751.13500005</v>
      </c>
      <c r="CY54" s="423">
        <f t="shared" si="852"/>
        <v>288</v>
      </c>
      <c r="CZ54" s="424">
        <f t="shared" si="853"/>
        <v>5</v>
      </c>
      <c r="DA54" s="432">
        <f t="shared" si="854"/>
        <v>6452550.7200000007</v>
      </c>
      <c r="DB54" s="424">
        <f t="shared" si="855"/>
        <v>3734817013.6200004</v>
      </c>
      <c r="DD54" s="424"/>
      <c r="DE54" s="430">
        <v>0.105</v>
      </c>
      <c r="DF54" s="424">
        <f t="shared" si="959"/>
        <v>210</v>
      </c>
      <c r="DG54" s="433">
        <f t="shared" si="1001"/>
        <v>0.75</v>
      </c>
      <c r="DH54" s="424">
        <f t="shared" si="960"/>
        <v>157.5</v>
      </c>
      <c r="DI54" s="423">
        <f t="shared" si="961"/>
        <v>53</v>
      </c>
      <c r="DJ54" s="424">
        <f t="shared" si="856"/>
        <v>8347.5</v>
      </c>
      <c r="DK54" s="431">
        <f t="shared" si="962"/>
        <v>0.67100000000000004</v>
      </c>
      <c r="DL54" s="424">
        <f t="shared" si="857"/>
        <v>5601.1725000000006</v>
      </c>
      <c r="DM54" s="424">
        <f t="shared" si="1002"/>
        <v>3</v>
      </c>
      <c r="DN54" s="424">
        <f t="shared" si="963"/>
        <v>607.75312500000007</v>
      </c>
      <c r="DO54" s="424">
        <f t="shared" si="858"/>
        <v>10212390.271617189</v>
      </c>
      <c r="DP54" s="423">
        <f t="shared" si="859"/>
        <v>6</v>
      </c>
      <c r="DQ54" s="424">
        <f t="shared" si="1003"/>
        <v>5</v>
      </c>
      <c r="DR54" s="432">
        <f t="shared" si="860"/>
        <v>33607.035000000003</v>
      </c>
      <c r="DS54" s="424">
        <f t="shared" si="861"/>
        <v>102123902.71617189</v>
      </c>
      <c r="DT54" s="423">
        <f t="shared" si="862"/>
        <v>24</v>
      </c>
      <c r="DU54" s="424">
        <f t="shared" si="863"/>
        <v>5</v>
      </c>
      <c r="DV54" s="432">
        <f t="shared" si="864"/>
        <v>672140.70000000007</v>
      </c>
      <c r="DW54" s="424">
        <f t="shared" si="865"/>
        <v>408495610.86468756</v>
      </c>
      <c r="DX54" s="423">
        <f t="shared" si="866"/>
        <v>288</v>
      </c>
      <c r="DY54" s="424">
        <f t="shared" si="867"/>
        <v>5</v>
      </c>
      <c r="DZ54" s="432">
        <f t="shared" si="868"/>
        <v>8065688.4000000004</v>
      </c>
      <c r="EA54" s="424">
        <f t="shared" si="869"/>
        <v>4901947330.3762512</v>
      </c>
      <c r="EC54" s="424"/>
      <c r="ED54" s="430">
        <v>0.105</v>
      </c>
      <c r="EE54" s="424">
        <f t="shared" si="964"/>
        <v>210</v>
      </c>
      <c r="EF54" s="433">
        <f t="shared" si="1004"/>
        <v>0.75</v>
      </c>
      <c r="EG54" s="424">
        <f t="shared" si="965"/>
        <v>157.5</v>
      </c>
      <c r="EH54" s="423">
        <f t="shared" si="966"/>
        <v>53</v>
      </c>
      <c r="EI54" s="424">
        <f t="shared" si="870"/>
        <v>8347.5</v>
      </c>
      <c r="EJ54" s="431">
        <f t="shared" si="967"/>
        <v>0.67100000000000004</v>
      </c>
      <c r="EK54" s="424">
        <f t="shared" si="871"/>
        <v>5601.1725000000006</v>
      </c>
      <c r="EL54" s="424">
        <f t="shared" si="1005"/>
        <v>3</v>
      </c>
      <c r="EM54" s="424">
        <f t="shared" si="968"/>
        <v>638.14078125000015</v>
      </c>
      <c r="EN54" s="424">
        <f t="shared" si="872"/>
        <v>10723009.785198051</v>
      </c>
      <c r="EO54" s="423">
        <f t="shared" si="873"/>
        <v>6</v>
      </c>
      <c r="EP54" s="424">
        <f t="shared" si="1006"/>
        <v>5</v>
      </c>
      <c r="EQ54" s="432">
        <f t="shared" si="874"/>
        <v>33607.035000000003</v>
      </c>
      <c r="ER54" s="424">
        <f t="shared" si="875"/>
        <v>107230097.85198049</v>
      </c>
      <c r="ES54" s="423">
        <f t="shared" si="876"/>
        <v>24</v>
      </c>
      <c r="ET54" s="424">
        <f t="shared" si="877"/>
        <v>5</v>
      </c>
      <c r="EU54" s="432">
        <f t="shared" si="878"/>
        <v>672140.70000000007</v>
      </c>
      <c r="EV54" s="424">
        <f t="shared" si="879"/>
        <v>428920391.40792203</v>
      </c>
      <c r="EW54" s="423">
        <f t="shared" si="880"/>
        <v>288</v>
      </c>
      <c r="EX54" s="424">
        <f t="shared" si="881"/>
        <v>5</v>
      </c>
      <c r="EY54" s="432">
        <f t="shared" si="882"/>
        <v>8065688.4000000004</v>
      </c>
      <c r="EZ54" s="424">
        <f t="shared" si="883"/>
        <v>5147044696.8950644</v>
      </c>
      <c r="FB54" s="424"/>
      <c r="FC54" s="430">
        <v>0.105</v>
      </c>
      <c r="FD54" s="424">
        <f t="shared" si="969"/>
        <v>210</v>
      </c>
      <c r="FE54" s="433">
        <f t="shared" si="1007"/>
        <v>0.75</v>
      </c>
      <c r="FF54" s="424">
        <f t="shared" si="970"/>
        <v>157.5</v>
      </c>
      <c r="FG54" s="423">
        <f t="shared" si="971"/>
        <v>53</v>
      </c>
      <c r="FH54" s="424">
        <f t="shared" si="884"/>
        <v>8347.5</v>
      </c>
      <c r="FI54" s="431">
        <f t="shared" si="972"/>
        <v>0.67100000000000004</v>
      </c>
      <c r="FJ54" s="424">
        <f t="shared" si="885"/>
        <v>5601.1725000000006</v>
      </c>
      <c r="FK54" s="424">
        <f t="shared" si="1008"/>
        <v>3</v>
      </c>
      <c r="FL54" s="424">
        <f t="shared" si="973"/>
        <v>670.04782031250022</v>
      </c>
      <c r="FM54" s="424">
        <f t="shared" si="886"/>
        <v>11259160.274457954</v>
      </c>
      <c r="FN54" s="423">
        <f t="shared" si="887"/>
        <v>6</v>
      </c>
      <c r="FO54" s="424">
        <f t="shared" si="1009"/>
        <v>5</v>
      </c>
      <c r="FP54" s="432">
        <f t="shared" si="888"/>
        <v>33607.035000000003</v>
      </c>
      <c r="FQ54" s="424">
        <f t="shared" si="889"/>
        <v>112591602.74457954</v>
      </c>
      <c r="FR54" s="423">
        <f t="shared" si="890"/>
        <v>24</v>
      </c>
      <c r="FS54" s="424">
        <f t="shared" si="891"/>
        <v>5</v>
      </c>
      <c r="FT54" s="432">
        <f t="shared" si="892"/>
        <v>672140.70000000007</v>
      </c>
      <c r="FU54" s="424">
        <f t="shared" si="893"/>
        <v>450366410.97831815</v>
      </c>
      <c r="FV54" s="423">
        <f t="shared" si="894"/>
        <v>288</v>
      </c>
      <c r="FW54" s="424">
        <f t="shared" si="895"/>
        <v>5</v>
      </c>
      <c r="FX54" s="432">
        <f t="shared" si="896"/>
        <v>8065688.4000000004</v>
      </c>
      <c r="FY54" s="424">
        <f t="shared" si="897"/>
        <v>5404396931.7398176</v>
      </c>
      <c r="GA54" s="424"/>
      <c r="GB54" s="430">
        <v>0.105</v>
      </c>
      <c r="GC54" s="424">
        <f t="shared" si="974"/>
        <v>210</v>
      </c>
      <c r="GD54" s="433">
        <f t="shared" si="1010"/>
        <v>0.75</v>
      </c>
      <c r="GE54" s="424">
        <f t="shared" si="975"/>
        <v>157.5</v>
      </c>
      <c r="GF54" s="423">
        <f t="shared" si="976"/>
        <v>53</v>
      </c>
      <c r="GG54" s="424">
        <f t="shared" si="898"/>
        <v>8347.5</v>
      </c>
      <c r="GH54" s="431">
        <f t="shared" si="977"/>
        <v>0.67100000000000004</v>
      </c>
      <c r="GI54" s="424">
        <f t="shared" si="899"/>
        <v>5601.1725000000006</v>
      </c>
      <c r="GJ54" s="424">
        <f t="shared" si="1011"/>
        <v>3</v>
      </c>
      <c r="GK54" s="424">
        <f t="shared" si="978"/>
        <v>703.55021132812522</v>
      </c>
      <c r="GL54" s="424">
        <f t="shared" si="900"/>
        <v>11822118.288180852</v>
      </c>
      <c r="GM54" s="423">
        <f t="shared" si="901"/>
        <v>6</v>
      </c>
      <c r="GN54" s="424">
        <f t="shared" si="1012"/>
        <v>5</v>
      </c>
      <c r="GO54" s="432">
        <f t="shared" si="902"/>
        <v>33607.035000000003</v>
      </c>
      <c r="GP54" s="424">
        <f t="shared" si="903"/>
        <v>118221182.88180852</v>
      </c>
      <c r="GQ54" s="423">
        <f t="shared" si="904"/>
        <v>24</v>
      </c>
      <c r="GR54" s="424">
        <f t="shared" si="905"/>
        <v>5</v>
      </c>
      <c r="GS54" s="432">
        <f t="shared" si="906"/>
        <v>672140.70000000007</v>
      </c>
      <c r="GT54" s="424">
        <f t="shared" si="907"/>
        <v>472884731.52723408</v>
      </c>
      <c r="GU54" s="423">
        <f t="shared" si="908"/>
        <v>288</v>
      </c>
      <c r="GV54" s="424">
        <f t="shared" si="909"/>
        <v>5</v>
      </c>
      <c r="GW54" s="432">
        <f t="shared" si="910"/>
        <v>8065688.4000000004</v>
      </c>
      <c r="GX54" s="424">
        <f t="shared" si="911"/>
        <v>5674616778.326808</v>
      </c>
      <c r="GZ54" s="424"/>
      <c r="HA54" s="430">
        <v>0.105</v>
      </c>
      <c r="HB54" s="424">
        <f t="shared" si="979"/>
        <v>210</v>
      </c>
      <c r="HC54" s="433">
        <f t="shared" si="1013"/>
        <v>0.75</v>
      </c>
      <c r="HD54" s="424">
        <f t="shared" si="980"/>
        <v>157.5</v>
      </c>
      <c r="HE54" s="423">
        <f t="shared" si="981"/>
        <v>53</v>
      </c>
      <c r="HF54" s="424">
        <f t="shared" si="912"/>
        <v>8347.5</v>
      </c>
      <c r="HG54" s="431">
        <f t="shared" si="982"/>
        <v>0.67100000000000004</v>
      </c>
      <c r="HH54" s="424">
        <f t="shared" si="913"/>
        <v>5601.1725000000006</v>
      </c>
      <c r="HI54" s="424">
        <f t="shared" si="1014"/>
        <v>3</v>
      </c>
      <c r="HJ54" s="424">
        <f t="shared" si="983"/>
        <v>738.72772189453156</v>
      </c>
      <c r="HK54" s="424">
        <f t="shared" si="914"/>
        <v>12413224.202589896</v>
      </c>
      <c r="HL54" s="423">
        <f t="shared" si="915"/>
        <v>6</v>
      </c>
      <c r="HM54" s="424">
        <f t="shared" si="1015"/>
        <v>5</v>
      </c>
      <c r="HN54" s="432">
        <f t="shared" si="916"/>
        <v>33607.035000000003</v>
      </c>
      <c r="HO54" s="424">
        <f t="shared" si="917"/>
        <v>124132242.02589896</v>
      </c>
      <c r="HP54" s="423">
        <f t="shared" si="918"/>
        <v>24</v>
      </c>
      <c r="HQ54" s="424">
        <f t="shared" si="919"/>
        <v>5</v>
      </c>
      <c r="HR54" s="432">
        <f t="shared" si="920"/>
        <v>672140.70000000007</v>
      </c>
      <c r="HS54" s="424">
        <f t="shared" si="921"/>
        <v>496528968.10359579</v>
      </c>
      <c r="HT54" s="423">
        <f t="shared" si="922"/>
        <v>288</v>
      </c>
      <c r="HU54" s="424">
        <f t="shared" si="923"/>
        <v>5</v>
      </c>
      <c r="HV54" s="432">
        <f t="shared" si="924"/>
        <v>8065688.4000000004</v>
      </c>
      <c r="HW54" s="424">
        <f t="shared" si="925"/>
        <v>5958347617.2431498</v>
      </c>
      <c r="HY54" s="424"/>
      <c r="HZ54" s="430">
        <v>0.105</v>
      </c>
      <c r="IA54" s="424">
        <f t="shared" si="984"/>
        <v>210</v>
      </c>
      <c r="IB54" s="433">
        <f t="shared" si="1016"/>
        <v>0.75</v>
      </c>
      <c r="IC54" s="424">
        <f t="shared" si="985"/>
        <v>157.5</v>
      </c>
      <c r="ID54" s="423">
        <f t="shared" si="986"/>
        <v>53</v>
      </c>
      <c r="IE54" s="424">
        <f t="shared" si="926"/>
        <v>8347.5</v>
      </c>
      <c r="IF54" s="431">
        <f t="shared" si="987"/>
        <v>0.67100000000000004</v>
      </c>
      <c r="IG54" s="424">
        <f t="shared" si="927"/>
        <v>5601.1725000000006</v>
      </c>
      <c r="IH54" s="424">
        <f t="shared" si="1017"/>
        <v>3</v>
      </c>
      <c r="II54" s="424">
        <f t="shared" si="988"/>
        <v>775.66410798925813</v>
      </c>
      <c r="IJ54" s="424">
        <f t="shared" si="928"/>
        <v>13033885.412719391</v>
      </c>
      <c r="IK54" s="423">
        <f t="shared" si="929"/>
        <v>6</v>
      </c>
      <c r="IL54" s="424">
        <f t="shared" si="1018"/>
        <v>5</v>
      </c>
      <c r="IM54" s="432">
        <f t="shared" si="930"/>
        <v>33607.035000000003</v>
      </c>
      <c r="IN54" s="424">
        <f t="shared" si="931"/>
        <v>130338854.1271939</v>
      </c>
      <c r="IO54" s="423">
        <f t="shared" si="932"/>
        <v>24</v>
      </c>
      <c r="IP54" s="424">
        <f t="shared" si="933"/>
        <v>5</v>
      </c>
      <c r="IQ54" s="432">
        <f t="shared" si="934"/>
        <v>672140.70000000007</v>
      </c>
      <c r="IR54" s="424">
        <f t="shared" si="935"/>
        <v>521355416.50877559</v>
      </c>
      <c r="IS54" s="423">
        <f t="shared" si="936"/>
        <v>288</v>
      </c>
      <c r="IT54" s="424">
        <f t="shared" si="937"/>
        <v>5</v>
      </c>
      <c r="IU54" s="432">
        <f t="shared" si="938"/>
        <v>8065688.4000000004</v>
      </c>
      <c r="IV54" s="424">
        <f t="shared" si="939"/>
        <v>6256264998.1053066</v>
      </c>
    </row>
    <row r="55" spans="2:256" x14ac:dyDescent="0.25">
      <c r="B55" s="422"/>
      <c r="C55" s="422"/>
      <c r="D55" s="422"/>
      <c r="E55" s="419" t="s">
        <v>148</v>
      </c>
      <c r="F55" s="423"/>
      <c r="G55" s="423"/>
      <c r="H55" s="424"/>
      <c r="I55" s="430">
        <v>7.0000000000000007E-2</v>
      </c>
      <c r="J55" s="424">
        <f t="shared" si="940"/>
        <v>28.000000000000004</v>
      </c>
      <c r="K55" s="433">
        <f t="shared" si="989"/>
        <v>0.75</v>
      </c>
      <c r="L55" s="424">
        <f t="shared" si="941"/>
        <v>21.000000000000004</v>
      </c>
      <c r="M55" s="423">
        <f t="shared" si="942"/>
        <v>37</v>
      </c>
      <c r="N55" s="424">
        <f t="shared" si="800"/>
        <v>777.00000000000011</v>
      </c>
      <c r="O55" s="431">
        <f>'Parameters and Summary'!E87</f>
        <v>0.72</v>
      </c>
      <c r="P55" s="424">
        <f t="shared" si="801"/>
        <v>559.44000000000005</v>
      </c>
      <c r="Q55" s="424">
        <f t="shared" si="990"/>
        <v>3</v>
      </c>
      <c r="R55" s="424">
        <f t="shared" si="943"/>
        <v>500</v>
      </c>
      <c r="S55" s="424">
        <f t="shared" si="802"/>
        <v>839160</v>
      </c>
      <c r="T55" s="423">
        <f t="shared" si="803"/>
        <v>6</v>
      </c>
      <c r="U55" s="424">
        <f t="shared" si="991"/>
        <v>5</v>
      </c>
      <c r="V55" s="432">
        <f t="shared" si="804"/>
        <v>3356.6400000000003</v>
      </c>
      <c r="W55" s="424">
        <f t="shared" si="805"/>
        <v>8391600.0000000019</v>
      </c>
      <c r="X55" s="423">
        <f t="shared" si="806"/>
        <v>24</v>
      </c>
      <c r="Y55" s="424">
        <f t="shared" si="807"/>
        <v>5</v>
      </c>
      <c r="Z55" s="432">
        <f t="shared" si="808"/>
        <v>67132.800000000003</v>
      </c>
      <c r="AA55" s="424">
        <f t="shared" si="809"/>
        <v>33566400</v>
      </c>
      <c r="AB55" s="423">
        <f t="shared" si="810"/>
        <v>288</v>
      </c>
      <c r="AC55" s="424">
        <f t="shared" si="811"/>
        <v>5</v>
      </c>
      <c r="AD55" s="432">
        <f t="shared" si="812"/>
        <v>805593.60000000009</v>
      </c>
      <c r="AE55" s="424">
        <f t="shared" si="813"/>
        <v>402796800.00000006</v>
      </c>
      <c r="AG55" s="424"/>
      <c r="AH55" s="430">
        <v>7.0000000000000007E-2</v>
      </c>
      <c r="AI55" s="424">
        <f t="shared" si="944"/>
        <v>56.000000000000007</v>
      </c>
      <c r="AJ55" s="433">
        <f t="shared" si="992"/>
        <v>0.75</v>
      </c>
      <c r="AK55" s="424">
        <f t="shared" si="945"/>
        <v>42.000000000000007</v>
      </c>
      <c r="AL55" s="423">
        <f t="shared" si="946"/>
        <v>37</v>
      </c>
      <c r="AM55" s="424">
        <f t="shared" si="814"/>
        <v>1554.0000000000002</v>
      </c>
      <c r="AN55" s="431">
        <f t="shared" si="947"/>
        <v>0.72</v>
      </c>
      <c r="AO55" s="424">
        <f t="shared" si="815"/>
        <v>1118.8800000000001</v>
      </c>
      <c r="AP55" s="424">
        <f t="shared" si="993"/>
        <v>3</v>
      </c>
      <c r="AQ55" s="424">
        <f t="shared" si="948"/>
        <v>525</v>
      </c>
      <c r="AR55" s="424">
        <f t="shared" si="816"/>
        <v>1762236</v>
      </c>
      <c r="AS55" s="423">
        <f t="shared" si="817"/>
        <v>6</v>
      </c>
      <c r="AT55" s="424">
        <f t="shared" si="994"/>
        <v>5</v>
      </c>
      <c r="AU55" s="432">
        <f t="shared" si="818"/>
        <v>6713.2800000000007</v>
      </c>
      <c r="AV55" s="424">
        <f>AU55*AQ55*AT55</f>
        <v>17622360.000000004</v>
      </c>
      <c r="AW55" s="423">
        <f t="shared" si="820"/>
        <v>24</v>
      </c>
      <c r="AX55" s="424">
        <f t="shared" si="821"/>
        <v>5</v>
      </c>
      <c r="AY55" s="432">
        <f t="shared" si="822"/>
        <v>134265.60000000001</v>
      </c>
      <c r="AZ55" s="424">
        <f t="shared" si="823"/>
        <v>70489440</v>
      </c>
      <c r="BA55" s="423">
        <f t="shared" si="824"/>
        <v>288</v>
      </c>
      <c r="BB55" s="424">
        <f t="shared" si="825"/>
        <v>5</v>
      </c>
      <c r="BC55" s="432">
        <f t="shared" si="826"/>
        <v>1611187.2000000002</v>
      </c>
      <c r="BD55" s="424">
        <f t="shared" si="827"/>
        <v>845873280.00000012</v>
      </c>
      <c r="BF55" s="424"/>
      <c r="BG55" s="430">
        <v>7.0000000000000007E-2</v>
      </c>
      <c r="BH55" s="424">
        <f t="shared" si="949"/>
        <v>84.000000000000014</v>
      </c>
      <c r="BI55" s="433">
        <f t="shared" si="995"/>
        <v>0.75</v>
      </c>
      <c r="BJ55" s="424">
        <f t="shared" si="950"/>
        <v>63.000000000000014</v>
      </c>
      <c r="BK55" s="423">
        <f t="shared" si="951"/>
        <v>53</v>
      </c>
      <c r="BL55" s="424">
        <f t="shared" si="828"/>
        <v>3339.0000000000009</v>
      </c>
      <c r="BM55" s="431">
        <f t="shared" si="952"/>
        <v>0.72</v>
      </c>
      <c r="BN55" s="424">
        <f t="shared" si="829"/>
        <v>2404.0800000000004</v>
      </c>
      <c r="BO55" s="424">
        <f t="shared" si="996"/>
        <v>3</v>
      </c>
      <c r="BP55" s="424">
        <f t="shared" si="953"/>
        <v>551.25</v>
      </c>
      <c r="BQ55" s="424">
        <f t="shared" si="830"/>
        <v>3975747.3000000007</v>
      </c>
      <c r="BR55" s="423">
        <f t="shared" si="831"/>
        <v>6</v>
      </c>
      <c r="BS55" s="424">
        <f t="shared" si="997"/>
        <v>5</v>
      </c>
      <c r="BT55" s="432">
        <f t="shared" si="832"/>
        <v>14424.480000000003</v>
      </c>
      <c r="BU55" s="424">
        <f t="shared" si="833"/>
        <v>39757473.000000007</v>
      </c>
      <c r="BV55" s="423">
        <f t="shared" si="834"/>
        <v>24</v>
      </c>
      <c r="BW55" s="424">
        <f t="shared" si="835"/>
        <v>5</v>
      </c>
      <c r="BX55" s="432">
        <f t="shared" si="836"/>
        <v>288489.60000000009</v>
      </c>
      <c r="BY55" s="424">
        <f t="shared" si="837"/>
        <v>159029892.00000006</v>
      </c>
      <c r="BZ55" s="423">
        <f t="shared" si="838"/>
        <v>288</v>
      </c>
      <c r="CA55" s="424">
        <f t="shared" si="839"/>
        <v>5</v>
      </c>
      <c r="CB55" s="432">
        <f t="shared" si="840"/>
        <v>3461875.2000000007</v>
      </c>
      <c r="CC55" s="424">
        <f t="shared" si="841"/>
        <v>1908358704.0000005</v>
      </c>
      <c r="CE55" s="424"/>
      <c r="CF55" s="430">
        <v>7.0000000000000007E-2</v>
      </c>
      <c r="CG55" s="424">
        <f t="shared" si="954"/>
        <v>112.00000000000001</v>
      </c>
      <c r="CH55" s="433">
        <f t="shared" si="998"/>
        <v>0.75</v>
      </c>
      <c r="CI55" s="424">
        <f t="shared" si="955"/>
        <v>84.000000000000014</v>
      </c>
      <c r="CJ55" s="423">
        <f t="shared" si="956"/>
        <v>53</v>
      </c>
      <c r="CK55" s="424">
        <f t="shared" si="842"/>
        <v>4452.0000000000009</v>
      </c>
      <c r="CL55" s="431">
        <f t="shared" si="957"/>
        <v>0.72</v>
      </c>
      <c r="CM55" s="424">
        <f t="shared" si="843"/>
        <v>3205.4400000000005</v>
      </c>
      <c r="CN55" s="424">
        <f t="shared" si="999"/>
        <v>3</v>
      </c>
      <c r="CO55" s="424">
        <f t="shared" si="958"/>
        <v>578.8125</v>
      </c>
      <c r="CP55" s="424">
        <f t="shared" si="844"/>
        <v>5566046.2200000007</v>
      </c>
      <c r="CQ55" s="423">
        <f t="shared" si="845"/>
        <v>6</v>
      </c>
      <c r="CR55" s="424">
        <f t="shared" si="1000"/>
        <v>5</v>
      </c>
      <c r="CS55" s="432">
        <f t="shared" si="846"/>
        <v>19232.640000000003</v>
      </c>
      <c r="CT55" s="424">
        <f t="shared" si="847"/>
        <v>55660462.200000003</v>
      </c>
      <c r="CU55" s="423">
        <f t="shared" si="848"/>
        <v>24</v>
      </c>
      <c r="CV55" s="424">
        <f t="shared" si="849"/>
        <v>5</v>
      </c>
      <c r="CW55" s="432">
        <f t="shared" si="850"/>
        <v>384652.80000000005</v>
      </c>
      <c r="CX55" s="424">
        <f t="shared" si="851"/>
        <v>222641848.80000004</v>
      </c>
      <c r="CY55" s="423">
        <f t="shared" si="852"/>
        <v>288</v>
      </c>
      <c r="CZ55" s="424">
        <f t="shared" si="853"/>
        <v>5</v>
      </c>
      <c r="DA55" s="432">
        <f t="shared" si="854"/>
        <v>4615833.6000000015</v>
      </c>
      <c r="DB55" s="424">
        <f t="shared" si="855"/>
        <v>2671702185.6000009</v>
      </c>
      <c r="DD55" s="424"/>
      <c r="DE55" s="430">
        <v>7.0000000000000007E-2</v>
      </c>
      <c r="DF55" s="424">
        <f t="shared" si="959"/>
        <v>140</v>
      </c>
      <c r="DG55" s="433">
        <f t="shared" si="1001"/>
        <v>0.75</v>
      </c>
      <c r="DH55" s="424">
        <f t="shared" si="960"/>
        <v>105</v>
      </c>
      <c r="DI55" s="423">
        <f t="shared" si="961"/>
        <v>53</v>
      </c>
      <c r="DJ55" s="424">
        <f t="shared" si="856"/>
        <v>5565</v>
      </c>
      <c r="DK55" s="431">
        <f t="shared" si="962"/>
        <v>0.72</v>
      </c>
      <c r="DL55" s="424">
        <f t="shared" si="857"/>
        <v>4006.7999999999997</v>
      </c>
      <c r="DM55" s="424">
        <f t="shared" si="1002"/>
        <v>3</v>
      </c>
      <c r="DN55" s="424">
        <f t="shared" si="963"/>
        <v>607.75312500000007</v>
      </c>
      <c r="DO55" s="424">
        <f t="shared" si="858"/>
        <v>7305435.6637500003</v>
      </c>
      <c r="DP55" s="423">
        <f t="shared" si="859"/>
        <v>6</v>
      </c>
      <c r="DQ55" s="424">
        <f t="shared" si="1003"/>
        <v>5</v>
      </c>
      <c r="DR55" s="432">
        <f t="shared" si="860"/>
        <v>24040.799999999999</v>
      </c>
      <c r="DS55" s="424">
        <f t="shared" si="861"/>
        <v>73054356.637500003</v>
      </c>
      <c r="DT55" s="423">
        <f t="shared" si="862"/>
        <v>24</v>
      </c>
      <c r="DU55" s="424">
        <f t="shared" si="863"/>
        <v>5</v>
      </c>
      <c r="DV55" s="432">
        <f t="shared" si="864"/>
        <v>480816</v>
      </c>
      <c r="DW55" s="424">
        <f t="shared" si="865"/>
        <v>292217426.55000001</v>
      </c>
      <c r="DX55" s="423">
        <f t="shared" si="866"/>
        <v>288</v>
      </c>
      <c r="DY55" s="424">
        <f t="shared" si="867"/>
        <v>5</v>
      </c>
      <c r="DZ55" s="432">
        <f t="shared" si="868"/>
        <v>5769792</v>
      </c>
      <c r="EA55" s="424">
        <f t="shared" si="869"/>
        <v>3506609118.6000004</v>
      </c>
      <c r="EC55" s="424"/>
      <c r="ED55" s="430">
        <v>7.0000000000000007E-2</v>
      </c>
      <c r="EE55" s="424">
        <f t="shared" si="964"/>
        <v>140</v>
      </c>
      <c r="EF55" s="433">
        <f t="shared" si="1004"/>
        <v>0.75</v>
      </c>
      <c r="EG55" s="424">
        <f t="shared" si="965"/>
        <v>105</v>
      </c>
      <c r="EH55" s="423">
        <f t="shared" si="966"/>
        <v>53</v>
      </c>
      <c r="EI55" s="424">
        <f t="shared" si="870"/>
        <v>5565</v>
      </c>
      <c r="EJ55" s="431">
        <f t="shared" si="967"/>
        <v>0.72</v>
      </c>
      <c r="EK55" s="424">
        <f t="shared" si="871"/>
        <v>4006.7999999999997</v>
      </c>
      <c r="EL55" s="424">
        <f t="shared" si="1005"/>
        <v>3</v>
      </c>
      <c r="EM55" s="424">
        <f t="shared" si="968"/>
        <v>638.14078125000015</v>
      </c>
      <c r="EN55" s="424">
        <f t="shared" si="872"/>
        <v>7670707.4469375014</v>
      </c>
      <c r="EO55" s="423">
        <f t="shared" si="873"/>
        <v>6</v>
      </c>
      <c r="EP55" s="424">
        <f t="shared" si="1006"/>
        <v>5</v>
      </c>
      <c r="EQ55" s="432">
        <f t="shared" si="874"/>
        <v>24040.799999999999</v>
      </c>
      <c r="ER55" s="424">
        <f t="shared" si="875"/>
        <v>76707074.469375014</v>
      </c>
      <c r="ES55" s="423">
        <f t="shared" si="876"/>
        <v>24</v>
      </c>
      <c r="ET55" s="424">
        <f t="shared" si="877"/>
        <v>5</v>
      </c>
      <c r="EU55" s="432">
        <f t="shared" si="878"/>
        <v>480816</v>
      </c>
      <c r="EV55" s="424">
        <f t="shared" si="879"/>
        <v>306828297.87750006</v>
      </c>
      <c r="EW55" s="423">
        <f t="shared" si="880"/>
        <v>288</v>
      </c>
      <c r="EX55" s="424">
        <f t="shared" si="881"/>
        <v>5</v>
      </c>
      <c r="EY55" s="432">
        <f t="shared" si="882"/>
        <v>5769792</v>
      </c>
      <c r="EZ55" s="424">
        <f t="shared" si="883"/>
        <v>3681939574.5300007</v>
      </c>
      <c r="FB55" s="424"/>
      <c r="FC55" s="430">
        <v>7.0000000000000007E-2</v>
      </c>
      <c r="FD55" s="424">
        <f t="shared" si="969"/>
        <v>140</v>
      </c>
      <c r="FE55" s="433">
        <f t="shared" si="1007"/>
        <v>0.75</v>
      </c>
      <c r="FF55" s="424">
        <f t="shared" si="970"/>
        <v>105</v>
      </c>
      <c r="FG55" s="423">
        <f t="shared" si="971"/>
        <v>53</v>
      </c>
      <c r="FH55" s="424">
        <f t="shared" si="884"/>
        <v>5565</v>
      </c>
      <c r="FI55" s="431">
        <f t="shared" si="972"/>
        <v>0.72</v>
      </c>
      <c r="FJ55" s="424">
        <f t="shared" si="885"/>
        <v>4006.7999999999997</v>
      </c>
      <c r="FK55" s="424">
        <f t="shared" si="1008"/>
        <v>3</v>
      </c>
      <c r="FL55" s="424">
        <f t="shared" si="973"/>
        <v>670.04782031250022</v>
      </c>
      <c r="FM55" s="424">
        <f t="shared" si="886"/>
        <v>8054242.8192843776</v>
      </c>
      <c r="FN55" s="423">
        <f t="shared" si="887"/>
        <v>6</v>
      </c>
      <c r="FO55" s="424">
        <f t="shared" si="1009"/>
        <v>5</v>
      </c>
      <c r="FP55" s="432">
        <f t="shared" si="888"/>
        <v>24040.799999999999</v>
      </c>
      <c r="FQ55" s="424">
        <f t="shared" si="889"/>
        <v>80542428.19284378</v>
      </c>
      <c r="FR55" s="423">
        <f t="shared" si="890"/>
        <v>24</v>
      </c>
      <c r="FS55" s="424">
        <f t="shared" si="891"/>
        <v>5</v>
      </c>
      <c r="FT55" s="432">
        <f t="shared" si="892"/>
        <v>480816</v>
      </c>
      <c r="FU55" s="424">
        <f t="shared" si="893"/>
        <v>322169712.77137512</v>
      </c>
      <c r="FV55" s="423">
        <f t="shared" si="894"/>
        <v>288</v>
      </c>
      <c r="FW55" s="424">
        <f t="shared" si="895"/>
        <v>5</v>
      </c>
      <c r="FX55" s="432">
        <f t="shared" si="896"/>
        <v>5769792</v>
      </c>
      <c r="FY55" s="424">
        <f t="shared" si="897"/>
        <v>3866036553.2565012</v>
      </c>
      <c r="GA55" s="424"/>
      <c r="GB55" s="430">
        <v>7.0000000000000007E-2</v>
      </c>
      <c r="GC55" s="424">
        <f t="shared" si="974"/>
        <v>140</v>
      </c>
      <c r="GD55" s="433">
        <f t="shared" si="1010"/>
        <v>0.75</v>
      </c>
      <c r="GE55" s="424">
        <f t="shared" si="975"/>
        <v>105</v>
      </c>
      <c r="GF55" s="423">
        <f t="shared" si="976"/>
        <v>53</v>
      </c>
      <c r="GG55" s="424">
        <f t="shared" si="898"/>
        <v>5565</v>
      </c>
      <c r="GH55" s="431">
        <f t="shared" si="977"/>
        <v>0.72</v>
      </c>
      <c r="GI55" s="424">
        <f t="shared" si="899"/>
        <v>4006.7999999999997</v>
      </c>
      <c r="GJ55" s="424">
        <f t="shared" si="1011"/>
        <v>3</v>
      </c>
      <c r="GK55" s="424">
        <f t="shared" si="978"/>
        <v>703.55021132812522</v>
      </c>
      <c r="GL55" s="424">
        <f t="shared" si="900"/>
        <v>8456954.9602485951</v>
      </c>
      <c r="GM55" s="423">
        <f t="shared" si="901"/>
        <v>6</v>
      </c>
      <c r="GN55" s="424">
        <f t="shared" si="1012"/>
        <v>5</v>
      </c>
      <c r="GO55" s="432">
        <f t="shared" si="902"/>
        <v>24040.799999999999</v>
      </c>
      <c r="GP55" s="424">
        <f t="shared" si="903"/>
        <v>84569549.60248597</v>
      </c>
      <c r="GQ55" s="423">
        <f t="shared" si="904"/>
        <v>24</v>
      </c>
      <c r="GR55" s="424">
        <f t="shared" si="905"/>
        <v>5</v>
      </c>
      <c r="GS55" s="432">
        <f t="shared" si="906"/>
        <v>480816</v>
      </c>
      <c r="GT55" s="424">
        <f t="shared" si="907"/>
        <v>338278198.40994388</v>
      </c>
      <c r="GU55" s="423">
        <f t="shared" si="908"/>
        <v>288</v>
      </c>
      <c r="GV55" s="424">
        <f t="shared" si="909"/>
        <v>5</v>
      </c>
      <c r="GW55" s="432">
        <f t="shared" si="910"/>
        <v>5769792</v>
      </c>
      <c r="GX55" s="424">
        <f t="shared" si="911"/>
        <v>4059338380.9193263</v>
      </c>
      <c r="GZ55" s="424"/>
      <c r="HA55" s="430">
        <v>7.0000000000000007E-2</v>
      </c>
      <c r="HB55" s="424">
        <f t="shared" si="979"/>
        <v>140</v>
      </c>
      <c r="HC55" s="433">
        <f t="shared" si="1013"/>
        <v>0.75</v>
      </c>
      <c r="HD55" s="424">
        <f t="shared" si="980"/>
        <v>105</v>
      </c>
      <c r="HE55" s="423">
        <f t="shared" si="981"/>
        <v>53</v>
      </c>
      <c r="HF55" s="424">
        <f t="shared" si="912"/>
        <v>5565</v>
      </c>
      <c r="HG55" s="431">
        <f t="shared" si="982"/>
        <v>0.72</v>
      </c>
      <c r="HH55" s="424">
        <f t="shared" si="913"/>
        <v>4006.7999999999997</v>
      </c>
      <c r="HI55" s="424">
        <f t="shared" si="1014"/>
        <v>3</v>
      </c>
      <c r="HJ55" s="424">
        <f t="shared" si="983"/>
        <v>738.72772189453156</v>
      </c>
      <c r="HK55" s="424">
        <f t="shared" si="914"/>
        <v>8879802.7082610261</v>
      </c>
      <c r="HL55" s="423">
        <f t="shared" si="915"/>
        <v>6</v>
      </c>
      <c r="HM55" s="424">
        <f t="shared" si="1015"/>
        <v>5</v>
      </c>
      <c r="HN55" s="432">
        <f t="shared" si="916"/>
        <v>24040.799999999999</v>
      </c>
      <c r="HO55" s="424">
        <f t="shared" si="917"/>
        <v>88798027.082610264</v>
      </c>
      <c r="HP55" s="423">
        <f t="shared" si="918"/>
        <v>24</v>
      </c>
      <c r="HQ55" s="424">
        <f t="shared" si="919"/>
        <v>5</v>
      </c>
      <c r="HR55" s="432">
        <f t="shared" si="920"/>
        <v>480816</v>
      </c>
      <c r="HS55" s="424">
        <f t="shared" si="921"/>
        <v>355192108.33044106</v>
      </c>
      <c r="HT55" s="423">
        <f t="shared" si="922"/>
        <v>288</v>
      </c>
      <c r="HU55" s="424">
        <f t="shared" si="923"/>
        <v>5</v>
      </c>
      <c r="HV55" s="432">
        <f t="shared" si="924"/>
        <v>5769792</v>
      </c>
      <c r="HW55" s="424">
        <f t="shared" si="925"/>
        <v>4262305299.9652929</v>
      </c>
      <c r="HY55" s="424"/>
      <c r="HZ55" s="430">
        <v>7.0000000000000007E-2</v>
      </c>
      <c r="IA55" s="424">
        <f t="shared" si="984"/>
        <v>140</v>
      </c>
      <c r="IB55" s="433">
        <f t="shared" si="1016"/>
        <v>0.75</v>
      </c>
      <c r="IC55" s="424">
        <f t="shared" si="985"/>
        <v>105</v>
      </c>
      <c r="ID55" s="423">
        <f t="shared" si="986"/>
        <v>53</v>
      </c>
      <c r="IE55" s="424">
        <f t="shared" si="926"/>
        <v>5565</v>
      </c>
      <c r="IF55" s="431">
        <f t="shared" si="987"/>
        <v>0.72</v>
      </c>
      <c r="IG55" s="424">
        <f t="shared" si="927"/>
        <v>4006.7999999999997</v>
      </c>
      <c r="IH55" s="424">
        <f t="shared" si="1017"/>
        <v>3</v>
      </c>
      <c r="II55" s="424">
        <f t="shared" si="988"/>
        <v>775.66410798925813</v>
      </c>
      <c r="IJ55" s="424">
        <f t="shared" si="928"/>
        <v>9323792.8436740786</v>
      </c>
      <c r="IK55" s="423">
        <f t="shared" si="929"/>
        <v>6</v>
      </c>
      <c r="IL55" s="424">
        <f t="shared" si="1018"/>
        <v>5</v>
      </c>
      <c r="IM55" s="432">
        <f t="shared" si="930"/>
        <v>24040.799999999999</v>
      </c>
      <c r="IN55" s="424">
        <f t="shared" si="931"/>
        <v>93237928.436740786</v>
      </c>
      <c r="IO55" s="423">
        <f t="shared" si="932"/>
        <v>24</v>
      </c>
      <c r="IP55" s="424">
        <f t="shared" si="933"/>
        <v>5</v>
      </c>
      <c r="IQ55" s="432">
        <f t="shared" si="934"/>
        <v>480816</v>
      </c>
      <c r="IR55" s="424">
        <f t="shared" si="935"/>
        <v>372951713.74696314</v>
      </c>
      <c r="IS55" s="423">
        <f t="shared" si="936"/>
        <v>288</v>
      </c>
      <c r="IT55" s="424">
        <f t="shared" si="937"/>
        <v>5</v>
      </c>
      <c r="IU55" s="432">
        <f t="shared" si="938"/>
        <v>5769792</v>
      </c>
      <c r="IV55" s="424">
        <f t="shared" si="939"/>
        <v>4475420564.9635572</v>
      </c>
    </row>
    <row r="56" spans="2:256" x14ac:dyDescent="0.25">
      <c r="B56" s="422">
        <v>3</v>
      </c>
      <c r="C56" s="422">
        <v>8</v>
      </c>
      <c r="D56" s="422" t="s">
        <v>82</v>
      </c>
      <c r="E56" s="419"/>
      <c r="F56" s="423" t="s">
        <v>99</v>
      </c>
      <c r="G56" s="423" t="s">
        <v>100</v>
      </c>
      <c r="H56" s="424">
        <f>H49</f>
        <v>400</v>
      </c>
      <c r="I56" s="425">
        <v>0.1</v>
      </c>
      <c r="J56" s="426">
        <f t="shared" ref="J56" si="1019">H56*I56</f>
        <v>40</v>
      </c>
      <c r="K56" s="425"/>
      <c r="L56" s="426"/>
      <c r="M56" s="427">
        <f>M49</f>
        <v>37</v>
      </c>
      <c r="N56" s="426">
        <f t="shared" ref="N56" si="1020">J56*M56</f>
        <v>1480</v>
      </c>
      <c r="O56" s="428"/>
      <c r="P56" s="426"/>
      <c r="Q56" s="426"/>
      <c r="R56" s="426"/>
      <c r="S56" s="426"/>
      <c r="T56" s="427"/>
      <c r="U56" s="426"/>
      <c r="V56" s="429"/>
      <c r="W56" s="426"/>
      <c r="X56" s="427"/>
      <c r="Y56" s="426"/>
      <c r="Z56" s="429"/>
      <c r="AA56" s="426"/>
      <c r="AB56" s="427"/>
      <c r="AC56" s="426"/>
      <c r="AD56" s="429"/>
      <c r="AE56" s="426"/>
      <c r="AG56" s="424">
        <f>AG49</f>
        <v>800</v>
      </c>
      <c r="AH56" s="425">
        <v>0.1</v>
      </c>
      <c r="AI56" s="426">
        <f t="shared" ref="AI56" si="1021">AG56*AH56</f>
        <v>80</v>
      </c>
      <c r="AJ56" s="425"/>
      <c r="AK56" s="426"/>
      <c r="AL56" s="427">
        <f>AL49</f>
        <v>37</v>
      </c>
      <c r="AM56" s="426">
        <f t="shared" ref="AM56" si="1022">AI56*AL56</f>
        <v>2960</v>
      </c>
      <c r="AN56" s="428"/>
      <c r="AO56" s="426"/>
      <c r="AP56" s="426"/>
      <c r="AQ56" s="426"/>
      <c r="AR56" s="426"/>
      <c r="AS56" s="427"/>
      <c r="AT56" s="426"/>
      <c r="AU56" s="429"/>
      <c r="AV56" s="426"/>
      <c r="AW56" s="427"/>
      <c r="AX56" s="426"/>
      <c r="AY56" s="429"/>
      <c r="AZ56" s="426"/>
      <c r="BA56" s="427"/>
      <c r="BB56" s="426"/>
      <c r="BC56" s="429"/>
      <c r="BD56" s="426"/>
      <c r="BF56" s="424">
        <f>BF49</f>
        <v>1200</v>
      </c>
      <c r="BG56" s="425">
        <v>0.1</v>
      </c>
      <c r="BH56" s="426">
        <f t="shared" ref="BH56" si="1023">BF56*BG56</f>
        <v>120</v>
      </c>
      <c r="BI56" s="425"/>
      <c r="BJ56" s="426"/>
      <c r="BK56" s="427">
        <f>BK49</f>
        <v>53</v>
      </c>
      <c r="BL56" s="426">
        <f t="shared" ref="BL56" si="1024">BH56*BK56</f>
        <v>6360</v>
      </c>
      <c r="BM56" s="428"/>
      <c r="BN56" s="426"/>
      <c r="BO56" s="426"/>
      <c r="BP56" s="426"/>
      <c r="BQ56" s="426"/>
      <c r="BR56" s="427"/>
      <c r="BS56" s="426"/>
      <c r="BT56" s="429"/>
      <c r="BU56" s="426"/>
      <c r="BV56" s="427"/>
      <c r="BW56" s="426"/>
      <c r="BX56" s="429"/>
      <c r="BY56" s="426"/>
      <c r="BZ56" s="427"/>
      <c r="CA56" s="426"/>
      <c r="CB56" s="429"/>
      <c r="CC56" s="426"/>
      <c r="CE56" s="424">
        <f>CE49</f>
        <v>1600</v>
      </c>
      <c r="CF56" s="425">
        <v>0.1</v>
      </c>
      <c r="CG56" s="426">
        <f t="shared" ref="CG56" si="1025">CE56*CF56</f>
        <v>160</v>
      </c>
      <c r="CH56" s="425"/>
      <c r="CI56" s="426"/>
      <c r="CJ56" s="427">
        <f>CJ49</f>
        <v>53</v>
      </c>
      <c r="CK56" s="426">
        <f t="shared" ref="CK56" si="1026">CG56*CJ56</f>
        <v>8480</v>
      </c>
      <c r="CL56" s="428"/>
      <c r="CM56" s="426"/>
      <c r="CN56" s="426"/>
      <c r="CO56" s="426"/>
      <c r="CP56" s="426"/>
      <c r="CQ56" s="427"/>
      <c r="CR56" s="426"/>
      <c r="CS56" s="429"/>
      <c r="CT56" s="426"/>
      <c r="CU56" s="427"/>
      <c r="CV56" s="426"/>
      <c r="CW56" s="429"/>
      <c r="CX56" s="426"/>
      <c r="CY56" s="427"/>
      <c r="CZ56" s="426"/>
      <c r="DA56" s="429"/>
      <c r="DB56" s="426"/>
      <c r="DD56" s="424">
        <f>DD49</f>
        <v>2000</v>
      </c>
      <c r="DE56" s="425">
        <v>0.1</v>
      </c>
      <c r="DF56" s="426">
        <f t="shared" ref="DF56" si="1027">DD56*DE56</f>
        <v>200</v>
      </c>
      <c r="DG56" s="425"/>
      <c r="DH56" s="426"/>
      <c r="DI56" s="427">
        <f>DI49</f>
        <v>53</v>
      </c>
      <c r="DJ56" s="426">
        <f t="shared" ref="DJ56" si="1028">DF56*DI56</f>
        <v>10600</v>
      </c>
      <c r="DK56" s="428"/>
      <c r="DL56" s="426"/>
      <c r="DM56" s="426"/>
      <c r="DN56" s="426"/>
      <c r="DO56" s="426"/>
      <c r="DP56" s="427"/>
      <c r="DQ56" s="426"/>
      <c r="DR56" s="429"/>
      <c r="DS56" s="426"/>
      <c r="DT56" s="427"/>
      <c r="DU56" s="426"/>
      <c r="DV56" s="429"/>
      <c r="DW56" s="426"/>
      <c r="DX56" s="427"/>
      <c r="DY56" s="426"/>
      <c r="DZ56" s="429"/>
      <c r="EA56" s="426"/>
      <c r="EC56" s="424">
        <f>EC49</f>
        <v>2000</v>
      </c>
      <c r="ED56" s="425">
        <v>0.1</v>
      </c>
      <c r="EE56" s="426">
        <f t="shared" ref="EE56" si="1029">EC56*ED56</f>
        <v>200</v>
      </c>
      <c r="EF56" s="425"/>
      <c r="EG56" s="426"/>
      <c r="EH56" s="427">
        <f>EH49</f>
        <v>53</v>
      </c>
      <c r="EI56" s="426">
        <f t="shared" ref="EI56" si="1030">EE56*EH56</f>
        <v>10600</v>
      </c>
      <c r="EJ56" s="428"/>
      <c r="EK56" s="426"/>
      <c r="EL56" s="426"/>
      <c r="EM56" s="426"/>
      <c r="EN56" s="426"/>
      <c r="EO56" s="427"/>
      <c r="EP56" s="426"/>
      <c r="EQ56" s="429"/>
      <c r="ER56" s="426"/>
      <c r="ES56" s="427"/>
      <c r="ET56" s="426"/>
      <c r="EU56" s="429"/>
      <c r="EV56" s="426"/>
      <c r="EW56" s="427"/>
      <c r="EX56" s="426"/>
      <c r="EY56" s="429"/>
      <c r="EZ56" s="426"/>
      <c r="FB56" s="424">
        <f>FB49</f>
        <v>2000</v>
      </c>
      <c r="FC56" s="425">
        <v>0.1</v>
      </c>
      <c r="FD56" s="426">
        <f t="shared" ref="FD56" si="1031">FB56*FC56</f>
        <v>200</v>
      </c>
      <c r="FE56" s="425"/>
      <c r="FF56" s="426"/>
      <c r="FG56" s="427">
        <f>FG49</f>
        <v>53</v>
      </c>
      <c r="FH56" s="426">
        <f t="shared" ref="FH56" si="1032">FD56*FG56</f>
        <v>10600</v>
      </c>
      <c r="FI56" s="428"/>
      <c r="FJ56" s="426"/>
      <c r="FK56" s="426"/>
      <c r="FL56" s="426"/>
      <c r="FM56" s="426"/>
      <c r="FN56" s="427"/>
      <c r="FO56" s="426"/>
      <c r="FP56" s="429"/>
      <c r="FQ56" s="426"/>
      <c r="FR56" s="427"/>
      <c r="FS56" s="426"/>
      <c r="FT56" s="429"/>
      <c r="FU56" s="426"/>
      <c r="FV56" s="427"/>
      <c r="FW56" s="426"/>
      <c r="FX56" s="429"/>
      <c r="FY56" s="426"/>
      <c r="GA56" s="424">
        <f>GA49</f>
        <v>2000</v>
      </c>
      <c r="GB56" s="425">
        <v>0.1</v>
      </c>
      <c r="GC56" s="426">
        <f t="shared" ref="GC56" si="1033">GA56*GB56</f>
        <v>200</v>
      </c>
      <c r="GD56" s="425"/>
      <c r="GE56" s="426"/>
      <c r="GF56" s="427">
        <f>GF49</f>
        <v>53</v>
      </c>
      <c r="GG56" s="426">
        <f t="shared" ref="GG56" si="1034">GC56*GF56</f>
        <v>10600</v>
      </c>
      <c r="GH56" s="428"/>
      <c r="GI56" s="426"/>
      <c r="GJ56" s="426"/>
      <c r="GK56" s="426"/>
      <c r="GL56" s="426"/>
      <c r="GM56" s="427"/>
      <c r="GN56" s="426"/>
      <c r="GO56" s="429"/>
      <c r="GP56" s="426"/>
      <c r="GQ56" s="427"/>
      <c r="GR56" s="426"/>
      <c r="GS56" s="429"/>
      <c r="GT56" s="426"/>
      <c r="GU56" s="427"/>
      <c r="GV56" s="426"/>
      <c r="GW56" s="429"/>
      <c r="GX56" s="426"/>
      <c r="GZ56" s="424">
        <f>GZ49</f>
        <v>2000</v>
      </c>
      <c r="HA56" s="425">
        <v>0.1</v>
      </c>
      <c r="HB56" s="426">
        <f t="shared" ref="HB56" si="1035">GZ56*HA56</f>
        <v>200</v>
      </c>
      <c r="HC56" s="425"/>
      <c r="HD56" s="426"/>
      <c r="HE56" s="427">
        <f>HE49</f>
        <v>53</v>
      </c>
      <c r="HF56" s="426">
        <f t="shared" ref="HF56" si="1036">HB56*HE56</f>
        <v>10600</v>
      </c>
      <c r="HG56" s="428"/>
      <c r="HH56" s="426"/>
      <c r="HI56" s="426"/>
      <c r="HJ56" s="426"/>
      <c r="HK56" s="426"/>
      <c r="HL56" s="427"/>
      <c r="HM56" s="426"/>
      <c r="HN56" s="429"/>
      <c r="HO56" s="426"/>
      <c r="HP56" s="427"/>
      <c r="HQ56" s="426"/>
      <c r="HR56" s="429"/>
      <c r="HS56" s="426"/>
      <c r="HT56" s="427"/>
      <c r="HU56" s="426"/>
      <c r="HV56" s="429"/>
      <c r="HW56" s="426"/>
      <c r="HY56" s="424">
        <f>HY49</f>
        <v>2000</v>
      </c>
      <c r="HZ56" s="425">
        <v>0.1</v>
      </c>
      <c r="IA56" s="426">
        <f t="shared" ref="IA56" si="1037">HY56*HZ56</f>
        <v>200</v>
      </c>
      <c r="IB56" s="425"/>
      <c r="IC56" s="426"/>
      <c r="ID56" s="427">
        <f>ID49</f>
        <v>53</v>
      </c>
      <c r="IE56" s="426">
        <f t="shared" ref="IE56" si="1038">IA56*ID56</f>
        <v>10600</v>
      </c>
      <c r="IF56" s="428"/>
      <c r="IG56" s="426"/>
      <c r="IH56" s="426"/>
      <c r="II56" s="426"/>
      <c r="IJ56" s="426"/>
      <c r="IK56" s="427"/>
      <c r="IL56" s="426"/>
      <c r="IM56" s="429"/>
      <c r="IN56" s="426"/>
      <c r="IO56" s="427"/>
      <c r="IP56" s="426"/>
      <c r="IQ56" s="429"/>
      <c r="IR56" s="426"/>
      <c r="IS56" s="427"/>
      <c r="IT56" s="426"/>
      <c r="IU56" s="429"/>
      <c r="IV56" s="426"/>
    </row>
    <row r="57" spans="2:256" x14ac:dyDescent="0.25">
      <c r="B57" s="422"/>
      <c r="C57" s="422"/>
      <c r="D57" s="422"/>
      <c r="E57" s="419" t="s">
        <v>143</v>
      </c>
      <c r="F57" s="423"/>
      <c r="G57" s="423"/>
      <c r="H57" s="424"/>
      <c r="I57" s="430">
        <v>0.21</v>
      </c>
      <c r="J57" s="424">
        <f>I57*H$56</f>
        <v>84</v>
      </c>
      <c r="K57" s="430">
        <v>0.1</v>
      </c>
      <c r="L57" s="424">
        <f>J57*K57</f>
        <v>8.4</v>
      </c>
      <c r="M57" s="423">
        <f>M56</f>
        <v>37</v>
      </c>
      <c r="N57" s="424">
        <f>L57*M57</f>
        <v>310.8</v>
      </c>
      <c r="O57" s="431">
        <f>'Parameters and Summary'!E82</f>
        <v>0.7</v>
      </c>
      <c r="P57" s="424">
        <f t="shared" ref="P57:P62" si="1039">N57*O57</f>
        <v>217.56</v>
      </c>
      <c r="Q57" s="424">
        <v>0</v>
      </c>
      <c r="R57" s="424">
        <f>R50</f>
        <v>500</v>
      </c>
      <c r="S57" s="424">
        <f t="shared" ref="S57:S62" si="1040">R57*P57*Q57</f>
        <v>0</v>
      </c>
      <c r="T57" s="423">
        <f t="shared" ref="T57:T62" si="1041">T50</f>
        <v>6</v>
      </c>
      <c r="U57" s="424">
        <f t="shared" ref="U57:U62" si="1042">Q57</f>
        <v>0</v>
      </c>
      <c r="V57" s="432">
        <f t="shared" ref="V57:V62" si="1043">T57*P57</f>
        <v>1305.3600000000001</v>
      </c>
      <c r="W57" s="424">
        <f t="shared" ref="W57:W62" si="1044">V57*R57*U57</f>
        <v>0</v>
      </c>
      <c r="X57" s="423">
        <f t="shared" ref="X57:X62" si="1045">X50</f>
        <v>24</v>
      </c>
      <c r="Y57" s="424">
        <f t="shared" ref="Y57:Y62" si="1046">U57</f>
        <v>0</v>
      </c>
      <c r="Z57" s="432">
        <f t="shared" ref="Z57:Z62" si="1047">X57*P57*Y57</f>
        <v>0</v>
      </c>
      <c r="AA57" s="424">
        <f t="shared" ref="AA57:AA62" si="1048">Z57*R57</f>
        <v>0</v>
      </c>
      <c r="AB57" s="423">
        <f t="shared" ref="AB57:AB62" si="1049">AB50</f>
        <v>288</v>
      </c>
      <c r="AC57" s="424">
        <f t="shared" ref="AC57:AC62" si="1050">Y57</f>
        <v>0</v>
      </c>
      <c r="AD57" s="432">
        <f t="shared" ref="AD57:AD62" si="1051">AB57*P57*AC57</f>
        <v>0</v>
      </c>
      <c r="AE57" s="424">
        <f t="shared" ref="AE57:AE62" si="1052">AD57*R57</f>
        <v>0</v>
      </c>
      <c r="AG57" s="424"/>
      <c r="AH57" s="430">
        <v>0.21</v>
      </c>
      <c r="AI57" s="424">
        <f>AH57*AG$56</f>
        <v>168</v>
      </c>
      <c r="AJ57" s="430">
        <v>0.1</v>
      </c>
      <c r="AK57" s="424">
        <f>AI57*AJ57</f>
        <v>16.8</v>
      </c>
      <c r="AL57" s="423">
        <f>AL56</f>
        <v>37</v>
      </c>
      <c r="AM57" s="424">
        <f>AK57*AL57</f>
        <v>621.6</v>
      </c>
      <c r="AN57" s="431">
        <f t="shared" ref="AN57:AN62" si="1053">AN50</f>
        <v>0.7</v>
      </c>
      <c r="AO57" s="424">
        <f t="shared" ref="AO57:AO62" si="1054">AM57*AN57</f>
        <v>435.12</v>
      </c>
      <c r="AP57" s="424">
        <v>0</v>
      </c>
      <c r="AQ57" s="424">
        <f>AQ50</f>
        <v>525</v>
      </c>
      <c r="AR57" s="424">
        <f t="shared" ref="AR57:AR62" si="1055">AQ57*AO57*AP57</f>
        <v>0</v>
      </c>
      <c r="AS57" s="423">
        <f t="shared" ref="AS57:AS62" si="1056">AS50</f>
        <v>6</v>
      </c>
      <c r="AT57" s="424">
        <f t="shared" ref="AT57:AT62" si="1057">AP57</f>
        <v>0</v>
      </c>
      <c r="AU57" s="432">
        <f t="shared" ref="AU57:AU62" si="1058">AS57*AO57</f>
        <v>2610.7200000000003</v>
      </c>
      <c r="AV57" s="424">
        <f t="shared" ref="AV57:AV62" si="1059">AU57*AQ57*AT57</f>
        <v>0</v>
      </c>
      <c r="AW57" s="423">
        <f t="shared" ref="AW57:AW62" si="1060">AW50</f>
        <v>24</v>
      </c>
      <c r="AX57" s="424">
        <f t="shared" ref="AX57:AX62" si="1061">AT57</f>
        <v>0</v>
      </c>
      <c r="AY57" s="432">
        <f t="shared" ref="AY57:AY62" si="1062">AW57*AO57*AX57</f>
        <v>0</v>
      </c>
      <c r="AZ57" s="424">
        <f t="shared" ref="AZ57:AZ62" si="1063">AY57*AQ57</f>
        <v>0</v>
      </c>
      <c r="BA57" s="423">
        <f t="shared" ref="BA57:BA62" si="1064">BA50</f>
        <v>288</v>
      </c>
      <c r="BB57" s="424">
        <f t="shared" ref="BB57:BB62" si="1065">AX57</f>
        <v>0</v>
      </c>
      <c r="BC57" s="432">
        <f t="shared" ref="BC57:BC62" si="1066">BA57*AO57*BB57</f>
        <v>0</v>
      </c>
      <c r="BD57" s="424">
        <f t="shared" ref="BD57:BD62" si="1067">BC57*AQ57</f>
        <v>0</v>
      </c>
      <c r="BF57" s="424"/>
      <c r="BG57" s="430">
        <v>0.21</v>
      </c>
      <c r="BH57" s="424">
        <f>BG57*BF$56</f>
        <v>252</v>
      </c>
      <c r="BI57" s="430">
        <v>0.1</v>
      </c>
      <c r="BJ57" s="424">
        <f>BH57*BI57</f>
        <v>25.200000000000003</v>
      </c>
      <c r="BK57" s="423">
        <f>BK56</f>
        <v>53</v>
      </c>
      <c r="BL57" s="424">
        <f>BJ57*BK57</f>
        <v>1335.6000000000001</v>
      </c>
      <c r="BM57" s="431">
        <f t="shared" ref="BM57:BM62" si="1068">BM50</f>
        <v>0.7</v>
      </c>
      <c r="BN57" s="424">
        <f t="shared" ref="BN57:BN62" si="1069">BL57*BM57</f>
        <v>934.92000000000007</v>
      </c>
      <c r="BO57" s="424">
        <v>0</v>
      </c>
      <c r="BP57" s="424">
        <f>BP50</f>
        <v>551.25</v>
      </c>
      <c r="BQ57" s="424">
        <f t="shared" ref="BQ57:BQ62" si="1070">BP57*BN57*BO57</f>
        <v>0</v>
      </c>
      <c r="BR57" s="423">
        <f t="shared" ref="BR57:BR62" si="1071">BR50</f>
        <v>6</v>
      </c>
      <c r="BS57" s="424">
        <f t="shared" ref="BS57:BS62" si="1072">BO57</f>
        <v>0</v>
      </c>
      <c r="BT57" s="432">
        <f t="shared" ref="BT57:BT62" si="1073">BR57*BN57</f>
        <v>5609.52</v>
      </c>
      <c r="BU57" s="424">
        <f t="shared" ref="BU57:BU62" si="1074">BT57*BP57*BS57</f>
        <v>0</v>
      </c>
      <c r="BV57" s="423">
        <f t="shared" ref="BV57:BV62" si="1075">BV50</f>
        <v>24</v>
      </c>
      <c r="BW57" s="424">
        <f t="shared" ref="BW57:BW62" si="1076">BS57</f>
        <v>0</v>
      </c>
      <c r="BX57" s="432">
        <f t="shared" ref="BX57:BX62" si="1077">BV57*BN57*BW57</f>
        <v>0</v>
      </c>
      <c r="BY57" s="424">
        <f t="shared" ref="BY57:BY62" si="1078">BX57*BP57</f>
        <v>0</v>
      </c>
      <c r="BZ57" s="423">
        <f t="shared" ref="BZ57:BZ62" si="1079">BZ50</f>
        <v>288</v>
      </c>
      <c r="CA57" s="424">
        <f t="shared" ref="CA57:CA62" si="1080">BW57</f>
        <v>0</v>
      </c>
      <c r="CB57" s="432">
        <f t="shared" ref="CB57:CB62" si="1081">BZ57*BN57*CA57</f>
        <v>0</v>
      </c>
      <c r="CC57" s="424">
        <f t="shared" ref="CC57:CC62" si="1082">CB57*BP57</f>
        <v>0</v>
      </c>
      <c r="CE57" s="424"/>
      <c r="CF57" s="430">
        <v>0.21</v>
      </c>
      <c r="CG57" s="424">
        <f>CF57*CE$56</f>
        <v>336</v>
      </c>
      <c r="CH57" s="430">
        <v>0.1</v>
      </c>
      <c r="CI57" s="424">
        <f>CG57*CH57</f>
        <v>33.6</v>
      </c>
      <c r="CJ57" s="423">
        <f>CJ56</f>
        <v>53</v>
      </c>
      <c r="CK57" s="424">
        <f>CI57*CJ57</f>
        <v>1780.8000000000002</v>
      </c>
      <c r="CL57" s="431">
        <f t="shared" ref="CL57:CL62" si="1083">CL50</f>
        <v>0.7</v>
      </c>
      <c r="CM57" s="424">
        <f t="shared" ref="CM57:CM62" si="1084">CK57*CL57</f>
        <v>1246.56</v>
      </c>
      <c r="CN57" s="424">
        <v>0</v>
      </c>
      <c r="CO57" s="424">
        <f>CO50</f>
        <v>578.8125</v>
      </c>
      <c r="CP57" s="424">
        <f t="shared" ref="CP57:CP62" si="1085">CO57*CM57*CN57</f>
        <v>0</v>
      </c>
      <c r="CQ57" s="423">
        <f t="shared" ref="CQ57:CQ62" si="1086">CQ50</f>
        <v>6</v>
      </c>
      <c r="CR57" s="424">
        <f t="shared" ref="CR57:CR62" si="1087">CN57</f>
        <v>0</v>
      </c>
      <c r="CS57" s="432">
        <f t="shared" ref="CS57:CS62" si="1088">CQ57*CM57</f>
        <v>7479.36</v>
      </c>
      <c r="CT57" s="424">
        <f t="shared" ref="CT57:CT62" si="1089">CS57*CO57*CR57</f>
        <v>0</v>
      </c>
      <c r="CU57" s="423">
        <f t="shared" ref="CU57:CU62" si="1090">CU50</f>
        <v>24</v>
      </c>
      <c r="CV57" s="424">
        <f t="shared" ref="CV57:CV62" si="1091">CR57</f>
        <v>0</v>
      </c>
      <c r="CW57" s="432">
        <f t="shared" ref="CW57:CW62" si="1092">CU57*CM57*CV57</f>
        <v>0</v>
      </c>
      <c r="CX57" s="424">
        <f t="shared" ref="CX57:CX62" si="1093">CW57*CO57</f>
        <v>0</v>
      </c>
      <c r="CY57" s="423">
        <f t="shared" ref="CY57:CY62" si="1094">CY50</f>
        <v>288</v>
      </c>
      <c r="CZ57" s="424">
        <f t="shared" ref="CZ57:CZ62" si="1095">CV57</f>
        <v>0</v>
      </c>
      <c r="DA57" s="432">
        <f t="shared" ref="DA57:DA62" si="1096">CY57*CM57*CZ57</f>
        <v>0</v>
      </c>
      <c r="DB57" s="424">
        <f t="shared" ref="DB57:DB62" si="1097">DA57*CO57</f>
        <v>0</v>
      </c>
      <c r="DD57" s="424"/>
      <c r="DE57" s="430">
        <v>0.21</v>
      </c>
      <c r="DF57" s="424">
        <f>DE57*DD$56</f>
        <v>420</v>
      </c>
      <c r="DG57" s="430">
        <v>0.1</v>
      </c>
      <c r="DH57" s="424">
        <f>DF57*DG57</f>
        <v>42</v>
      </c>
      <c r="DI57" s="423">
        <f>DI56</f>
        <v>53</v>
      </c>
      <c r="DJ57" s="424">
        <f>DH57*DI57</f>
        <v>2226</v>
      </c>
      <c r="DK57" s="431">
        <f t="shared" ref="DK57:DK62" si="1098">DK50</f>
        <v>0.7</v>
      </c>
      <c r="DL57" s="424">
        <f t="shared" ref="DL57:DL62" si="1099">DJ57*DK57</f>
        <v>1558.1999999999998</v>
      </c>
      <c r="DM57" s="424">
        <v>0</v>
      </c>
      <c r="DN57" s="424">
        <f>DN50</f>
        <v>607.75312500000007</v>
      </c>
      <c r="DO57" s="424">
        <f t="shared" ref="DO57:DO62" si="1100">DN57*DL57*DM57</f>
        <v>0</v>
      </c>
      <c r="DP57" s="423">
        <f t="shared" ref="DP57:DP62" si="1101">DP50</f>
        <v>6</v>
      </c>
      <c r="DQ57" s="424">
        <f t="shared" ref="DQ57:DQ62" si="1102">DM57</f>
        <v>0</v>
      </c>
      <c r="DR57" s="432">
        <f t="shared" ref="DR57:DR62" si="1103">DP57*DL57</f>
        <v>9349.1999999999989</v>
      </c>
      <c r="DS57" s="424">
        <f t="shared" ref="DS57:DS62" si="1104">DR57*DN57*DQ57</f>
        <v>0</v>
      </c>
      <c r="DT57" s="423">
        <f t="shared" ref="DT57:DT62" si="1105">DT50</f>
        <v>24</v>
      </c>
      <c r="DU57" s="424">
        <f t="shared" ref="DU57:DU62" si="1106">DQ57</f>
        <v>0</v>
      </c>
      <c r="DV57" s="432">
        <f t="shared" ref="DV57:DV62" si="1107">DT57*DL57*DU57</f>
        <v>0</v>
      </c>
      <c r="DW57" s="424">
        <f t="shared" ref="DW57:DW62" si="1108">DV57*DN57</f>
        <v>0</v>
      </c>
      <c r="DX57" s="423">
        <f t="shared" ref="DX57:DX62" si="1109">DX50</f>
        <v>288</v>
      </c>
      <c r="DY57" s="424">
        <f t="shared" ref="DY57:DY62" si="1110">DU57</f>
        <v>0</v>
      </c>
      <c r="DZ57" s="432">
        <f t="shared" ref="DZ57:DZ62" si="1111">DX57*DL57*DY57</f>
        <v>0</v>
      </c>
      <c r="EA57" s="424">
        <f t="shared" ref="EA57:EA62" si="1112">DZ57*DN57</f>
        <v>0</v>
      </c>
      <c r="EC57" s="424"/>
      <c r="ED57" s="430">
        <v>0.21</v>
      </c>
      <c r="EE57" s="424">
        <f>ED57*EC$56</f>
        <v>420</v>
      </c>
      <c r="EF57" s="430">
        <v>0.1</v>
      </c>
      <c r="EG57" s="424">
        <f>EE57*EF57</f>
        <v>42</v>
      </c>
      <c r="EH57" s="423">
        <f>EH56</f>
        <v>53</v>
      </c>
      <c r="EI57" s="424">
        <f>EG57*EH57</f>
        <v>2226</v>
      </c>
      <c r="EJ57" s="431">
        <f t="shared" ref="EJ57:EJ62" si="1113">EJ50</f>
        <v>0.7</v>
      </c>
      <c r="EK57" s="424">
        <f t="shared" ref="EK57:EK62" si="1114">EI57*EJ57</f>
        <v>1558.1999999999998</v>
      </c>
      <c r="EL57" s="424">
        <v>0</v>
      </c>
      <c r="EM57" s="424">
        <f>EM50</f>
        <v>638.14078125000015</v>
      </c>
      <c r="EN57" s="424">
        <f t="shared" ref="EN57:EN62" si="1115">EM57*EK57*EL57</f>
        <v>0</v>
      </c>
      <c r="EO57" s="423">
        <f t="shared" ref="EO57:EO62" si="1116">EO50</f>
        <v>6</v>
      </c>
      <c r="EP57" s="424">
        <f t="shared" ref="EP57:EP62" si="1117">EL57</f>
        <v>0</v>
      </c>
      <c r="EQ57" s="432">
        <f t="shared" ref="EQ57:EQ62" si="1118">EO57*EK57</f>
        <v>9349.1999999999989</v>
      </c>
      <c r="ER57" s="424">
        <f t="shared" ref="ER57:ER62" si="1119">EQ57*EM57*EP57</f>
        <v>0</v>
      </c>
      <c r="ES57" s="423">
        <f t="shared" ref="ES57:ES62" si="1120">ES50</f>
        <v>24</v>
      </c>
      <c r="ET57" s="424">
        <f t="shared" ref="ET57:ET62" si="1121">EP57</f>
        <v>0</v>
      </c>
      <c r="EU57" s="432">
        <f t="shared" ref="EU57:EU62" si="1122">ES57*EK57*ET57</f>
        <v>0</v>
      </c>
      <c r="EV57" s="424">
        <f t="shared" ref="EV57:EV62" si="1123">EU57*EM57</f>
        <v>0</v>
      </c>
      <c r="EW57" s="423">
        <f t="shared" ref="EW57:EW62" si="1124">EW50</f>
        <v>288</v>
      </c>
      <c r="EX57" s="424">
        <f t="shared" ref="EX57:EX62" si="1125">ET57</f>
        <v>0</v>
      </c>
      <c r="EY57" s="432">
        <f t="shared" ref="EY57:EY62" si="1126">EW57*EK57*EX57</f>
        <v>0</v>
      </c>
      <c r="EZ57" s="424">
        <f t="shared" ref="EZ57:EZ62" si="1127">EY57*EM57</f>
        <v>0</v>
      </c>
      <c r="FB57" s="424"/>
      <c r="FC57" s="430">
        <v>0.21</v>
      </c>
      <c r="FD57" s="424">
        <f>FC57*FB$56</f>
        <v>420</v>
      </c>
      <c r="FE57" s="430">
        <v>0.1</v>
      </c>
      <c r="FF57" s="424">
        <f>FD57*FE57</f>
        <v>42</v>
      </c>
      <c r="FG57" s="423">
        <f>FG56</f>
        <v>53</v>
      </c>
      <c r="FH57" s="424">
        <f>FF57*FG57</f>
        <v>2226</v>
      </c>
      <c r="FI57" s="431">
        <f>FI50</f>
        <v>0.7</v>
      </c>
      <c r="FJ57" s="424">
        <f t="shared" ref="FJ57:FJ62" si="1128">FH57*FI57</f>
        <v>1558.1999999999998</v>
      </c>
      <c r="FK57" s="424">
        <v>0</v>
      </c>
      <c r="FL57" s="424">
        <f>FL50</f>
        <v>670.04782031250022</v>
      </c>
      <c r="FM57" s="424">
        <f t="shared" ref="FM57:FM62" si="1129">FL57*FJ57*FK57</f>
        <v>0</v>
      </c>
      <c r="FN57" s="423">
        <f t="shared" ref="FN57:FN62" si="1130">FN50</f>
        <v>6</v>
      </c>
      <c r="FO57" s="424">
        <f t="shared" ref="FO57:FO62" si="1131">FK57</f>
        <v>0</v>
      </c>
      <c r="FP57" s="432">
        <f t="shared" ref="FP57:FP62" si="1132">FN57*FJ57</f>
        <v>9349.1999999999989</v>
      </c>
      <c r="FQ57" s="424">
        <f t="shared" ref="FQ57:FQ62" si="1133">FP57*FL57*FO57</f>
        <v>0</v>
      </c>
      <c r="FR57" s="423">
        <f t="shared" ref="FR57:FR62" si="1134">FR50</f>
        <v>24</v>
      </c>
      <c r="FS57" s="424">
        <f t="shared" ref="FS57:FS62" si="1135">FO57</f>
        <v>0</v>
      </c>
      <c r="FT57" s="432">
        <f t="shared" ref="FT57:FT62" si="1136">FR57*FJ57*FS57</f>
        <v>0</v>
      </c>
      <c r="FU57" s="424">
        <f t="shared" ref="FU57:FU62" si="1137">FT57*FL57</f>
        <v>0</v>
      </c>
      <c r="FV57" s="423">
        <f t="shared" ref="FV57:FV62" si="1138">FV50</f>
        <v>288</v>
      </c>
      <c r="FW57" s="424">
        <f t="shared" ref="FW57:FW62" si="1139">FS57</f>
        <v>0</v>
      </c>
      <c r="FX57" s="432">
        <f t="shared" ref="FX57:FX62" si="1140">FV57*FJ57*FW57</f>
        <v>0</v>
      </c>
      <c r="FY57" s="424">
        <f t="shared" ref="FY57:FY62" si="1141">FX57*FL57</f>
        <v>0</v>
      </c>
      <c r="GA57" s="424"/>
      <c r="GB57" s="430">
        <v>0.21</v>
      </c>
      <c r="GC57" s="424">
        <f>GB57*GA$56</f>
        <v>420</v>
      </c>
      <c r="GD57" s="430">
        <v>0.1</v>
      </c>
      <c r="GE57" s="424">
        <f>GC57*GD57</f>
        <v>42</v>
      </c>
      <c r="GF57" s="423">
        <f>GF56</f>
        <v>53</v>
      </c>
      <c r="GG57" s="424">
        <f>GE57*GF57</f>
        <v>2226</v>
      </c>
      <c r="GH57" s="431">
        <f t="shared" ref="GH57:GH62" si="1142">GH50</f>
        <v>0.7</v>
      </c>
      <c r="GI57" s="424">
        <f t="shared" ref="GI57:GI62" si="1143">GG57*GH57</f>
        <v>1558.1999999999998</v>
      </c>
      <c r="GJ57" s="424">
        <v>0</v>
      </c>
      <c r="GK57" s="424">
        <f>GK50</f>
        <v>703.55021132812522</v>
      </c>
      <c r="GL57" s="424">
        <f t="shared" ref="GL57:GL62" si="1144">GK57*GI57*GJ57</f>
        <v>0</v>
      </c>
      <c r="GM57" s="423">
        <f t="shared" ref="GM57:GM62" si="1145">GM50</f>
        <v>6</v>
      </c>
      <c r="GN57" s="424">
        <f t="shared" ref="GN57:GN62" si="1146">GJ57</f>
        <v>0</v>
      </c>
      <c r="GO57" s="432">
        <f t="shared" ref="GO57:GO62" si="1147">GM57*GI57</f>
        <v>9349.1999999999989</v>
      </c>
      <c r="GP57" s="424">
        <f t="shared" ref="GP57:GP62" si="1148">GO57*GK57*GN57</f>
        <v>0</v>
      </c>
      <c r="GQ57" s="423">
        <f t="shared" ref="GQ57:GQ62" si="1149">GQ50</f>
        <v>24</v>
      </c>
      <c r="GR57" s="424">
        <f t="shared" ref="GR57:GR62" si="1150">GN57</f>
        <v>0</v>
      </c>
      <c r="GS57" s="432">
        <f t="shared" ref="GS57:GS62" si="1151">GQ57*GI57*GR57</f>
        <v>0</v>
      </c>
      <c r="GT57" s="424">
        <f t="shared" ref="GT57:GT62" si="1152">GS57*GK57</f>
        <v>0</v>
      </c>
      <c r="GU57" s="423">
        <f t="shared" ref="GU57:GU62" si="1153">GU50</f>
        <v>288</v>
      </c>
      <c r="GV57" s="424">
        <f t="shared" ref="GV57:GV62" si="1154">GR57</f>
        <v>0</v>
      </c>
      <c r="GW57" s="432">
        <f t="shared" ref="GW57:GW62" si="1155">GU57*GI57*GV57</f>
        <v>0</v>
      </c>
      <c r="GX57" s="424">
        <f t="shared" ref="GX57:GX62" si="1156">GW57*GK57</f>
        <v>0</v>
      </c>
      <c r="GZ57" s="424"/>
      <c r="HA57" s="430">
        <v>0.21</v>
      </c>
      <c r="HB57" s="424">
        <f>HA57*GZ$56</f>
        <v>420</v>
      </c>
      <c r="HC57" s="430">
        <v>0.1</v>
      </c>
      <c r="HD57" s="424">
        <f>HB57*HC57</f>
        <v>42</v>
      </c>
      <c r="HE57" s="423">
        <f>HE56</f>
        <v>53</v>
      </c>
      <c r="HF57" s="424">
        <f>HD57*HE57</f>
        <v>2226</v>
      </c>
      <c r="HG57" s="431">
        <f>HG50</f>
        <v>0.7</v>
      </c>
      <c r="HH57" s="424">
        <f t="shared" ref="HH57:HH62" si="1157">HF57*HG57</f>
        <v>1558.1999999999998</v>
      </c>
      <c r="HI57" s="424">
        <v>0</v>
      </c>
      <c r="HJ57" s="424">
        <f>HJ50</f>
        <v>738.72772189453156</v>
      </c>
      <c r="HK57" s="424">
        <f t="shared" ref="HK57:HK62" si="1158">HJ57*HH57*HI57</f>
        <v>0</v>
      </c>
      <c r="HL57" s="423">
        <f t="shared" ref="HL57:HL62" si="1159">HL50</f>
        <v>6</v>
      </c>
      <c r="HM57" s="424">
        <f t="shared" ref="HM57:HM62" si="1160">HI57</f>
        <v>0</v>
      </c>
      <c r="HN57" s="432">
        <f t="shared" ref="HN57:HN62" si="1161">HL57*HH57</f>
        <v>9349.1999999999989</v>
      </c>
      <c r="HO57" s="424">
        <f t="shared" ref="HO57:HO62" si="1162">HN57*HJ57*HM57</f>
        <v>0</v>
      </c>
      <c r="HP57" s="423">
        <f t="shared" ref="HP57:HP62" si="1163">HP50</f>
        <v>24</v>
      </c>
      <c r="HQ57" s="424">
        <f t="shared" ref="HQ57:HQ62" si="1164">HM57</f>
        <v>0</v>
      </c>
      <c r="HR57" s="432">
        <f t="shared" ref="HR57:HR62" si="1165">HP57*HH57*HQ57</f>
        <v>0</v>
      </c>
      <c r="HS57" s="424">
        <f t="shared" ref="HS57:HS62" si="1166">HR57*HJ57</f>
        <v>0</v>
      </c>
      <c r="HT57" s="423">
        <f t="shared" ref="HT57:HT62" si="1167">HT50</f>
        <v>288</v>
      </c>
      <c r="HU57" s="424">
        <f t="shared" ref="HU57:HU62" si="1168">HQ57</f>
        <v>0</v>
      </c>
      <c r="HV57" s="432">
        <f t="shared" ref="HV57:HV62" si="1169">HT57*HH57*HU57</f>
        <v>0</v>
      </c>
      <c r="HW57" s="424">
        <f t="shared" ref="HW57:HW62" si="1170">HV57*HJ57</f>
        <v>0</v>
      </c>
      <c r="HY57" s="424"/>
      <c r="HZ57" s="430">
        <v>0.21</v>
      </c>
      <c r="IA57" s="424">
        <f>HZ57*HY$56</f>
        <v>420</v>
      </c>
      <c r="IB57" s="430">
        <v>0.1</v>
      </c>
      <c r="IC57" s="424">
        <f>IA57*IB57</f>
        <v>42</v>
      </c>
      <c r="ID57" s="423">
        <f>ID56</f>
        <v>53</v>
      </c>
      <c r="IE57" s="424">
        <f>IC57*ID57</f>
        <v>2226</v>
      </c>
      <c r="IF57" s="431">
        <f t="shared" ref="IF57:IF62" si="1171">IF50</f>
        <v>0.7</v>
      </c>
      <c r="IG57" s="424">
        <f t="shared" ref="IG57:IG62" si="1172">IE57*IF57</f>
        <v>1558.1999999999998</v>
      </c>
      <c r="IH57" s="424">
        <v>0</v>
      </c>
      <c r="II57" s="424">
        <f>II50</f>
        <v>775.66410798925813</v>
      </c>
      <c r="IJ57" s="424">
        <f t="shared" ref="IJ57:IJ62" si="1173">II57*IG57*IH57</f>
        <v>0</v>
      </c>
      <c r="IK57" s="423">
        <f t="shared" ref="IK57:IK62" si="1174">IK50</f>
        <v>6</v>
      </c>
      <c r="IL57" s="424">
        <f t="shared" ref="IL57:IL62" si="1175">IH57</f>
        <v>0</v>
      </c>
      <c r="IM57" s="432">
        <f t="shared" ref="IM57:IM62" si="1176">IK57*IG57</f>
        <v>9349.1999999999989</v>
      </c>
      <c r="IN57" s="424">
        <f t="shared" ref="IN57:IN62" si="1177">IM57*II57*IL57</f>
        <v>0</v>
      </c>
      <c r="IO57" s="423">
        <f t="shared" ref="IO57:IO62" si="1178">IO50</f>
        <v>24</v>
      </c>
      <c r="IP57" s="424">
        <f t="shared" ref="IP57:IP62" si="1179">IL57</f>
        <v>0</v>
      </c>
      <c r="IQ57" s="432">
        <f t="shared" ref="IQ57:IQ62" si="1180">IO57*IG57*IP57</f>
        <v>0</v>
      </c>
      <c r="IR57" s="424">
        <f t="shared" ref="IR57:IR62" si="1181">IQ57*II57</f>
        <v>0</v>
      </c>
      <c r="IS57" s="423">
        <f t="shared" ref="IS57:IS62" si="1182">IS50</f>
        <v>288</v>
      </c>
      <c r="IT57" s="424">
        <f t="shared" ref="IT57:IT62" si="1183">IP57</f>
        <v>0</v>
      </c>
      <c r="IU57" s="432">
        <f t="shared" ref="IU57:IU62" si="1184">IS57*IG57*IT57</f>
        <v>0</v>
      </c>
      <c r="IV57" s="424">
        <f t="shared" ref="IV57:IV62" si="1185">IU57*II57</f>
        <v>0</v>
      </c>
    </row>
    <row r="58" spans="2:256" x14ac:dyDescent="0.25">
      <c r="B58" s="422"/>
      <c r="C58" s="422"/>
      <c r="D58" s="422"/>
      <c r="E58" s="419" t="s">
        <v>144</v>
      </c>
      <c r="F58" s="423"/>
      <c r="G58" s="423"/>
      <c r="H58" s="424"/>
      <c r="I58" s="430">
        <v>0.3</v>
      </c>
      <c r="J58" s="424">
        <f t="shared" ref="J58:J62" si="1186">I58*H$56</f>
        <v>120</v>
      </c>
      <c r="K58" s="433">
        <f>K57</f>
        <v>0.1</v>
      </c>
      <c r="L58" s="424">
        <f t="shared" ref="L58:L62" si="1187">J58*K58</f>
        <v>12</v>
      </c>
      <c r="M58" s="423">
        <f t="shared" ref="M58:M62" si="1188">M57</f>
        <v>37</v>
      </c>
      <c r="N58" s="424">
        <f t="shared" ref="N58:N62" si="1189">L58*M58</f>
        <v>444</v>
      </c>
      <c r="O58" s="431">
        <f>'Parameters and Summary'!E83</f>
        <v>0.68600000000000005</v>
      </c>
      <c r="P58" s="424">
        <f t="shared" si="1039"/>
        <v>304.584</v>
      </c>
      <c r="Q58" s="424">
        <f>Q57</f>
        <v>0</v>
      </c>
      <c r="R58" s="424">
        <f>R57</f>
        <v>500</v>
      </c>
      <c r="S58" s="424">
        <f t="shared" si="1040"/>
        <v>0</v>
      </c>
      <c r="T58" s="423">
        <f t="shared" si="1041"/>
        <v>6</v>
      </c>
      <c r="U58" s="424">
        <f t="shared" si="1042"/>
        <v>0</v>
      </c>
      <c r="V58" s="432">
        <f t="shared" si="1043"/>
        <v>1827.5039999999999</v>
      </c>
      <c r="W58" s="424">
        <f t="shared" si="1044"/>
        <v>0</v>
      </c>
      <c r="X58" s="423">
        <f t="shared" si="1045"/>
        <v>24</v>
      </c>
      <c r="Y58" s="424">
        <f t="shared" si="1046"/>
        <v>0</v>
      </c>
      <c r="Z58" s="432">
        <f t="shared" si="1047"/>
        <v>0</v>
      </c>
      <c r="AA58" s="424">
        <f t="shared" si="1048"/>
        <v>0</v>
      </c>
      <c r="AB58" s="423">
        <f t="shared" si="1049"/>
        <v>288</v>
      </c>
      <c r="AC58" s="424">
        <f t="shared" si="1050"/>
        <v>0</v>
      </c>
      <c r="AD58" s="432">
        <f t="shared" si="1051"/>
        <v>0</v>
      </c>
      <c r="AE58" s="424">
        <f t="shared" si="1052"/>
        <v>0</v>
      </c>
      <c r="AG58" s="424"/>
      <c r="AH58" s="430">
        <v>0.3</v>
      </c>
      <c r="AI58" s="424">
        <f t="shared" ref="AI58:AI62" si="1190">AH58*AG$56</f>
        <v>240</v>
      </c>
      <c r="AJ58" s="433">
        <f>AJ57</f>
        <v>0.1</v>
      </c>
      <c r="AK58" s="424">
        <f t="shared" ref="AK58:AK62" si="1191">AI58*AJ58</f>
        <v>24</v>
      </c>
      <c r="AL58" s="423">
        <f t="shared" ref="AL58:AL62" si="1192">AL57</f>
        <v>37</v>
      </c>
      <c r="AM58" s="424">
        <f t="shared" ref="AM58:AM62" si="1193">AK58*AL58</f>
        <v>888</v>
      </c>
      <c r="AN58" s="431">
        <f t="shared" si="1053"/>
        <v>0.68600000000000005</v>
      </c>
      <c r="AO58" s="424">
        <f t="shared" si="1054"/>
        <v>609.16800000000001</v>
      </c>
      <c r="AP58" s="424">
        <f>AP57</f>
        <v>0</v>
      </c>
      <c r="AQ58" s="424">
        <f>AQ57</f>
        <v>525</v>
      </c>
      <c r="AR58" s="424">
        <f t="shared" si="1055"/>
        <v>0</v>
      </c>
      <c r="AS58" s="423">
        <f t="shared" si="1056"/>
        <v>6</v>
      </c>
      <c r="AT58" s="424">
        <f t="shared" si="1057"/>
        <v>0</v>
      </c>
      <c r="AU58" s="432">
        <f t="shared" si="1058"/>
        <v>3655.0079999999998</v>
      </c>
      <c r="AV58" s="424">
        <f t="shared" si="1059"/>
        <v>0</v>
      </c>
      <c r="AW58" s="423">
        <f t="shared" si="1060"/>
        <v>24</v>
      </c>
      <c r="AX58" s="424">
        <f t="shared" si="1061"/>
        <v>0</v>
      </c>
      <c r="AY58" s="432">
        <f t="shared" si="1062"/>
        <v>0</v>
      </c>
      <c r="AZ58" s="424">
        <f t="shared" si="1063"/>
        <v>0</v>
      </c>
      <c r="BA58" s="423">
        <f t="shared" si="1064"/>
        <v>288</v>
      </c>
      <c r="BB58" s="424">
        <f t="shared" si="1065"/>
        <v>0</v>
      </c>
      <c r="BC58" s="432">
        <f t="shared" si="1066"/>
        <v>0</v>
      </c>
      <c r="BD58" s="424">
        <f t="shared" si="1067"/>
        <v>0</v>
      </c>
      <c r="BF58" s="424"/>
      <c r="BG58" s="430">
        <v>0.3</v>
      </c>
      <c r="BH58" s="424">
        <f t="shared" ref="BH58:BH62" si="1194">BG58*BF$56</f>
        <v>360</v>
      </c>
      <c r="BI58" s="433">
        <f>BI57</f>
        <v>0.1</v>
      </c>
      <c r="BJ58" s="424">
        <f t="shared" ref="BJ58:BJ62" si="1195">BH58*BI58</f>
        <v>36</v>
      </c>
      <c r="BK58" s="423">
        <f t="shared" ref="BK58:BK62" si="1196">BK57</f>
        <v>53</v>
      </c>
      <c r="BL58" s="424">
        <f t="shared" ref="BL58:BL62" si="1197">BJ58*BK58</f>
        <v>1908</v>
      </c>
      <c r="BM58" s="431">
        <f t="shared" si="1068"/>
        <v>0.68600000000000005</v>
      </c>
      <c r="BN58" s="424">
        <f t="shared" si="1069"/>
        <v>1308.8880000000001</v>
      </c>
      <c r="BO58" s="424">
        <f>BO57</f>
        <v>0</v>
      </c>
      <c r="BP58" s="424">
        <f>BP57</f>
        <v>551.25</v>
      </c>
      <c r="BQ58" s="424">
        <f t="shared" si="1070"/>
        <v>0</v>
      </c>
      <c r="BR58" s="423">
        <f t="shared" si="1071"/>
        <v>6</v>
      </c>
      <c r="BS58" s="424">
        <f t="shared" si="1072"/>
        <v>0</v>
      </c>
      <c r="BT58" s="432">
        <f t="shared" si="1073"/>
        <v>7853.3280000000013</v>
      </c>
      <c r="BU58" s="424">
        <f t="shared" si="1074"/>
        <v>0</v>
      </c>
      <c r="BV58" s="423">
        <f t="shared" si="1075"/>
        <v>24</v>
      </c>
      <c r="BW58" s="424">
        <f t="shared" si="1076"/>
        <v>0</v>
      </c>
      <c r="BX58" s="432">
        <f t="shared" si="1077"/>
        <v>0</v>
      </c>
      <c r="BY58" s="424">
        <f t="shared" si="1078"/>
        <v>0</v>
      </c>
      <c r="BZ58" s="423">
        <f t="shared" si="1079"/>
        <v>288</v>
      </c>
      <c r="CA58" s="424">
        <f t="shared" si="1080"/>
        <v>0</v>
      </c>
      <c r="CB58" s="432">
        <f t="shared" si="1081"/>
        <v>0</v>
      </c>
      <c r="CC58" s="424">
        <f t="shared" si="1082"/>
        <v>0</v>
      </c>
      <c r="CE58" s="424"/>
      <c r="CF58" s="430">
        <v>0.3</v>
      </c>
      <c r="CG58" s="424">
        <f t="shared" ref="CG58:CG62" si="1198">CF58*CE$56</f>
        <v>480</v>
      </c>
      <c r="CH58" s="433">
        <f>CH57</f>
        <v>0.1</v>
      </c>
      <c r="CI58" s="424">
        <f t="shared" ref="CI58:CI62" si="1199">CG58*CH58</f>
        <v>48</v>
      </c>
      <c r="CJ58" s="423">
        <f t="shared" ref="CJ58:CJ62" si="1200">CJ57</f>
        <v>53</v>
      </c>
      <c r="CK58" s="424">
        <f t="shared" ref="CK58:CK62" si="1201">CI58*CJ58</f>
        <v>2544</v>
      </c>
      <c r="CL58" s="431">
        <f t="shared" si="1083"/>
        <v>0.68600000000000005</v>
      </c>
      <c r="CM58" s="424">
        <f t="shared" si="1084"/>
        <v>1745.1840000000002</v>
      </c>
      <c r="CN58" s="424">
        <f>CN57</f>
        <v>0</v>
      </c>
      <c r="CO58" s="424">
        <f>CO57</f>
        <v>578.8125</v>
      </c>
      <c r="CP58" s="424">
        <f t="shared" si="1085"/>
        <v>0</v>
      </c>
      <c r="CQ58" s="423">
        <f t="shared" si="1086"/>
        <v>6</v>
      </c>
      <c r="CR58" s="424">
        <f t="shared" si="1087"/>
        <v>0</v>
      </c>
      <c r="CS58" s="432">
        <f t="shared" si="1088"/>
        <v>10471.104000000001</v>
      </c>
      <c r="CT58" s="424">
        <f t="shared" si="1089"/>
        <v>0</v>
      </c>
      <c r="CU58" s="423">
        <f t="shared" si="1090"/>
        <v>24</v>
      </c>
      <c r="CV58" s="424">
        <f t="shared" si="1091"/>
        <v>0</v>
      </c>
      <c r="CW58" s="432">
        <f t="shared" si="1092"/>
        <v>0</v>
      </c>
      <c r="CX58" s="424">
        <f t="shared" si="1093"/>
        <v>0</v>
      </c>
      <c r="CY58" s="423">
        <f t="shared" si="1094"/>
        <v>288</v>
      </c>
      <c r="CZ58" s="424">
        <f t="shared" si="1095"/>
        <v>0</v>
      </c>
      <c r="DA58" s="432">
        <f t="shared" si="1096"/>
        <v>0</v>
      </c>
      <c r="DB58" s="424">
        <f t="shared" si="1097"/>
        <v>0</v>
      </c>
      <c r="DD58" s="424"/>
      <c r="DE58" s="430">
        <v>0.3</v>
      </c>
      <c r="DF58" s="424">
        <f t="shared" ref="DF58:DF62" si="1202">DE58*DD$56</f>
        <v>600</v>
      </c>
      <c r="DG58" s="433">
        <f>DG57</f>
        <v>0.1</v>
      </c>
      <c r="DH58" s="424">
        <f t="shared" ref="DH58:DH62" si="1203">DF58*DG58</f>
        <v>60</v>
      </c>
      <c r="DI58" s="423">
        <f t="shared" ref="DI58:DI62" si="1204">DI57</f>
        <v>53</v>
      </c>
      <c r="DJ58" s="424">
        <f t="shared" ref="DJ58:DJ62" si="1205">DH58*DI58</f>
        <v>3180</v>
      </c>
      <c r="DK58" s="431">
        <f t="shared" si="1098"/>
        <v>0.68600000000000005</v>
      </c>
      <c r="DL58" s="424">
        <f t="shared" si="1099"/>
        <v>2181.48</v>
      </c>
      <c r="DM58" s="424">
        <f>DM57</f>
        <v>0</v>
      </c>
      <c r="DN58" s="424">
        <f>DN57</f>
        <v>607.75312500000007</v>
      </c>
      <c r="DO58" s="424">
        <f t="shared" si="1100"/>
        <v>0</v>
      </c>
      <c r="DP58" s="423">
        <f t="shared" si="1101"/>
        <v>6</v>
      </c>
      <c r="DQ58" s="424">
        <f t="shared" si="1102"/>
        <v>0</v>
      </c>
      <c r="DR58" s="432">
        <f t="shared" si="1103"/>
        <v>13088.880000000001</v>
      </c>
      <c r="DS58" s="424">
        <f t="shared" si="1104"/>
        <v>0</v>
      </c>
      <c r="DT58" s="423">
        <f t="shared" si="1105"/>
        <v>24</v>
      </c>
      <c r="DU58" s="424">
        <f t="shared" si="1106"/>
        <v>0</v>
      </c>
      <c r="DV58" s="432">
        <f t="shared" si="1107"/>
        <v>0</v>
      </c>
      <c r="DW58" s="424">
        <f t="shared" si="1108"/>
        <v>0</v>
      </c>
      <c r="DX58" s="423">
        <f t="shared" si="1109"/>
        <v>288</v>
      </c>
      <c r="DY58" s="424">
        <f t="shared" si="1110"/>
        <v>0</v>
      </c>
      <c r="DZ58" s="432">
        <f t="shared" si="1111"/>
        <v>0</v>
      </c>
      <c r="EA58" s="424">
        <f t="shared" si="1112"/>
        <v>0</v>
      </c>
      <c r="EC58" s="424"/>
      <c r="ED58" s="430">
        <v>0.3</v>
      </c>
      <c r="EE58" s="424">
        <f t="shared" ref="EE58:EE62" si="1206">ED58*EC$56</f>
        <v>600</v>
      </c>
      <c r="EF58" s="433">
        <f>EF57</f>
        <v>0.1</v>
      </c>
      <c r="EG58" s="424">
        <f t="shared" ref="EG58:EG62" si="1207">EE58*EF58</f>
        <v>60</v>
      </c>
      <c r="EH58" s="423">
        <f t="shared" ref="EH58:EH62" si="1208">EH57</f>
        <v>53</v>
      </c>
      <c r="EI58" s="424">
        <f t="shared" ref="EI58:EI62" si="1209">EG58*EH58</f>
        <v>3180</v>
      </c>
      <c r="EJ58" s="431">
        <f t="shared" si="1113"/>
        <v>0.68600000000000005</v>
      </c>
      <c r="EK58" s="424">
        <f t="shared" si="1114"/>
        <v>2181.48</v>
      </c>
      <c r="EL58" s="424">
        <f>EL57</f>
        <v>0</v>
      </c>
      <c r="EM58" s="424">
        <f>EM57</f>
        <v>638.14078125000015</v>
      </c>
      <c r="EN58" s="424">
        <f t="shared" si="1115"/>
        <v>0</v>
      </c>
      <c r="EO58" s="423">
        <f t="shared" si="1116"/>
        <v>6</v>
      </c>
      <c r="EP58" s="424">
        <f t="shared" si="1117"/>
        <v>0</v>
      </c>
      <c r="EQ58" s="432">
        <f t="shared" si="1118"/>
        <v>13088.880000000001</v>
      </c>
      <c r="ER58" s="424">
        <f t="shared" si="1119"/>
        <v>0</v>
      </c>
      <c r="ES58" s="423">
        <f t="shared" si="1120"/>
        <v>24</v>
      </c>
      <c r="ET58" s="424">
        <f t="shared" si="1121"/>
        <v>0</v>
      </c>
      <c r="EU58" s="432">
        <f t="shared" si="1122"/>
        <v>0</v>
      </c>
      <c r="EV58" s="424">
        <f t="shared" si="1123"/>
        <v>0</v>
      </c>
      <c r="EW58" s="423">
        <f t="shared" si="1124"/>
        <v>288</v>
      </c>
      <c r="EX58" s="424">
        <f t="shared" si="1125"/>
        <v>0</v>
      </c>
      <c r="EY58" s="432">
        <f t="shared" si="1126"/>
        <v>0</v>
      </c>
      <c r="EZ58" s="424">
        <f t="shared" si="1127"/>
        <v>0</v>
      </c>
      <c r="FB58" s="424"/>
      <c r="FC58" s="430">
        <v>0.3</v>
      </c>
      <c r="FD58" s="424">
        <f t="shared" ref="FD58:FD62" si="1210">FC58*FB$56</f>
        <v>600</v>
      </c>
      <c r="FE58" s="433">
        <f>FE57</f>
        <v>0.1</v>
      </c>
      <c r="FF58" s="424">
        <f t="shared" ref="FF58:FF62" si="1211">FD58*FE58</f>
        <v>60</v>
      </c>
      <c r="FG58" s="423">
        <f t="shared" ref="FG58:FG62" si="1212">FG57</f>
        <v>53</v>
      </c>
      <c r="FH58" s="424">
        <f t="shared" ref="FH58:FH62" si="1213">FF58*FG58</f>
        <v>3180</v>
      </c>
      <c r="FI58" s="431">
        <f t="shared" ref="FI58:FI62" si="1214">FI51</f>
        <v>0.68600000000000005</v>
      </c>
      <c r="FJ58" s="424">
        <f t="shared" si="1128"/>
        <v>2181.48</v>
      </c>
      <c r="FK58" s="424">
        <f>FK57</f>
        <v>0</v>
      </c>
      <c r="FL58" s="424">
        <f>FL57</f>
        <v>670.04782031250022</v>
      </c>
      <c r="FM58" s="424">
        <f t="shared" si="1129"/>
        <v>0</v>
      </c>
      <c r="FN58" s="423">
        <f t="shared" si="1130"/>
        <v>6</v>
      </c>
      <c r="FO58" s="424">
        <f t="shared" si="1131"/>
        <v>0</v>
      </c>
      <c r="FP58" s="432">
        <f t="shared" si="1132"/>
        <v>13088.880000000001</v>
      </c>
      <c r="FQ58" s="424">
        <f t="shared" si="1133"/>
        <v>0</v>
      </c>
      <c r="FR58" s="423">
        <f t="shared" si="1134"/>
        <v>24</v>
      </c>
      <c r="FS58" s="424">
        <f t="shared" si="1135"/>
        <v>0</v>
      </c>
      <c r="FT58" s="432">
        <f t="shared" si="1136"/>
        <v>0</v>
      </c>
      <c r="FU58" s="424">
        <f t="shared" si="1137"/>
        <v>0</v>
      </c>
      <c r="FV58" s="423">
        <f t="shared" si="1138"/>
        <v>288</v>
      </c>
      <c r="FW58" s="424">
        <f t="shared" si="1139"/>
        <v>0</v>
      </c>
      <c r="FX58" s="432">
        <f t="shared" si="1140"/>
        <v>0</v>
      </c>
      <c r="FY58" s="424">
        <f t="shared" si="1141"/>
        <v>0</v>
      </c>
      <c r="GA58" s="424"/>
      <c r="GB58" s="430">
        <v>0.3</v>
      </c>
      <c r="GC58" s="424">
        <f t="shared" ref="GC58:GC62" si="1215">GB58*GA$56</f>
        <v>600</v>
      </c>
      <c r="GD58" s="433">
        <f>GD57</f>
        <v>0.1</v>
      </c>
      <c r="GE58" s="424">
        <f t="shared" ref="GE58:GE62" si="1216">GC58*GD58</f>
        <v>60</v>
      </c>
      <c r="GF58" s="423">
        <f t="shared" ref="GF58:GF62" si="1217">GF57</f>
        <v>53</v>
      </c>
      <c r="GG58" s="424">
        <f t="shared" ref="GG58:GG62" si="1218">GE58*GF58</f>
        <v>3180</v>
      </c>
      <c r="GH58" s="431">
        <f t="shared" si="1142"/>
        <v>0.68600000000000005</v>
      </c>
      <c r="GI58" s="424">
        <f t="shared" si="1143"/>
        <v>2181.48</v>
      </c>
      <c r="GJ58" s="424">
        <f>GJ57</f>
        <v>0</v>
      </c>
      <c r="GK58" s="424">
        <f>GK57</f>
        <v>703.55021132812522</v>
      </c>
      <c r="GL58" s="424">
        <f t="shared" si="1144"/>
        <v>0</v>
      </c>
      <c r="GM58" s="423">
        <f t="shared" si="1145"/>
        <v>6</v>
      </c>
      <c r="GN58" s="424">
        <f t="shared" si="1146"/>
        <v>0</v>
      </c>
      <c r="GO58" s="432">
        <f t="shared" si="1147"/>
        <v>13088.880000000001</v>
      </c>
      <c r="GP58" s="424">
        <f t="shared" si="1148"/>
        <v>0</v>
      </c>
      <c r="GQ58" s="423">
        <f t="shared" si="1149"/>
        <v>24</v>
      </c>
      <c r="GR58" s="424">
        <f t="shared" si="1150"/>
        <v>0</v>
      </c>
      <c r="GS58" s="432">
        <f t="shared" si="1151"/>
        <v>0</v>
      </c>
      <c r="GT58" s="424">
        <f t="shared" si="1152"/>
        <v>0</v>
      </c>
      <c r="GU58" s="423">
        <f t="shared" si="1153"/>
        <v>288</v>
      </c>
      <c r="GV58" s="424">
        <f t="shared" si="1154"/>
        <v>0</v>
      </c>
      <c r="GW58" s="432">
        <f t="shared" si="1155"/>
        <v>0</v>
      </c>
      <c r="GX58" s="424">
        <f t="shared" si="1156"/>
        <v>0</v>
      </c>
      <c r="GZ58" s="424"/>
      <c r="HA58" s="430">
        <v>0.3</v>
      </c>
      <c r="HB58" s="424">
        <f t="shared" ref="HB58:HB62" si="1219">HA58*GZ$56</f>
        <v>600</v>
      </c>
      <c r="HC58" s="433">
        <f>HC57</f>
        <v>0.1</v>
      </c>
      <c r="HD58" s="424">
        <f t="shared" ref="HD58:HD62" si="1220">HB58*HC58</f>
        <v>60</v>
      </c>
      <c r="HE58" s="423">
        <f t="shared" ref="HE58:HE62" si="1221">HE57</f>
        <v>53</v>
      </c>
      <c r="HF58" s="424">
        <f t="shared" ref="HF58:HF62" si="1222">HD58*HE58</f>
        <v>3180</v>
      </c>
      <c r="HG58" s="431">
        <f t="shared" ref="HG58:HG62" si="1223">HG51</f>
        <v>0.68600000000000005</v>
      </c>
      <c r="HH58" s="424">
        <f t="shared" si="1157"/>
        <v>2181.48</v>
      </c>
      <c r="HI58" s="424">
        <f>HI57</f>
        <v>0</v>
      </c>
      <c r="HJ58" s="424">
        <f>HJ57</f>
        <v>738.72772189453156</v>
      </c>
      <c r="HK58" s="424">
        <f t="shared" si="1158"/>
        <v>0</v>
      </c>
      <c r="HL58" s="423">
        <f t="shared" si="1159"/>
        <v>6</v>
      </c>
      <c r="HM58" s="424">
        <f t="shared" si="1160"/>
        <v>0</v>
      </c>
      <c r="HN58" s="432">
        <f t="shared" si="1161"/>
        <v>13088.880000000001</v>
      </c>
      <c r="HO58" s="424">
        <f t="shared" si="1162"/>
        <v>0</v>
      </c>
      <c r="HP58" s="423">
        <f t="shared" si="1163"/>
        <v>24</v>
      </c>
      <c r="HQ58" s="424">
        <f t="shared" si="1164"/>
        <v>0</v>
      </c>
      <c r="HR58" s="432">
        <f t="shared" si="1165"/>
        <v>0</v>
      </c>
      <c r="HS58" s="424">
        <f t="shared" si="1166"/>
        <v>0</v>
      </c>
      <c r="HT58" s="423">
        <f t="shared" si="1167"/>
        <v>288</v>
      </c>
      <c r="HU58" s="424">
        <f t="shared" si="1168"/>
        <v>0</v>
      </c>
      <c r="HV58" s="432">
        <f t="shared" si="1169"/>
        <v>0</v>
      </c>
      <c r="HW58" s="424">
        <f t="shared" si="1170"/>
        <v>0</v>
      </c>
      <c r="HY58" s="424"/>
      <c r="HZ58" s="430">
        <v>0.3</v>
      </c>
      <c r="IA58" s="424">
        <f t="shared" ref="IA58:IA62" si="1224">HZ58*HY$56</f>
        <v>600</v>
      </c>
      <c r="IB58" s="433">
        <f>IB57</f>
        <v>0.1</v>
      </c>
      <c r="IC58" s="424">
        <f t="shared" ref="IC58:IC62" si="1225">IA58*IB58</f>
        <v>60</v>
      </c>
      <c r="ID58" s="423">
        <f t="shared" ref="ID58:ID62" si="1226">ID57</f>
        <v>53</v>
      </c>
      <c r="IE58" s="424">
        <f t="shared" ref="IE58:IE62" si="1227">IC58*ID58</f>
        <v>3180</v>
      </c>
      <c r="IF58" s="431">
        <f t="shared" si="1171"/>
        <v>0.68600000000000005</v>
      </c>
      <c r="IG58" s="424">
        <f t="shared" si="1172"/>
        <v>2181.48</v>
      </c>
      <c r="IH58" s="424">
        <f>IH57</f>
        <v>0</v>
      </c>
      <c r="II58" s="424">
        <f>II57</f>
        <v>775.66410798925813</v>
      </c>
      <c r="IJ58" s="424">
        <f t="shared" si="1173"/>
        <v>0</v>
      </c>
      <c r="IK58" s="423">
        <f t="shared" si="1174"/>
        <v>6</v>
      </c>
      <c r="IL58" s="424">
        <f t="shared" si="1175"/>
        <v>0</v>
      </c>
      <c r="IM58" s="432">
        <f t="shared" si="1176"/>
        <v>13088.880000000001</v>
      </c>
      <c r="IN58" s="424">
        <f t="shared" si="1177"/>
        <v>0</v>
      </c>
      <c r="IO58" s="423">
        <f t="shared" si="1178"/>
        <v>24</v>
      </c>
      <c r="IP58" s="424">
        <f t="shared" si="1179"/>
        <v>0</v>
      </c>
      <c r="IQ58" s="432">
        <f t="shared" si="1180"/>
        <v>0</v>
      </c>
      <c r="IR58" s="424">
        <f t="shared" si="1181"/>
        <v>0</v>
      </c>
      <c r="IS58" s="423">
        <f t="shared" si="1182"/>
        <v>288</v>
      </c>
      <c r="IT58" s="424">
        <f t="shared" si="1183"/>
        <v>0</v>
      </c>
      <c r="IU58" s="432">
        <f t="shared" si="1184"/>
        <v>0</v>
      </c>
      <c r="IV58" s="424">
        <f t="shared" si="1185"/>
        <v>0</v>
      </c>
    </row>
    <row r="59" spans="2:256" x14ac:dyDescent="0.25">
      <c r="B59" s="422"/>
      <c r="C59" s="422"/>
      <c r="D59" s="422"/>
      <c r="E59" s="419" t="s">
        <v>145</v>
      </c>
      <c r="F59" s="423"/>
      <c r="G59" s="423"/>
      <c r="H59" s="424"/>
      <c r="I59" s="430">
        <v>0.14000000000000001</v>
      </c>
      <c r="J59" s="424">
        <f t="shared" si="1186"/>
        <v>56.000000000000007</v>
      </c>
      <c r="K59" s="433">
        <f t="shared" ref="K59:K62" si="1228">K58</f>
        <v>0.1</v>
      </c>
      <c r="L59" s="424">
        <f t="shared" si="1187"/>
        <v>5.6000000000000014</v>
      </c>
      <c r="M59" s="423">
        <f t="shared" si="1188"/>
        <v>37</v>
      </c>
      <c r="N59" s="424">
        <f t="shared" si="1189"/>
        <v>207.20000000000005</v>
      </c>
      <c r="O59" s="431">
        <f>'Parameters and Summary'!E84</f>
        <v>0.6</v>
      </c>
      <c r="P59" s="424">
        <f t="shared" si="1039"/>
        <v>124.32000000000002</v>
      </c>
      <c r="Q59" s="424">
        <f t="shared" ref="Q59:Q62" si="1229">Q58</f>
        <v>0</v>
      </c>
      <c r="R59" s="424">
        <f t="shared" ref="R59:R62" si="1230">R58</f>
        <v>500</v>
      </c>
      <c r="S59" s="424">
        <f t="shared" si="1040"/>
        <v>0</v>
      </c>
      <c r="T59" s="423">
        <f t="shared" si="1041"/>
        <v>6</v>
      </c>
      <c r="U59" s="424">
        <f t="shared" si="1042"/>
        <v>0</v>
      </c>
      <c r="V59" s="432">
        <f t="shared" si="1043"/>
        <v>745.92000000000007</v>
      </c>
      <c r="W59" s="424">
        <f t="shared" si="1044"/>
        <v>0</v>
      </c>
      <c r="X59" s="423">
        <f t="shared" si="1045"/>
        <v>24</v>
      </c>
      <c r="Y59" s="424">
        <f t="shared" si="1046"/>
        <v>0</v>
      </c>
      <c r="Z59" s="432">
        <f t="shared" si="1047"/>
        <v>0</v>
      </c>
      <c r="AA59" s="424">
        <f t="shared" si="1048"/>
        <v>0</v>
      </c>
      <c r="AB59" s="423">
        <f t="shared" si="1049"/>
        <v>288</v>
      </c>
      <c r="AC59" s="424">
        <f t="shared" si="1050"/>
        <v>0</v>
      </c>
      <c r="AD59" s="432">
        <f t="shared" si="1051"/>
        <v>0</v>
      </c>
      <c r="AE59" s="424">
        <f t="shared" si="1052"/>
        <v>0</v>
      </c>
      <c r="AG59" s="424"/>
      <c r="AH59" s="430">
        <v>0.14000000000000001</v>
      </c>
      <c r="AI59" s="424">
        <f t="shared" si="1190"/>
        <v>112.00000000000001</v>
      </c>
      <c r="AJ59" s="433">
        <f t="shared" ref="AJ59:AJ62" si="1231">AJ58</f>
        <v>0.1</v>
      </c>
      <c r="AK59" s="424">
        <f t="shared" si="1191"/>
        <v>11.200000000000003</v>
      </c>
      <c r="AL59" s="423">
        <f t="shared" si="1192"/>
        <v>37</v>
      </c>
      <c r="AM59" s="424">
        <f t="shared" si="1193"/>
        <v>414.40000000000009</v>
      </c>
      <c r="AN59" s="431">
        <f t="shared" si="1053"/>
        <v>0.6</v>
      </c>
      <c r="AO59" s="424">
        <f t="shared" si="1054"/>
        <v>248.64000000000004</v>
      </c>
      <c r="AP59" s="424">
        <f t="shared" ref="AP59:AQ62" si="1232">AP58</f>
        <v>0</v>
      </c>
      <c r="AQ59" s="424">
        <f t="shared" si="1232"/>
        <v>525</v>
      </c>
      <c r="AR59" s="424">
        <f t="shared" si="1055"/>
        <v>0</v>
      </c>
      <c r="AS59" s="423">
        <f t="shared" si="1056"/>
        <v>6</v>
      </c>
      <c r="AT59" s="424">
        <f t="shared" si="1057"/>
        <v>0</v>
      </c>
      <c r="AU59" s="432">
        <f t="shared" si="1058"/>
        <v>1491.8400000000001</v>
      </c>
      <c r="AV59" s="424">
        <f t="shared" si="1059"/>
        <v>0</v>
      </c>
      <c r="AW59" s="423">
        <f t="shared" si="1060"/>
        <v>24</v>
      </c>
      <c r="AX59" s="424">
        <f t="shared" si="1061"/>
        <v>0</v>
      </c>
      <c r="AY59" s="432">
        <f t="shared" si="1062"/>
        <v>0</v>
      </c>
      <c r="AZ59" s="424">
        <f t="shared" si="1063"/>
        <v>0</v>
      </c>
      <c r="BA59" s="423">
        <f t="shared" si="1064"/>
        <v>288</v>
      </c>
      <c r="BB59" s="424">
        <f t="shared" si="1065"/>
        <v>0</v>
      </c>
      <c r="BC59" s="432">
        <f t="shared" si="1066"/>
        <v>0</v>
      </c>
      <c r="BD59" s="424">
        <f t="shared" si="1067"/>
        <v>0</v>
      </c>
      <c r="BF59" s="424"/>
      <c r="BG59" s="430">
        <v>0.14000000000000001</v>
      </c>
      <c r="BH59" s="424">
        <f t="shared" si="1194"/>
        <v>168.00000000000003</v>
      </c>
      <c r="BI59" s="433">
        <f t="shared" ref="BI59:BI62" si="1233">BI58</f>
        <v>0.1</v>
      </c>
      <c r="BJ59" s="424">
        <f t="shared" si="1195"/>
        <v>16.800000000000004</v>
      </c>
      <c r="BK59" s="423">
        <f t="shared" si="1196"/>
        <v>53</v>
      </c>
      <c r="BL59" s="424">
        <f t="shared" si="1197"/>
        <v>890.4000000000002</v>
      </c>
      <c r="BM59" s="431">
        <f t="shared" si="1068"/>
        <v>0.6</v>
      </c>
      <c r="BN59" s="424">
        <f t="shared" si="1069"/>
        <v>534.24000000000012</v>
      </c>
      <c r="BO59" s="424">
        <f t="shared" ref="BO59:BP62" si="1234">BO58</f>
        <v>0</v>
      </c>
      <c r="BP59" s="424">
        <f t="shared" si="1234"/>
        <v>551.25</v>
      </c>
      <c r="BQ59" s="424">
        <f t="shared" si="1070"/>
        <v>0</v>
      </c>
      <c r="BR59" s="423">
        <f t="shared" si="1071"/>
        <v>6</v>
      </c>
      <c r="BS59" s="424">
        <f t="shared" si="1072"/>
        <v>0</v>
      </c>
      <c r="BT59" s="432">
        <f t="shared" si="1073"/>
        <v>3205.4400000000005</v>
      </c>
      <c r="BU59" s="424">
        <f t="shared" si="1074"/>
        <v>0</v>
      </c>
      <c r="BV59" s="423">
        <f t="shared" si="1075"/>
        <v>24</v>
      </c>
      <c r="BW59" s="424">
        <f t="shared" si="1076"/>
        <v>0</v>
      </c>
      <c r="BX59" s="432">
        <f t="shared" si="1077"/>
        <v>0</v>
      </c>
      <c r="BY59" s="424">
        <f t="shared" si="1078"/>
        <v>0</v>
      </c>
      <c r="BZ59" s="423">
        <f t="shared" si="1079"/>
        <v>288</v>
      </c>
      <c r="CA59" s="424">
        <f t="shared" si="1080"/>
        <v>0</v>
      </c>
      <c r="CB59" s="432">
        <f t="shared" si="1081"/>
        <v>0</v>
      </c>
      <c r="CC59" s="424">
        <f t="shared" si="1082"/>
        <v>0</v>
      </c>
      <c r="CE59" s="424"/>
      <c r="CF59" s="430">
        <v>0.14000000000000001</v>
      </c>
      <c r="CG59" s="424">
        <f t="shared" si="1198"/>
        <v>224.00000000000003</v>
      </c>
      <c r="CH59" s="433">
        <f t="shared" ref="CH59:CH62" si="1235">CH58</f>
        <v>0.1</v>
      </c>
      <c r="CI59" s="424">
        <f t="shared" si="1199"/>
        <v>22.400000000000006</v>
      </c>
      <c r="CJ59" s="423">
        <f t="shared" si="1200"/>
        <v>53</v>
      </c>
      <c r="CK59" s="424">
        <f t="shared" si="1201"/>
        <v>1187.2000000000003</v>
      </c>
      <c r="CL59" s="431">
        <f t="shared" si="1083"/>
        <v>0.6</v>
      </c>
      <c r="CM59" s="424">
        <f t="shared" si="1084"/>
        <v>712.32000000000016</v>
      </c>
      <c r="CN59" s="424">
        <f t="shared" ref="CN59:CO62" si="1236">CN58</f>
        <v>0</v>
      </c>
      <c r="CO59" s="424">
        <f t="shared" si="1236"/>
        <v>578.8125</v>
      </c>
      <c r="CP59" s="424">
        <f t="shared" si="1085"/>
        <v>0</v>
      </c>
      <c r="CQ59" s="423">
        <f t="shared" si="1086"/>
        <v>6</v>
      </c>
      <c r="CR59" s="424">
        <f t="shared" si="1087"/>
        <v>0</v>
      </c>
      <c r="CS59" s="432">
        <f t="shared" si="1088"/>
        <v>4273.920000000001</v>
      </c>
      <c r="CT59" s="424">
        <f t="shared" si="1089"/>
        <v>0</v>
      </c>
      <c r="CU59" s="423">
        <f t="shared" si="1090"/>
        <v>24</v>
      </c>
      <c r="CV59" s="424">
        <f t="shared" si="1091"/>
        <v>0</v>
      </c>
      <c r="CW59" s="432">
        <f t="shared" si="1092"/>
        <v>0</v>
      </c>
      <c r="CX59" s="424">
        <f t="shared" si="1093"/>
        <v>0</v>
      </c>
      <c r="CY59" s="423">
        <f t="shared" si="1094"/>
        <v>288</v>
      </c>
      <c r="CZ59" s="424">
        <f t="shared" si="1095"/>
        <v>0</v>
      </c>
      <c r="DA59" s="432">
        <f t="shared" si="1096"/>
        <v>0</v>
      </c>
      <c r="DB59" s="424">
        <f t="shared" si="1097"/>
        <v>0</v>
      </c>
      <c r="DD59" s="424"/>
      <c r="DE59" s="430">
        <v>0.14000000000000001</v>
      </c>
      <c r="DF59" s="424">
        <f t="shared" si="1202"/>
        <v>280</v>
      </c>
      <c r="DG59" s="433">
        <f t="shared" ref="DG59:DG62" si="1237">DG58</f>
        <v>0.1</v>
      </c>
      <c r="DH59" s="424">
        <f t="shared" si="1203"/>
        <v>28</v>
      </c>
      <c r="DI59" s="423">
        <f t="shared" si="1204"/>
        <v>53</v>
      </c>
      <c r="DJ59" s="424">
        <f t="shared" si="1205"/>
        <v>1484</v>
      </c>
      <c r="DK59" s="431">
        <f t="shared" si="1098"/>
        <v>0.6</v>
      </c>
      <c r="DL59" s="424">
        <f t="shared" si="1099"/>
        <v>890.4</v>
      </c>
      <c r="DM59" s="424">
        <f t="shared" ref="DM59:DN62" si="1238">DM58</f>
        <v>0</v>
      </c>
      <c r="DN59" s="424">
        <f t="shared" si="1238"/>
        <v>607.75312500000007</v>
      </c>
      <c r="DO59" s="424">
        <f t="shared" si="1100"/>
        <v>0</v>
      </c>
      <c r="DP59" s="423">
        <f t="shared" si="1101"/>
        <v>6</v>
      </c>
      <c r="DQ59" s="424">
        <f t="shared" si="1102"/>
        <v>0</v>
      </c>
      <c r="DR59" s="432">
        <f t="shared" si="1103"/>
        <v>5342.4</v>
      </c>
      <c r="DS59" s="424">
        <f t="shared" si="1104"/>
        <v>0</v>
      </c>
      <c r="DT59" s="423">
        <f t="shared" si="1105"/>
        <v>24</v>
      </c>
      <c r="DU59" s="424">
        <f t="shared" si="1106"/>
        <v>0</v>
      </c>
      <c r="DV59" s="432">
        <f t="shared" si="1107"/>
        <v>0</v>
      </c>
      <c r="DW59" s="424">
        <f t="shared" si="1108"/>
        <v>0</v>
      </c>
      <c r="DX59" s="423">
        <f t="shared" si="1109"/>
        <v>288</v>
      </c>
      <c r="DY59" s="424">
        <f t="shared" si="1110"/>
        <v>0</v>
      </c>
      <c r="DZ59" s="432">
        <f t="shared" si="1111"/>
        <v>0</v>
      </c>
      <c r="EA59" s="424">
        <f t="shared" si="1112"/>
        <v>0</v>
      </c>
      <c r="EC59" s="424"/>
      <c r="ED59" s="430">
        <v>0.14000000000000001</v>
      </c>
      <c r="EE59" s="424">
        <f t="shared" si="1206"/>
        <v>280</v>
      </c>
      <c r="EF59" s="433">
        <f t="shared" ref="EF59:EF62" si="1239">EF58</f>
        <v>0.1</v>
      </c>
      <c r="EG59" s="424">
        <f t="shared" si="1207"/>
        <v>28</v>
      </c>
      <c r="EH59" s="423">
        <f t="shared" si="1208"/>
        <v>53</v>
      </c>
      <c r="EI59" s="424">
        <f t="shared" si="1209"/>
        <v>1484</v>
      </c>
      <c r="EJ59" s="431">
        <f t="shared" si="1113"/>
        <v>0.6</v>
      </c>
      <c r="EK59" s="424">
        <f t="shared" si="1114"/>
        <v>890.4</v>
      </c>
      <c r="EL59" s="424">
        <f t="shared" ref="EL59:EM62" si="1240">EL58</f>
        <v>0</v>
      </c>
      <c r="EM59" s="424">
        <f t="shared" si="1240"/>
        <v>638.14078125000015</v>
      </c>
      <c r="EN59" s="424">
        <f t="shared" si="1115"/>
        <v>0</v>
      </c>
      <c r="EO59" s="423">
        <f t="shared" si="1116"/>
        <v>6</v>
      </c>
      <c r="EP59" s="424">
        <f t="shared" si="1117"/>
        <v>0</v>
      </c>
      <c r="EQ59" s="432">
        <f t="shared" si="1118"/>
        <v>5342.4</v>
      </c>
      <c r="ER59" s="424">
        <f t="shared" si="1119"/>
        <v>0</v>
      </c>
      <c r="ES59" s="423">
        <f t="shared" si="1120"/>
        <v>24</v>
      </c>
      <c r="ET59" s="424">
        <f t="shared" si="1121"/>
        <v>0</v>
      </c>
      <c r="EU59" s="432">
        <f t="shared" si="1122"/>
        <v>0</v>
      </c>
      <c r="EV59" s="424">
        <f t="shared" si="1123"/>
        <v>0</v>
      </c>
      <c r="EW59" s="423">
        <f t="shared" si="1124"/>
        <v>288</v>
      </c>
      <c r="EX59" s="424">
        <f t="shared" si="1125"/>
        <v>0</v>
      </c>
      <c r="EY59" s="432">
        <f t="shared" si="1126"/>
        <v>0</v>
      </c>
      <c r="EZ59" s="424">
        <f t="shared" si="1127"/>
        <v>0</v>
      </c>
      <c r="FB59" s="424"/>
      <c r="FC59" s="430">
        <v>0.14000000000000001</v>
      </c>
      <c r="FD59" s="424">
        <f t="shared" si="1210"/>
        <v>280</v>
      </c>
      <c r="FE59" s="433">
        <f t="shared" ref="FE59:FE62" si="1241">FE58</f>
        <v>0.1</v>
      </c>
      <c r="FF59" s="424">
        <f t="shared" si="1211"/>
        <v>28</v>
      </c>
      <c r="FG59" s="423">
        <f t="shared" si="1212"/>
        <v>53</v>
      </c>
      <c r="FH59" s="424">
        <f t="shared" si="1213"/>
        <v>1484</v>
      </c>
      <c r="FI59" s="431">
        <f t="shared" si="1214"/>
        <v>0.6</v>
      </c>
      <c r="FJ59" s="424">
        <f t="shared" si="1128"/>
        <v>890.4</v>
      </c>
      <c r="FK59" s="424">
        <f t="shared" ref="FK59:FL62" si="1242">FK58</f>
        <v>0</v>
      </c>
      <c r="FL59" s="424">
        <f t="shared" si="1242"/>
        <v>670.04782031250022</v>
      </c>
      <c r="FM59" s="424">
        <f t="shared" si="1129"/>
        <v>0</v>
      </c>
      <c r="FN59" s="423">
        <f t="shared" si="1130"/>
        <v>6</v>
      </c>
      <c r="FO59" s="424">
        <f t="shared" si="1131"/>
        <v>0</v>
      </c>
      <c r="FP59" s="432">
        <f t="shared" si="1132"/>
        <v>5342.4</v>
      </c>
      <c r="FQ59" s="424">
        <f t="shared" si="1133"/>
        <v>0</v>
      </c>
      <c r="FR59" s="423">
        <f t="shared" si="1134"/>
        <v>24</v>
      </c>
      <c r="FS59" s="424">
        <f t="shared" si="1135"/>
        <v>0</v>
      </c>
      <c r="FT59" s="432">
        <f t="shared" si="1136"/>
        <v>0</v>
      </c>
      <c r="FU59" s="424">
        <f t="shared" si="1137"/>
        <v>0</v>
      </c>
      <c r="FV59" s="423">
        <f t="shared" si="1138"/>
        <v>288</v>
      </c>
      <c r="FW59" s="424">
        <f t="shared" si="1139"/>
        <v>0</v>
      </c>
      <c r="FX59" s="432">
        <f t="shared" si="1140"/>
        <v>0</v>
      </c>
      <c r="FY59" s="424">
        <f t="shared" si="1141"/>
        <v>0</v>
      </c>
      <c r="GA59" s="424"/>
      <c r="GB59" s="430">
        <v>0.14000000000000001</v>
      </c>
      <c r="GC59" s="424">
        <f t="shared" si="1215"/>
        <v>280</v>
      </c>
      <c r="GD59" s="433">
        <f t="shared" ref="GD59:GD62" si="1243">GD58</f>
        <v>0.1</v>
      </c>
      <c r="GE59" s="424">
        <f t="shared" si="1216"/>
        <v>28</v>
      </c>
      <c r="GF59" s="423">
        <f t="shared" si="1217"/>
        <v>53</v>
      </c>
      <c r="GG59" s="424">
        <f t="shared" si="1218"/>
        <v>1484</v>
      </c>
      <c r="GH59" s="431">
        <f t="shared" si="1142"/>
        <v>0.6</v>
      </c>
      <c r="GI59" s="424">
        <f t="shared" si="1143"/>
        <v>890.4</v>
      </c>
      <c r="GJ59" s="424">
        <f t="shared" ref="GJ59:GK62" si="1244">GJ58</f>
        <v>0</v>
      </c>
      <c r="GK59" s="424">
        <f t="shared" si="1244"/>
        <v>703.55021132812522</v>
      </c>
      <c r="GL59" s="424">
        <f t="shared" si="1144"/>
        <v>0</v>
      </c>
      <c r="GM59" s="423">
        <f t="shared" si="1145"/>
        <v>6</v>
      </c>
      <c r="GN59" s="424">
        <f t="shared" si="1146"/>
        <v>0</v>
      </c>
      <c r="GO59" s="432">
        <f t="shared" si="1147"/>
        <v>5342.4</v>
      </c>
      <c r="GP59" s="424">
        <f t="shared" si="1148"/>
        <v>0</v>
      </c>
      <c r="GQ59" s="423">
        <f t="shared" si="1149"/>
        <v>24</v>
      </c>
      <c r="GR59" s="424">
        <f t="shared" si="1150"/>
        <v>0</v>
      </c>
      <c r="GS59" s="432">
        <f t="shared" si="1151"/>
        <v>0</v>
      </c>
      <c r="GT59" s="424">
        <f t="shared" si="1152"/>
        <v>0</v>
      </c>
      <c r="GU59" s="423">
        <f t="shared" si="1153"/>
        <v>288</v>
      </c>
      <c r="GV59" s="424">
        <f t="shared" si="1154"/>
        <v>0</v>
      </c>
      <c r="GW59" s="432">
        <f t="shared" si="1155"/>
        <v>0</v>
      </c>
      <c r="GX59" s="424">
        <f t="shared" si="1156"/>
        <v>0</v>
      </c>
      <c r="GZ59" s="424"/>
      <c r="HA59" s="430">
        <v>0.14000000000000001</v>
      </c>
      <c r="HB59" s="424">
        <f t="shared" si="1219"/>
        <v>280</v>
      </c>
      <c r="HC59" s="433">
        <f t="shared" ref="HC59:HC62" si="1245">HC58</f>
        <v>0.1</v>
      </c>
      <c r="HD59" s="424">
        <f t="shared" si="1220"/>
        <v>28</v>
      </c>
      <c r="HE59" s="423">
        <f t="shared" si="1221"/>
        <v>53</v>
      </c>
      <c r="HF59" s="424">
        <f t="shared" si="1222"/>
        <v>1484</v>
      </c>
      <c r="HG59" s="431">
        <f t="shared" si="1223"/>
        <v>0.6</v>
      </c>
      <c r="HH59" s="424">
        <f t="shared" si="1157"/>
        <v>890.4</v>
      </c>
      <c r="HI59" s="424">
        <f t="shared" ref="HI59:HJ62" si="1246">HI58</f>
        <v>0</v>
      </c>
      <c r="HJ59" s="424">
        <f t="shared" si="1246"/>
        <v>738.72772189453156</v>
      </c>
      <c r="HK59" s="424">
        <f t="shared" si="1158"/>
        <v>0</v>
      </c>
      <c r="HL59" s="423">
        <f t="shared" si="1159"/>
        <v>6</v>
      </c>
      <c r="HM59" s="424">
        <f t="shared" si="1160"/>
        <v>0</v>
      </c>
      <c r="HN59" s="432">
        <f t="shared" si="1161"/>
        <v>5342.4</v>
      </c>
      <c r="HO59" s="424">
        <f t="shared" si="1162"/>
        <v>0</v>
      </c>
      <c r="HP59" s="423">
        <f t="shared" si="1163"/>
        <v>24</v>
      </c>
      <c r="HQ59" s="424">
        <f t="shared" si="1164"/>
        <v>0</v>
      </c>
      <c r="HR59" s="432">
        <f t="shared" si="1165"/>
        <v>0</v>
      </c>
      <c r="HS59" s="424">
        <f t="shared" si="1166"/>
        <v>0</v>
      </c>
      <c r="HT59" s="423">
        <f t="shared" si="1167"/>
        <v>288</v>
      </c>
      <c r="HU59" s="424">
        <f t="shared" si="1168"/>
        <v>0</v>
      </c>
      <c r="HV59" s="432">
        <f t="shared" si="1169"/>
        <v>0</v>
      </c>
      <c r="HW59" s="424">
        <f t="shared" si="1170"/>
        <v>0</v>
      </c>
      <c r="HY59" s="424"/>
      <c r="HZ59" s="430">
        <v>0.14000000000000001</v>
      </c>
      <c r="IA59" s="424">
        <f t="shared" si="1224"/>
        <v>280</v>
      </c>
      <c r="IB59" s="433">
        <f t="shared" ref="IB59:IB62" si="1247">IB58</f>
        <v>0.1</v>
      </c>
      <c r="IC59" s="424">
        <f t="shared" si="1225"/>
        <v>28</v>
      </c>
      <c r="ID59" s="423">
        <f t="shared" si="1226"/>
        <v>53</v>
      </c>
      <c r="IE59" s="424">
        <f t="shared" si="1227"/>
        <v>1484</v>
      </c>
      <c r="IF59" s="431">
        <f t="shared" si="1171"/>
        <v>0.6</v>
      </c>
      <c r="IG59" s="424">
        <f t="shared" si="1172"/>
        <v>890.4</v>
      </c>
      <c r="IH59" s="424">
        <f t="shared" ref="IH59:II62" si="1248">IH58</f>
        <v>0</v>
      </c>
      <c r="II59" s="424">
        <f t="shared" si="1248"/>
        <v>775.66410798925813</v>
      </c>
      <c r="IJ59" s="424">
        <f t="shared" si="1173"/>
        <v>0</v>
      </c>
      <c r="IK59" s="423">
        <f t="shared" si="1174"/>
        <v>6</v>
      </c>
      <c r="IL59" s="424">
        <f t="shared" si="1175"/>
        <v>0</v>
      </c>
      <c r="IM59" s="432">
        <f t="shared" si="1176"/>
        <v>5342.4</v>
      </c>
      <c r="IN59" s="424">
        <f t="shared" si="1177"/>
        <v>0</v>
      </c>
      <c r="IO59" s="423">
        <f t="shared" si="1178"/>
        <v>24</v>
      </c>
      <c r="IP59" s="424">
        <f t="shared" si="1179"/>
        <v>0</v>
      </c>
      <c r="IQ59" s="432">
        <f t="shared" si="1180"/>
        <v>0</v>
      </c>
      <c r="IR59" s="424">
        <f t="shared" si="1181"/>
        <v>0</v>
      </c>
      <c r="IS59" s="423">
        <f t="shared" si="1182"/>
        <v>288</v>
      </c>
      <c r="IT59" s="424">
        <f t="shared" si="1183"/>
        <v>0</v>
      </c>
      <c r="IU59" s="432">
        <f t="shared" si="1184"/>
        <v>0</v>
      </c>
      <c r="IV59" s="424">
        <f t="shared" si="1185"/>
        <v>0</v>
      </c>
    </row>
    <row r="60" spans="2:256" x14ac:dyDescent="0.25">
      <c r="B60" s="422"/>
      <c r="C60" s="422"/>
      <c r="D60" s="422"/>
      <c r="E60" s="419" t="s">
        <v>146</v>
      </c>
      <c r="F60" s="423"/>
      <c r="G60" s="423"/>
      <c r="H60" s="424"/>
      <c r="I60" s="430">
        <v>0.17499999999999999</v>
      </c>
      <c r="J60" s="424">
        <f t="shared" si="1186"/>
        <v>70</v>
      </c>
      <c r="K60" s="433">
        <f t="shared" si="1228"/>
        <v>0.1</v>
      </c>
      <c r="L60" s="424">
        <f t="shared" si="1187"/>
        <v>7</v>
      </c>
      <c r="M60" s="423">
        <f t="shared" si="1188"/>
        <v>37</v>
      </c>
      <c r="N60" s="424">
        <f t="shared" si="1189"/>
        <v>259</v>
      </c>
      <c r="O60" s="431">
        <f>'Parameters and Summary'!E85</f>
        <v>0.72</v>
      </c>
      <c r="P60" s="424">
        <f t="shared" si="1039"/>
        <v>186.48</v>
      </c>
      <c r="Q60" s="424">
        <f t="shared" si="1229"/>
        <v>0</v>
      </c>
      <c r="R60" s="424">
        <f t="shared" si="1230"/>
        <v>500</v>
      </c>
      <c r="S60" s="424">
        <f t="shared" si="1040"/>
        <v>0</v>
      </c>
      <c r="T60" s="423">
        <f t="shared" si="1041"/>
        <v>6</v>
      </c>
      <c r="U60" s="424">
        <f t="shared" si="1042"/>
        <v>0</v>
      </c>
      <c r="V60" s="432">
        <f t="shared" si="1043"/>
        <v>1118.8799999999999</v>
      </c>
      <c r="W60" s="424">
        <f t="shared" si="1044"/>
        <v>0</v>
      </c>
      <c r="X60" s="423">
        <f t="shared" si="1045"/>
        <v>24</v>
      </c>
      <c r="Y60" s="424">
        <f t="shared" si="1046"/>
        <v>0</v>
      </c>
      <c r="Z60" s="432">
        <f t="shared" si="1047"/>
        <v>0</v>
      </c>
      <c r="AA60" s="424">
        <f t="shared" si="1048"/>
        <v>0</v>
      </c>
      <c r="AB60" s="423">
        <f t="shared" si="1049"/>
        <v>288</v>
      </c>
      <c r="AC60" s="424">
        <f t="shared" si="1050"/>
        <v>0</v>
      </c>
      <c r="AD60" s="432">
        <f t="shared" si="1051"/>
        <v>0</v>
      </c>
      <c r="AE60" s="424">
        <f t="shared" si="1052"/>
        <v>0</v>
      </c>
      <c r="AG60" s="424"/>
      <c r="AH60" s="430">
        <v>0.17499999999999999</v>
      </c>
      <c r="AI60" s="424">
        <f t="shared" si="1190"/>
        <v>140</v>
      </c>
      <c r="AJ60" s="433">
        <f t="shared" si="1231"/>
        <v>0.1</v>
      </c>
      <c r="AK60" s="424">
        <f t="shared" si="1191"/>
        <v>14</v>
      </c>
      <c r="AL60" s="423">
        <f t="shared" si="1192"/>
        <v>37</v>
      </c>
      <c r="AM60" s="424">
        <f t="shared" si="1193"/>
        <v>518</v>
      </c>
      <c r="AN60" s="431">
        <f t="shared" si="1053"/>
        <v>0.72</v>
      </c>
      <c r="AO60" s="424">
        <f t="shared" si="1054"/>
        <v>372.96</v>
      </c>
      <c r="AP60" s="424">
        <f t="shared" si="1232"/>
        <v>0</v>
      </c>
      <c r="AQ60" s="424">
        <f t="shared" si="1232"/>
        <v>525</v>
      </c>
      <c r="AR60" s="424">
        <f t="shared" si="1055"/>
        <v>0</v>
      </c>
      <c r="AS60" s="423">
        <f t="shared" si="1056"/>
        <v>6</v>
      </c>
      <c r="AT60" s="424">
        <f t="shared" si="1057"/>
        <v>0</v>
      </c>
      <c r="AU60" s="432">
        <f t="shared" si="1058"/>
        <v>2237.7599999999998</v>
      </c>
      <c r="AV60" s="424">
        <f t="shared" si="1059"/>
        <v>0</v>
      </c>
      <c r="AW60" s="423">
        <f t="shared" si="1060"/>
        <v>24</v>
      </c>
      <c r="AX60" s="424">
        <f t="shared" si="1061"/>
        <v>0</v>
      </c>
      <c r="AY60" s="432">
        <f t="shared" si="1062"/>
        <v>0</v>
      </c>
      <c r="AZ60" s="424">
        <f t="shared" si="1063"/>
        <v>0</v>
      </c>
      <c r="BA60" s="423">
        <f t="shared" si="1064"/>
        <v>288</v>
      </c>
      <c r="BB60" s="424">
        <f t="shared" si="1065"/>
        <v>0</v>
      </c>
      <c r="BC60" s="432">
        <f t="shared" si="1066"/>
        <v>0</v>
      </c>
      <c r="BD60" s="424">
        <f t="shared" si="1067"/>
        <v>0</v>
      </c>
      <c r="BF60" s="424"/>
      <c r="BG60" s="430">
        <v>0.17499999999999999</v>
      </c>
      <c r="BH60" s="424">
        <f t="shared" si="1194"/>
        <v>210</v>
      </c>
      <c r="BI60" s="433">
        <f t="shared" si="1233"/>
        <v>0.1</v>
      </c>
      <c r="BJ60" s="424">
        <f t="shared" si="1195"/>
        <v>21</v>
      </c>
      <c r="BK60" s="423">
        <f t="shared" si="1196"/>
        <v>53</v>
      </c>
      <c r="BL60" s="424">
        <f t="shared" si="1197"/>
        <v>1113</v>
      </c>
      <c r="BM60" s="431">
        <f t="shared" si="1068"/>
        <v>0.72</v>
      </c>
      <c r="BN60" s="424">
        <f t="shared" si="1069"/>
        <v>801.36</v>
      </c>
      <c r="BO60" s="424">
        <f t="shared" si="1234"/>
        <v>0</v>
      </c>
      <c r="BP60" s="424">
        <f t="shared" si="1234"/>
        <v>551.25</v>
      </c>
      <c r="BQ60" s="424">
        <f t="shared" si="1070"/>
        <v>0</v>
      </c>
      <c r="BR60" s="423">
        <f t="shared" si="1071"/>
        <v>6</v>
      </c>
      <c r="BS60" s="424">
        <f t="shared" si="1072"/>
        <v>0</v>
      </c>
      <c r="BT60" s="432">
        <f t="shared" si="1073"/>
        <v>4808.16</v>
      </c>
      <c r="BU60" s="424">
        <f t="shared" si="1074"/>
        <v>0</v>
      </c>
      <c r="BV60" s="423">
        <f t="shared" si="1075"/>
        <v>24</v>
      </c>
      <c r="BW60" s="424">
        <f t="shared" si="1076"/>
        <v>0</v>
      </c>
      <c r="BX60" s="432">
        <f t="shared" si="1077"/>
        <v>0</v>
      </c>
      <c r="BY60" s="424">
        <f t="shared" si="1078"/>
        <v>0</v>
      </c>
      <c r="BZ60" s="423">
        <f t="shared" si="1079"/>
        <v>288</v>
      </c>
      <c r="CA60" s="424">
        <f t="shared" si="1080"/>
        <v>0</v>
      </c>
      <c r="CB60" s="432">
        <f t="shared" si="1081"/>
        <v>0</v>
      </c>
      <c r="CC60" s="424">
        <f t="shared" si="1082"/>
        <v>0</v>
      </c>
      <c r="CE60" s="424"/>
      <c r="CF60" s="430">
        <v>0.17499999999999999</v>
      </c>
      <c r="CG60" s="424">
        <f t="shared" si="1198"/>
        <v>280</v>
      </c>
      <c r="CH60" s="433">
        <f t="shared" si="1235"/>
        <v>0.1</v>
      </c>
      <c r="CI60" s="424">
        <f t="shared" si="1199"/>
        <v>28</v>
      </c>
      <c r="CJ60" s="423">
        <f t="shared" si="1200"/>
        <v>53</v>
      </c>
      <c r="CK60" s="424">
        <f t="shared" si="1201"/>
        <v>1484</v>
      </c>
      <c r="CL60" s="431">
        <f t="shared" si="1083"/>
        <v>0.72</v>
      </c>
      <c r="CM60" s="424">
        <f t="shared" si="1084"/>
        <v>1068.48</v>
      </c>
      <c r="CN60" s="424">
        <f t="shared" si="1236"/>
        <v>0</v>
      </c>
      <c r="CO60" s="424">
        <f t="shared" si="1236"/>
        <v>578.8125</v>
      </c>
      <c r="CP60" s="424">
        <f t="shared" si="1085"/>
        <v>0</v>
      </c>
      <c r="CQ60" s="423">
        <f t="shared" si="1086"/>
        <v>6</v>
      </c>
      <c r="CR60" s="424">
        <f t="shared" si="1087"/>
        <v>0</v>
      </c>
      <c r="CS60" s="432">
        <f t="shared" si="1088"/>
        <v>6410.88</v>
      </c>
      <c r="CT60" s="424">
        <f t="shared" si="1089"/>
        <v>0</v>
      </c>
      <c r="CU60" s="423">
        <f t="shared" si="1090"/>
        <v>24</v>
      </c>
      <c r="CV60" s="424">
        <f t="shared" si="1091"/>
        <v>0</v>
      </c>
      <c r="CW60" s="432">
        <f t="shared" si="1092"/>
        <v>0</v>
      </c>
      <c r="CX60" s="424">
        <f t="shared" si="1093"/>
        <v>0</v>
      </c>
      <c r="CY60" s="423">
        <f t="shared" si="1094"/>
        <v>288</v>
      </c>
      <c r="CZ60" s="424">
        <f t="shared" si="1095"/>
        <v>0</v>
      </c>
      <c r="DA60" s="432">
        <f t="shared" si="1096"/>
        <v>0</v>
      </c>
      <c r="DB60" s="424">
        <f t="shared" si="1097"/>
        <v>0</v>
      </c>
      <c r="DD60" s="424"/>
      <c r="DE60" s="430">
        <v>0.17499999999999999</v>
      </c>
      <c r="DF60" s="424">
        <f t="shared" si="1202"/>
        <v>350</v>
      </c>
      <c r="DG60" s="433">
        <f t="shared" si="1237"/>
        <v>0.1</v>
      </c>
      <c r="DH60" s="424">
        <f t="shared" si="1203"/>
        <v>35</v>
      </c>
      <c r="DI60" s="423">
        <f t="shared" si="1204"/>
        <v>53</v>
      </c>
      <c r="DJ60" s="424">
        <f t="shared" si="1205"/>
        <v>1855</v>
      </c>
      <c r="DK60" s="431">
        <f t="shared" si="1098"/>
        <v>0.72</v>
      </c>
      <c r="DL60" s="424">
        <f t="shared" si="1099"/>
        <v>1335.6</v>
      </c>
      <c r="DM60" s="424">
        <f t="shared" si="1238"/>
        <v>0</v>
      </c>
      <c r="DN60" s="424">
        <f t="shared" si="1238"/>
        <v>607.75312500000007</v>
      </c>
      <c r="DO60" s="424">
        <f t="shared" si="1100"/>
        <v>0</v>
      </c>
      <c r="DP60" s="423">
        <f t="shared" si="1101"/>
        <v>6</v>
      </c>
      <c r="DQ60" s="424">
        <f t="shared" si="1102"/>
        <v>0</v>
      </c>
      <c r="DR60" s="432">
        <f t="shared" si="1103"/>
        <v>8013.5999999999995</v>
      </c>
      <c r="DS60" s="424">
        <f t="shared" si="1104"/>
        <v>0</v>
      </c>
      <c r="DT60" s="423">
        <f t="shared" si="1105"/>
        <v>24</v>
      </c>
      <c r="DU60" s="424">
        <f t="shared" si="1106"/>
        <v>0</v>
      </c>
      <c r="DV60" s="432">
        <f t="shared" si="1107"/>
        <v>0</v>
      </c>
      <c r="DW60" s="424">
        <f t="shared" si="1108"/>
        <v>0</v>
      </c>
      <c r="DX60" s="423">
        <f t="shared" si="1109"/>
        <v>288</v>
      </c>
      <c r="DY60" s="424">
        <f t="shared" si="1110"/>
        <v>0</v>
      </c>
      <c r="DZ60" s="432">
        <f t="shared" si="1111"/>
        <v>0</v>
      </c>
      <c r="EA60" s="424">
        <f t="shared" si="1112"/>
        <v>0</v>
      </c>
      <c r="EC60" s="424"/>
      <c r="ED60" s="430">
        <v>0.17499999999999999</v>
      </c>
      <c r="EE60" s="424">
        <f t="shared" si="1206"/>
        <v>350</v>
      </c>
      <c r="EF60" s="433">
        <f t="shared" si="1239"/>
        <v>0.1</v>
      </c>
      <c r="EG60" s="424">
        <f t="shared" si="1207"/>
        <v>35</v>
      </c>
      <c r="EH60" s="423">
        <f t="shared" si="1208"/>
        <v>53</v>
      </c>
      <c r="EI60" s="424">
        <f t="shared" si="1209"/>
        <v>1855</v>
      </c>
      <c r="EJ60" s="431">
        <f t="shared" si="1113"/>
        <v>0.72</v>
      </c>
      <c r="EK60" s="424">
        <f t="shared" si="1114"/>
        <v>1335.6</v>
      </c>
      <c r="EL60" s="424">
        <f t="shared" si="1240"/>
        <v>0</v>
      </c>
      <c r="EM60" s="424">
        <f t="shared" si="1240"/>
        <v>638.14078125000015</v>
      </c>
      <c r="EN60" s="424">
        <f t="shared" si="1115"/>
        <v>0</v>
      </c>
      <c r="EO60" s="423">
        <f t="shared" si="1116"/>
        <v>6</v>
      </c>
      <c r="EP60" s="424">
        <f t="shared" si="1117"/>
        <v>0</v>
      </c>
      <c r="EQ60" s="432">
        <f t="shared" si="1118"/>
        <v>8013.5999999999995</v>
      </c>
      <c r="ER60" s="424">
        <f t="shared" si="1119"/>
        <v>0</v>
      </c>
      <c r="ES60" s="423">
        <f t="shared" si="1120"/>
        <v>24</v>
      </c>
      <c r="ET60" s="424">
        <f t="shared" si="1121"/>
        <v>0</v>
      </c>
      <c r="EU60" s="432">
        <f t="shared" si="1122"/>
        <v>0</v>
      </c>
      <c r="EV60" s="424">
        <f t="shared" si="1123"/>
        <v>0</v>
      </c>
      <c r="EW60" s="423">
        <f t="shared" si="1124"/>
        <v>288</v>
      </c>
      <c r="EX60" s="424">
        <f t="shared" si="1125"/>
        <v>0</v>
      </c>
      <c r="EY60" s="432">
        <f t="shared" si="1126"/>
        <v>0</v>
      </c>
      <c r="EZ60" s="424">
        <f t="shared" si="1127"/>
        <v>0</v>
      </c>
      <c r="FB60" s="424"/>
      <c r="FC60" s="430">
        <v>0.17499999999999999</v>
      </c>
      <c r="FD60" s="424">
        <f t="shared" si="1210"/>
        <v>350</v>
      </c>
      <c r="FE60" s="433">
        <f t="shared" si="1241"/>
        <v>0.1</v>
      </c>
      <c r="FF60" s="424">
        <f t="shared" si="1211"/>
        <v>35</v>
      </c>
      <c r="FG60" s="423">
        <f t="shared" si="1212"/>
        <v>53</v>
      </c>
      <c r="FH60" s="424">
        <f t="shared" si="1213"/>
        <v>1855</v>
      </c>
      <c r="FI60" s="431">
        <f t="shared" si="1214"/>
        <v>0.72</v>
      </c>
      <c r="FJ60" s="424">
        <f t="shared" si="1128"/>
        <v>1335.6</v>
      </c>
      <c r="FK60" s="424">
        <f t="shared" si="1242"/>
        <v>0</v>
      </c>
      <c r="FL60" s="424">
        <f t="shared" si="1242"/>
        <v>670.04782031250022</v>
      </c>
      <c r="FM60" s="424">
        <f t="shared" si="1129"/>
        <v>0</v>
      </c>
      <c r="FN60" s="423">
        <f t="shared" si="1130"/>
        <v>6</v>
      </c>
      <c r="FO60" s="424">
        <f t="shared" si="1131"/>
        <v>0</v>
      </c>
      <c r="FP60" s="432">
        <f t="shared" si="1132"/>
        <v>8013.5999999999995</v>
      </c>
      <c r="FQ60" s="424">
        <f t="shared" si="1133"/>
        <v>0</v>
      </c>
      <c r="FR60" s="423">
        <f t="shared" si="1134"/>
        <v>24</v>
      </c>
      <c r="FS60" s="424">
        <f t="shared" si="1135"/>
        <v>0</v>
      </c>
      <c r="FT60" s="432">
        <f t="shared" si="1136"/>
        <v>0</v>
      </c>
      <c r="FU60" s="424">
        <f t="shared" si="1137"/>
        <v>0</v>
      </c>
      <c r="FV60" s="423">
        <f t="shared" si="1138"/>
        <v>288</v>
      </c>
      <c r="FW60" s="424">
        <f t="shared" si="1139"/>
        <v>0</v>
      </c>
      <c r="FX60" s="432">
        <f t="shared" si="1140"/>
        <v>0</v>
      </c>
      <c r="FY60" s="424">
        <f t="shared" si="1141"/>
        <v>0</v>
      </c>
      <c r="GA60" s="424"/>
      <c r="GB60" s="430">
        <v>0.17499999999999999</v>
      </c>
      <c r="GC60" s="424">
        <f t="shared" si="1215"/>
        <v>350</v>
      </c>
      <c r="GD60" s="433">
        <f t="shared" si="1243"/>
        <v>0.1</v>
      </c>
      <c r="GE60" s="424">
        <f t="shared" si="1216"/>
        <v>35</v>
      </c>
      <c r="GF60" s="423">
        <f t="shared" si="1217"/>
        <v>53</v>
      </c>
      <c r="GG60" s="424">
        <f t="shared" si="1218"/>
        <v>1855</v>
      </c>
      <c r="GH60" s="431">
        <f t="shared" si="1142"/>
        <v>0.72</v>
      </c>
      <c r="GI60" s="424">
        <f t="shared" si="1143"/>
        <v>1335.6</v>
      </c>
      <c r="GJ60" s="424">
        <f t="shared" si="1244"/>
        <v>0</v>
      </c>
      <c r="GK60" s="424">
        <f t="shared" si="1244"/>
        <v>703.55021132812522</v>
      </c>
      <c r="GL60" s="424">
        <f t="shared" si="1144"/>
        <v>0</v>
      </c>
      <c r="GM60" s="423">
        <f t="shared" si="1145"/>
        <v>6</v>
      </c>
      <c r="GN60" s="424">
        <f t="shared" si="1146"/>
        <v>0</v>
      </c>
      <c r="GO60" s="432">
        <f t="shared" si="1147"/>
        <v>8013.5999999999995</v>
      </c>
      <c r="GP60" s="424">
        <f t="shared" si="1148"/>
        <v>0</v>
      </c>
      <c r="GQ60" s="423">
        <f t="shared" si="1149"/>
        <v>24</v>
      </c>
      <c r="GR60" s="424">
        <f t="shared" si="1150"/>
        <v>0</v>
      </c>
      <c r="GS60" s="432">
        <f t="shared" si="1151"/>
        <v>0</v>
      </c>
      <c r="GT60" s="424">
        <f t="shared" si="1152"/>
        <v>0</v>
      </c>
      <c r="GU60" s="423">
        <f t="shared" si="1153"/>
        <v>288</v>
      </c>
      <c r="GV60" s="424">
        <f t="shared" si="1154"/>
        <v>0</v>
      </c>
      <c r="GW60" s="432">
        <f t="shared" si="1155"/>
        <v>0</v>
      </c>
      <c r="GX60" s="424">
        <f t="shared" si="1156"/>
        <v>0</v>
      </c>
      <c r="GZ60" s="424"/>
      <c r="HA60" s="430">
        <v>0.17499999999999999</v>
      </c>
      <c r="HB60" s="424">
        <f t="shared" si="1219"/>
        <v>350</v>
      </c>
      <c r="HC60" s="433">
        <f t="shared" si="1245"/>
        <v>0.1</v>
      </c>
      <c r="HD60" s="424">
        <f t="shared" si="1220"/>
        <v>35</v>
      </c>
      <c r="HE60" s="423">
        <f t="shared" si="1221"/>
        <v>53</v>
      </c>
      <c r="HF60" s="424">
        <f t="shared" si="1222"/>
        <v>1855</v>
      </c>
      <c r="HG60" s="431">
        <f t="shared" si="1223"/>
        <v>0.72</v>
      </c>
      <c r="HH60" s="424">
        <f t="shared" si="1157"/>
        <v>1335.6</v>
      </c>
      <c r="HI60" s="424">
        <f t="shared" si="1246"/>
        <v>0</v>
      </c>
      <c r="HJ60" s="424">
        <f t="shared" si="1246"/>
        <v>738.72772189453156</v>
      </c>
      <c r="HK60" s="424">
        <f t="shared" si="1158"/>
        <v>0</v>
      </c>
      <c r="HL60" s="423">
        <f t="shared" si="1159"/>
        <v>6</v>
      </c>
      <c r="HM60" s="424">
        <f t="shared" si="1160"/>
        <v>0</v>
      </c>
      <c r="HN60" s="432">
        <f t="shared" si="1161"/>
        <v>8013.5999999999995</v>
      </c>
      <c r="HO60" s="424">
        <f t="shared" si="1162"/>
        <v>0</v>
      </c>
      <c r="HP60" s="423">
        <f t="shared" si="1163"/>
        <v>24</v>
      </c>
      <c r="HQ60" s="424">
        <f t="shared" si="1164"/>
        <v>0</v>
      </c>
      <c r="HR60" s="432">
        <f t="shared" si="1165"/>
        <v>0</v>
      </c>
      <c r="HS60" s="424">
        <f t="shared" si="1166"/>
        <v>0</v>
      </c>
      <c r="HT60" s="423">
        <f t="shared" si="1167"/>
        <v>288</v>
      </c>
      <c r="HU60" s="424">
        <f t="shared" si="1168"/>
        <v>0</v>
      </c>
      <c r="HV60" s="432">
        <f t="shared" si="1169"/>
        <v>0</v>
      </c>
      <c r="HW60" s="424">
        <f t="shared" si="1170"/>
        <v>0</v>
      </c>
      <c r="HY60" s="424"/>
      <c r="HZ60" s="430">
        <v>0.17499999999999999</v>
      </c>
      <c r="IA60" s="424">
        <f t="shared" si="1224"/>
        <v>350</v>
      </c>
      <c r="IB60" s="433">
        <f t="shared" si="1247"/>
        <v>0.1</v>
      </c>
      <c r="IC60" s="424">
        <f t="shared" si="1225"/>
        <v>35</v>
      </c>
      <c r="ID60" s="423">
        <f t="shared" si="1226"/>
        <v>53</v>
      </c>
      <c r="IE60" s="424">
        <f t="shared" si="1227"/>
        <v>1855</v>
      </c>
      <c r="IF60" s="431">
        <f t="shared" si="1171"/>
        <v>0.72</v>
      </c>
      <c r="IG60" s="424">
        <f t="shared" si="1172"/>
        <v>1335.6</v>
      </c>
      <c r="IH60" s="424">
        <f t="shared" si="1248"/>
        <v>0</v>
      </c>
      <c r="II60" s="424">
        <f t="shared" si="1248"/>
        <v>775.66410798925813</v>
      </c>
      <c r="IJ60" s="424">
        <f t="shared" si="1173"/>
        <v>0</v>
      </c>
      <c r="IK60" s="423">
        <f t="shared" si="1174"/>
        <v>6</v>
      </c>
      <c r="IL60" s="424">
        <f t="shared" si="1175"/>
        <v>0</v>
      </c>
      <c r="IM60" s="432">
        <f t="shared" si="1176"/>
        <v>8013.5999999999995</v>
      </c>
      <c r="IN60" s="424">
        <f t="shared" si="1177"/>
        <v>0</v>
      </c>
      <c r="IO60" s="423">
        <f t="shared" si="1178"/>
        <v>24</v>
      </c>
      <c r="IP60" s="424">
        <f t="shared" si="1179"/>
        <v>0</v>
      </c>
      <c r="IQ60" s="432">
        <f t="shared" si="1180"/>
        <v>0</v>
      </c>
      <c r="IR60" s="424">
        <f t="shared" si="1181"/>
        <v>0</v>
      </c>
      <c r="IS60" s="423">
        <f t="shared" si="1182"/>
        <v>288</v>
      </c>
      <c r="IT60" s="424">
        <f t="shared" si="1183"/>
        <v>0</v>
      </c>
      <c r="IU60" s="432">
        <f t="shared" si="1184"/>
        <v>0</v>
      </c>
      <c r="IV60" s="424">
        <f t="shared" si="1185"/>
        <v>0</v>
      </c>
    </row>
    <row r="61" spans="2:256" x14ac:dyDescent="0.25">
      <c r="B61" s="422"/>
      <c r="C61" s="422"/>
      <c r="D61" s="422"/>
      <c r="E61" s="419" t="s">
        <v>147</v>
      </c>
      <c r="F61" s="423"/>
      <c r="G61" s="423"/>
      <c r="H61" s="424"/>
      <c r="I61" s="430">
        <v>0.105</v>
      </c>
      <c r="J61" s="424">
        <f t="shared" si="1186"/>
        <v>42</v>
      </c>
      <c r="K61" s="433">
        <f t="shared" si="1228"/>
        <v>0.1</v>
      </c>
      <c r="L61" s="424">
        <f t="shared" si="1187"/>
        <v>4.2</v>
      </c>
      <c r="M61" s="423">
        <f t="shared" si="1188"/>
        <v>37</v>
      </c>
      <c r="N61" s="424">
        <f t="shared" si="1189"/>
        <v>155.4</v>
      </c>
      <c r="O61" s="431">
        <f>'Parameters and Summary'!E86</f>
        <v>0.67100000000000004</v>
      </c>
      <c r="P61" s="424">
        <f t="shared" si="1039"/>
        <v>104.27340000000001</v>
      </c>
      <c r="Q61" s="424">
        <f t="shared" si="1229"/>
        <v>0</v>
      </c>
      <c r="R61" s="424">
        <f t="shared" si="1230"/>
        <v>500</v>
      </c>
      <c r="S61" s="424">
        <f t="shared" si="1040"/>
        <v>0</v>
      </c>
      <c r="T61" s="423">
        <f t="shared" si="1041"/>
        <v>6</v>
      </c>
      <c r="U61" s="424">
        <f t="shared" si="1042"/>
        <v>0</v>
      </c>
      <c r="V61" s="432">
        <f t="shared" si="1043"/>
        <v>625.6404</v>
      </c>
      <c r="W61" s="424">
        <f t="shared" si="1044"/>
        <v>0</v>
      </c>
      <c r="X61" s="423">
        <f t="shared" si="1045"/>
        <v>24</v>
      </c>
      <c r="Y61" s="424">
        <f t="shared" si="1046"/>
        <v>0</v>
      </c>
      <c r="Z61" s="432">
        <f t="shared" si="1047"/>
        <v>0</v>
      </c>
      <c r="AA61" s="424">
        <f t="shared" si="1048"/>
        <v>0</v>
      </c>
      <c r="AB61" s="423">
        <f t="shared" si="1049"/>
        <v>288</v>
      </c>
      <c r="AC61" s="424">
        <f t="shared" si="1050"/>
        <v>0</v>
      </c>
      <c r="AD61" s="432">
        <f t="shared" si="1051"/>
        <v>0</v>
      </c>
      <c r="AE61" s="424">
        <f t="shared" si="1052"/>
        <v>0</v>
      </c>
      <c r="AG61" s="424"/>
      <c r="AH61" s="430">
        <v>0.105</v>
      </c>
      <c r="AI61" s="424">
        <f t="shared" si="1190"/>
        <v>84</v>
      </c>
      <c r="AJ61" s="433">
        <f t="shared" si="1231"/>
        <v>0.1</v>
      </c>
      <c r="AK61" s="424">
        <f t="shared" si="1191"/>
        <v>8.4</v>
      </c>
      <c r="AL61" s="423">
        <f t="shared" si="1192"/>
        <v>37</v>
      </c>
      <c r="AM61" s="424">
        <f t="shared" si="1193"/>
        <v>310.8</v>
      </c>
      <c r="AN61" s="431">
        <f t="shared" si="1053"/>
        <v>0.67100000000000004</v>
      </c>
      <c r="AO61" s="424">
        <f t="shared" si="1054"/>
        <v>208.54680000000002</v>
      </c>
      <c r="AP61" s="424">
        <f t="shared" si="1232"/>
        <v>0</v>
      </c>
      <c r="AQ61" s="424">
        <f t="shared" si="1232"/>
        <v>525</v>
      </c>
      <c r="AR61" s="424">
        <f t="shared" si="1055"/>
        <v>0</v>
      </c>
      <c r="AS61" s="423">
        <f t="shared" si="1056"/>
        <v>6</v>
      </c>
      <c r="AT61" s="424">
        <f t="shared" si="1057"/>
        <v>0</v>
      </c>
      <c r="AU61" s="432">
        <f t="shared" si="1058"/>
        <v>1251.2808</v>
      </c>
      <c r="AV61" s="424">
        <f t="shared" si="1059"/>
        <v>0</v>
      </c>
      <c r="AW61" s="423">
        <f t="shared" si="1060"/>
        <v>24</v>
      </c>
      <c r="AX61" s="424">
        <f t="shared" si="1061"/>
        <v>0</v>
      </c>
      <c r="AY61" s="432">
        <f t="shared" si="1062"/>
        <v>0</v>
      </c>
      <c r="AZ61" s="424">
        <f t="shared" si="1063"/>
        <v>0</v>
      </c>
      <c r="BA61" s="423">
        <f t="shared" si="1064"/>
        <v>288</v>
      </c>
      <c r="BB61" s="424">
        <f t="shared" si="1065"/>
        <v>0</v>
      </c>
      <c r="BC61" s="432">
        <f t="shared" si="1066"/>
        <v>0</v>
      </c>
      <c r="BD61" s="424">
        <f t="shared" si="1067"/>
        <v>0</v>
      </c>
      <c r="BF61" s="424"/>
      <c r="BG61" s="430">
        <v>0.105</v>
      </c>
      <c r="BH61" s="424">
        <f t="shared" si="1194"/>
        <v>126</v>
      </c>
      <c r="BI61" s="433">
        <f t="shared" si="1233"/>
        <v>0.1</v>
      </c>
      <c r="BJ61" s="424">
        <f t="shared" si="1195"/>
        <v>12.600000000000001</v>
      </c>
      <c r="BK61" s="423">
        <f t="shared" si="1196"/>
        <v>53</v>
      </c>
      <c r="BL61" s="424">
        <f t="shared" si="1197"/>
        <v>667.80000000000007</v>
      </c>
      <c r="BM61" s="431">
        <f t="shared" si="1068"/>
        <v>0.67100000000000004</v>
      </c>
      <c r="BN61" s="424">
        <f t="shared" si="1069"/>
        <v>448.0938000000001</v>
      </c>
      <c r="BO61" s="424">
        <f t="shared" si="1234"/>
        <v>0</v>
      </c>
      <c r="BP61" s="424">
        <f t="shared" si="1234"/>
        <v>551.25</v>
      </c>
      <c r="BQ61" s="424">
        <f t="shared" si="1070"/>
        <v>0</v>
      </c>
      <c r="BR61" s="423">
        <f t="shared" si="1071"/>
        <v>6</v>
      </c>
      <c r="BS61" s="424">
        <f t="shared" si="1072"/>
        <v>0</v>
      </c>
      <c r="BT61" s="432">
        <f t="shared" si="1073"/>
        <v>2688.5628000000006</v>
      </c>
      <c r="BU61" s="424">
        <f t="shared" si="1074"/>
        <v>0</v>
      </c>
      <c r="BV61" s="423">
        <f t="shared" si="1075"/>
        <v>24</v>
      </c>
      <c r="BW61" s="424">
        <f t="shared" si="1076"/>
        <v>0</v>
      </c>
      <c r="BX61" s="432">
        <f t="shared" si="1077"/>
        <v>0</v>
      </c>
      <c r="BY61" s="424">
        <f t="shared" si="1078"/>
        <v>0</v>
      </c>
      <c r="BZ61" s="423">
        <f t="shared" si="1079"/>
        <v>288</v>
      </c>
      <c r="CA61" s="424">
        <f t="shared" si="1080"/>
        <v>0</v>
      </c>
      <c r="CB61" s="432">
        <f t="shared" si="1081"/>
        <v>0</v>
      </c>
      <c r="CC61" s="424">
        <f t="shared" si="1082"/>
        <v>0</v>
      </c>
      <c r="CE61" s="424"/>
      <c r="CF61" s="430">
        <v>0.105</v>
      </c>
      <c r="CG61" s="424">
        <f t="shared" si="1198"/>
        <v>168</v>
      </c>
      <c r="CH61" s="433">
        <f t="shared" si="1235"/>
        <v>0.1</v>
      </c>
      <c r="CI61" s="424">
        <f t="shared" si="1199"/>
        <v>16.8</v>
      </c>
      <c r="CJ61" s="423">
        <f t="shared" si="1200"/>
        <v>53</v>
      </c>
      <c r="CK61" s="424">
        <f t="shared" si="1201"/>
        <v>890.40000000000009</v>
      </c>
      <c r="CL61" s="431">
        <f t="shared" si="1083"/>
        <v>0.67100000000000004</v>
      </c>
      <c r="CM61" s="424">
        <f t="shared" si="1084"/>
        <v>597.4584000000001</v>
      </c>
      <c r="CN61" s="424">
        <f t="shared" si="1236"/>
        <v>0</v>
      </c>
      <c r="CO61" s="424">
        <f t="shared" si="1236"/>
        <v>578.8125</v>
      </c>
      <c r="CP61" s="424">
        <f t="shared" si="1085"/>
        <v>0</v>
      </c>
      <c r="CQ61" s="423">
        <f t="shared" si="1086"/>
        <v>6</v>
      </c>
      <c r="CR61" s="424">
        <f t="shared" si="1087"/>
        <v>0</v>
      </c>
      <c r="CS61" s="432">
        <f t="shared" si="1088"/>
        <v>3584.7504000000008</v>
      </c>
      <c r="CT61" s="424">
        <f t="shared" si="1089"/>
        <v>0</v>
      </c>
      <c r="CU61" s="423">
        <f t="shared" si="1090"/>
        <v>24</v>
      </c>
      <c r="CV61" s="424">
        <f t="shared" si="1091"/>
        <v>0</v>
      </c>
      <c r="CW61" s="432">
        <f t="shared" si="1092"/>
        <v>0</v>
      </c>
      <c r="CX61" s="424">
        <f t="shared" si="1093"/>
        <v>0</v>
      </c>
      <c r="CY61" s="423">
        <f t="shared" si="1094"/>
        <v>288</v>
      </c>
      <c r="CZ61" s="424">
        <f t="shared" si="1095"/>
        <v>0</v>
      </c>
      <c r="DA61" s="432">
        <f t="shared" si="1096"/>
        <v>0</v>
      </c>
      <c r="DB61" s="424">
        <f t="shared" si="1097"/>
        <v>0</v>
      </c>
      <c r="DD61" s="424"/>
      <c r="DE61" s="430">
        <v>0.105</v>
      </c>
      <c r="DF61" s="424">
        <f t="shared" si="1202"/>
        <v>210</v>
      </c>
      <c r="DG61" s="433">
        <f t="shared" si="1237"/>
        <v>0.1</v>
      </c>
      <c r="DH61" s="424">
        <f t="shared" si="1203"/>
        <v>21</v>
      </c>
      <c r="DI61" s="423">
        <f t="shared" si="1204"/>
        <v>53</v>
      </c>
      <c r="DJ61" s="424">
        <f t="shared" si="1205"/>
        <v>1113</v>
      </c>
      <c r="DK61" s="431">
        <f t="shared" si="1098"/>
        <v>0.67100000000000004</v>
      </c>
      <c r="DL61" s="424">
        <f t="shared" si="1099"/>
        <v>746.82300000000009</v>
      </c>
      <c r="DM61" s="424">
        <f t="shared" si="1238"/>
        <v>0</v>
      </c>
      <c r="DN61" s="424">
        <f t="shared" si="1238"/>
        <v>607.75312500000007</v>
      </c>
      <c r="DO61" s="424">
        <f t="shared" si="1100"/>
        <v>0</v>
      </c>
      <c r="DP61" s="423">
        <f t="shared" si="1101"/>
        <v>6</v>
      </c>
      <c r="DQ61" s="424">
        <f t="shared" si="1102"/>
        <v>0</v>
      </c>
      <c r="DR61" s="432">
        <f t="shared" si="1103"/>
        <v>4480.9380000000001</v>
      </c>
      <c r="DS61" s="424">
        <f t="shared" si="1104"/>
        <v>0</v>
      </c>
      <c r="DT61" s="423">
        <f t="shared" si="1105"/>
        <v>24</v>
      </c>
      <c r="DU61" s="424">
        <f t="shared" si="1106"/>
        <v>0</v>
      </c>
      <c r="DV61" s="432">
        <f t="shared" si="1107"/>
        <v>0</v>
      </c>
      <c r="DW61" s="424">
        <f t="shared" si="1108"/>
        <v>0</v>
      </c>
      <c r="DX61" s="423">
        <f t="shared" si="1109"/>
        <v>288</v>
      </c>
      <c r="DY61" s="424">
        <f t="shared" si="1110"/>
        <v>0</v>
      </c>
      <c r="DZ61" s="432">
        <f t="shared" si="1111"/>
        <v>0</v>
      </c>
      <c r="EA61" s="424">
        <f t="shared" si="1112"/>
        <v>0</v>
      </c>
      <c r="EC61" s="424"/>
      <c r="ED61" s="430">
        <v>0.105</v>
      </c>
      <c r="EE61" s="424">
        <f t="shared" si="1206"/>
        <v>210</v>
      </c>
      <c r="EF61" s="433">
        <f t="shared" si="1239"/>
        <v>0.1</v>
      </c>
      <c r="EG61" s="424">
        <f t="shared" si="1207"/>
        <v>21</v>
      </c>
      <c r="EH61" s="423">
        <f t="shared" si="1208"/>
        <v>53</v>
      </c>
      <c r="EI61" s="424">
        <f t="shared" si="1209"/>
        <v>1113</v>
      </c>
      <c r="EJ61" s="431">
        <f t="shared" si="1113"/>
        <v>0.67100000000000004</v>
      </c>
      <c r="EK61" s="424">
        <f t="shared" si="1114"/>
        <v>746.82300000000009</v>
      </c>
      <c r="EL61" s="424">
        <f t="shared" si="1240"/>
        <v>0</v>
      </c>
      <c r="EM61" s="424">
        <f t="shared" si="1240"/>
        <v>638.14078125000015</v>
      </c>
      <c r="EN61" s="424">
        <f t="shared" si="1115"/>
        <v>0</v>
      </c>
      <c r="EO61" s="423">
        <f t="shared" si="1116"/>
        <v>6</v>
      </c>
      <c r="EP61" s="424">
        <f t="shared" si="1117"/>
        <v>0</v>
      </c>
      <c r="EQ61" s="432">
        <f t="shared" si="1118"/>
        <v>4480.9380000000001</v>
      </c>
      <c r="ER61" s="424">
        <f t="shared" si="1119"/>
        <v>0</v>
      </c>
      <c r="ES61" s="423">
        <f t="shared" si="1120"/>
        <v>24</v>
      </c>
      <c r="ET61" s="424">
        <f t="shared" si="1121"/>
        <v>0</v>
      </c>
      <c r="EU61" s="432">
        <f t="shared" si="1122"/>
        <v>0</v>
      </c>
      <c r="EV61" s="424">
        <f t="shared" si="1123"/>
        <v>0</v>
      </c>
      <c r="EW61" s="423">
        <f t="shared" si="1124"/>
        <v>288</v>
      </c>
      <c r="EX61" s="424">
        <f t="shared" si="1125"/>
        <v>0</v>
      </c>
      <c r="EY61" s="432">
        <f t="shared" si="1126"/>
        <v>0</v>
      </c>
      <c r="EZ61" s="424">
        <f t="shared" si="1127"/>
        <v>0</v>
      </c>
      <c r="FB61" s="424"/>
      <c r="FC61" s="430">
        <v>0.105</v>
      </c>
      <c r="FD61" s="424">
        <f t="shared" si="1210"/>
        <v>210</v>
      </c>
      <c r="FE61" s="433">
        <f t="shared" si="1241"/>
        <v>0.1</v>
      </c>
      <c r="FF61" s="424">
        <f t="shared" si="1211"/>
        <v>21</v>
      </c>
      <c r="FG61" s="423">
        <f t="shared" si="1212"/>
        <v>53</v>
      </c>
      <c r="FH61" s="424">
        <f t="shared" si="1213"/>
        <v>1113</v>
      </c>
      <c r="FI61" s="431">
        <f t="shared" si="1214"/>
        <v>0.67100000000000004</v>
      </c>
      <c r="FJ61" s="424">
        <f t="shared" si="1128"/>
        <v>746.82300000000009</v>
      </c>
      <c r="FK61" s="424">
        <f t="shared" si="1242"/>
        <v>0</v>
      </c>
      <c r="FL61" s="424">
        <f t="shared" si="1242"/>
        <v>670.04782031250022</v>
      </c>
      <c r="FM61" s="424">
        <f t="shared" si="1129"/>
        <v>0</v>
      </c>
      <c r="FN61" s="423">
        <f t="shared" si="1130"/>
        <v>6</v>
      </c>
      <c r="FO61" s="424">
        <f t="shared" si="1131"/>
        <v>0</v>
      </c>
      <c r="FP61" s="432">
        <f t="shared" si="1132"/>
        <v>4480.9380000000001</v>
      </c>
      <c r="FQ61" s="424">
        <f t="shared" si="1133"/>
        <v>0</v>
      </c>
      <c r="FR61" s="423">
        <f t="shared" si="1134"/>
        <v>24</v>
      </c>
      <c r="FS61" s="424">
        <f t="shared" si="1135"/>
        <v>0</v>
      </c>
      <c r="FT61" s="432">
        <f t="shared" si="1136"/>
        <v>0</v>
      </c>
      <c r="FU61" s="424">
        <f t="shared" si="1137"/>
        <v>0</v>
      </c>
      <c r="FV61" s="423">
        <f t="shared" si="1138"/>
        <v>288</v>
      </c>
      <c r="FW61" s="424">
        <f t="shared" si="1139"/>
        <v>0</v>
      </c>
      <c r="FX61" s="432">
        <f t="shared" si="1140"/>
        <v>0</v>
      </c>
      <c r="FY61" s="424">
        <f t="shared" si="1141"/>
        <v>0</v>
      </c>
      <c r="GA61" s="424"/>
      <c r="GB61" s="430">
        <v>0.105</v>
      </c>
      <c r="GC61" s="424">
        <f t="shared" si="1215"/>
        <v>210</v>
      </c>
      <c r="GD61" s="433">
        <f t="shared" si="1243"/>
        <v>0.1</v>
      </c>
      <c r="GE61" s="424">
        <f t="shared" si="1216"/>
        <v>21</v>
      </c>
      <c r="GF61" s="423">
        <f t="shared" si="1217"/>
        <v>53</v>
      </c>
      <c r="GG61" s="424">
        <f t="shared" si="1218"/>
        <v>1113</v>
      </c>
      <c r="GH61" s="431">
        <f t="shared" si="1142"/>
        <v>0.67100000000000004</v>
      </c>
      <c r="GI61" s="424">
        <f t="shared" si="1143"/>
        <v>746.82300000000009</v>
      </c>
      <c r="GJ61" s="424">
        <f t="shared" si="1244"/>
        <v>0</v>
      </c>
      <c r="GK61" s="424">
        <f t="shared" si="1244"/>
        <v>703.55021132812522</v>
      </c>
      <c r="GL61" s="424">
        <f t="shared" si="1144"/>
        <v>0</v>
      </c>
      <c r="GM61" s="423">
        <f t="shared" si="1145"/>
        <v>6</v>
      </c>
      <c r="GN61" s="424">
        <f t="shared" si="1146"/>
        <v>0</v>
      </c>
      <c r="GO61" s="432">
        <f t="shared" si="1147"/>
        <v>4480.9380000000001</v>
      </c>
      <c r="GP61" s="424">
        <f t="shared" si="1148"/>
        <v>0</v>
      </c>
      <c r="GQ61" s="423">
        <f t="shared" si="1149"/>
        <v>24</v>
      </c>
      <c r="GR61" s="424">
        <f t="shared" si="1150"/>
        <v>0</v>
      </c>
      <c r="GS61" s="432">
        <f t="shared" si="1151"/>
        <v>0</v>
      </c>
      <c r="GT61" s="424">
        <f t="shared" si="1152"/>
        <v>0</v>
      </c>
      <c r="GU61" s="423">
        <f t="shared" si="1153"/>
        <v>288</v>
      </c>
      <c r="GV61" s="424">
        <f t="shared" si="1154"/>
        <v>0</v>
      </c>
      <c r="GW61" s="432">
        <f t="shared" si="1155"/>
        <v>0</v>
      </c>
      <c r="GX61" s="424">
        <f t="shared" si="1156"/>
        <v>0</v>
      </c>
      <c r="GZ61" s="424"/>
      <c r="HA61" s="430">
        <v>0.105</v>
      </c>
      <c r="HB61" s="424">
        <f t="shared" si="1219"/>
        <v>210</v>
      </c>
      <c r="HC61" s="433">
        <f t="shared" si="1245"/>
        <v>0.1</v>
      </c>
      <c r="HD61" s="424">
        <f t="shared" si="1220"/>
        <v>21</v>
      </c>
      <c r="HE61" s="423">
        <f t="shared" si="1221"/>
        <v>53</v>
      </c>
      <c r="HF61" s="424">
        <f t="shared" si="1222"/>
        <v>1113</v>
      </c>
      <c r="HG61" s="431">
        <f t="shared" si="1223"/>
        <v>0.67100000000000004</v>
      </c>
      <c r="HH61" s="424">
        <f t="shared" si="1157"/>
        <v>746.82300000000009</v>
      </c>
      <c r="HI61" s="424">
        <f t="shared" si="1246"/>
        <v>0</v>
      </c>
      <c r="HJ61" s="424">
        <f t="shared" si="1246"/>
        <v>738.72772189453156</v>
      </c>
      <c r="HK61" s="424">
        <f t="shared" si="1158"/>
        <v>0</v>
      </c>
      <c r="HL61" s="423">
        <f t="shared" si="1159"/>
        <v>6</v>
      </c>
      <c r="HM61" s="424">
        <f t="shared" si="1160"/>
        <v>0</v>
      </c>
      <c r="HN61" s="432">
        <f t="shared" si="1161"/>
        <v>4480.9380000000001</v>
      </c>
      <c r="HO61" s="424">
        <f t="shared" si="1162"/>
        <v>0</v>
      </c>
      <c r="HP61" s="423">
        <f t="shared" si="1163"/>
        <v>24</v>
      </c>
      <c r="HQ61" s="424">
        <f t="shared" si="1164"/>
        <v>0</v>
      </c>
      <c r="HR61" s="432">
        <f t="shared" si="1165"/>
        <v>0</v>
      </c>
      <c r="HS61" s="424">
        <f t="shared" si="1166"/>
        <v>0</v>
      </c>
      <c r="HT61" s="423">
        <f t="shared" si="1167"/>
        <v>288</v>
      </c>
      <c r="HU61" s="424">
        <f t="shared" si="1168"/>
        <v>0</v>
      </c>
      <c r="HV61" s="432">
        <f t="shared" si="1169"/>
        <v>0</v>
      </c>
      <c r="HW61" s="424">
        <f t="shared" si="1170"/>
        <v>0</v>
      </c>
      <c r="HY61" s="424"/>
      <c r="HZ61" s="430">
        <v>0.105</v>
      </c>
      <c r="IA61" s="424">
        <f t="shared" si="1224"/>
        <v>210</v>
      </c>
      <c r="IB61" s="433">
        <f t="shared" si="1247"/>
        <v>0.1</v>
      </c>
      <c r="IC61" s="424">
        <f t="shared" si="1225"/>
        <v>21</v>
      </c>
      <c r="ID61" s="423">
        <f t="shared" si="1226"/>
        <v>53</v>
      </c>
      <c r="IE61" s="424">
        <f t="shared" si="1227"/>
        <v>1113</v>
      </c>
      <c r="IF61" s="431">
        <f t="shared" si="1171"/>
        <v>0.67100000000000004</v>
      </c>
      <c r="IG61" s="424">
        <f t="shared" si="1172"/>
        <v>746.82300000000009</v>
      </c>
      <c r="IH61" s="424">
        <f t="shared" si="1248"/>
        <v>0</v>
      </c>
      <c r="II61" s="424">
        <f t="shared" si="1248"/>
        <v>775.66410798925813</v>
      </c>
      <c r="IJ61" s="424">
        <f t="shared" si="1173"/>
        <v>0</v>
      </c>
      <c r="IK61" s="423">
        <f t="shared" si="1174"/>
        <v>6</v>
      </c>
      <c r="IL61" s="424">
        <f t="shared" si="1175"/>
        <v>0</v>
      </c>
      <c r="IM61" s="432">
        <f t="shared" si="1176"/>
        <v>4480.9380000000001</v>
      </c>
      <c r="IN61" s="424">
        <f t="shared" si="1177"/>
        <v>0</v>
      </c>
      <c r="IO61" s="423">
        <f t="shared" si="1178"/>
        <v>24</v>
      </c>
      <c r="IP61" s="424">
        <f t="shared" si="1179"/>
        <v>0</v>
      </c>
      <c r="IQ61" s="432">
        <f t="shared" si="1180"/>
        <v>0</v>
      </c>
      <c r="IR61" s="424">
        <f t="shared" si="1181"/>
        <v>0</v>
      </c>
      <c r="IS61" s="423">
        <f t="shared" si="1182"/>
        <v>288</v>
      </c>
      <c r="IT61" s="424">
        <f t="shared" si="1183"/>
        <v>0</v>
      </c>
      <c r="IU61" s="432">
        <f t="shared" si="1184"/>
        <v>0</v>
      </c>
      <c r="IV61" s="424">
        <f t="shared" si="1185"/>
        <v>0</v>
      </c>
    </row>
    <row r="62" spans="2:256" x14ac:dyDescent="0.25">
      <c r="B62" s="422"/>
      <c r="C62" s="422"/>
      <c r="D62" s="422"/>
      <c r="E62" s="419" t="s">
        <v>148</v>
      </c>
      <c r="F62" s="423"/>
      <c r="G62" s="423"/>
      <c r="H62" s="424"/>
      <c r="I62" s="430">
        <v>7.0000000000000007E-2</v>
      </c>
      <c r="J62" s="424">
        <f t="shared" si="1186"/>
        <v>28.000000000000004</v>
      </c>
      <c r="K62" s="433">
        <f t="shared" si="1228"/>
        <v>0.1</v>
      </c>
      <c r="L62" s="424">
        <f t="shared" si="1187"/>
        <v>2.8000000000000007</v>
      </c>
      <c r="M62" s="423">
        <f t="shared" si="1188"/>
        <v>37</v>
      </c>
      <c r="N62" s="424">
        <f t="shared" si="1189"/>
        <v>103.60000000000002</v>
      </c>
      <c r="O62" s="431">
        <f>'Parameters and Summary'!E87</f>
        <v>0.72</v>
      </c>
      <c r="P62" s="424">
        <f t="shared" si="1039"/>
        <v>74.592000000000013</v>
      </c>
      <c r="Q62" s="424">
        <f t="shared" si="1229"/>
        <v>0</v>
      </c>
      <c r="R62" s="424">
        <f t="shared" si="1230"/>
        <v>500</v>
      </c>
      <c r="S62" s="424">
        <f t="shared" si="1040"/>
        <v>0</v>
      </c>
      <c r="T62" s="423">
        <f t="shared" si="1041"/>
        <v>6</v>
      </c>
      <c r="U62" s="424">
        <f t="shared" si="1042"/>
        <v>0</v>
      </c>
      <c r="V62" s="432">
        <f t="shared" si="1043"/>
        <v>447.55200000000008</v>
      </c>
      <c r="W62" s="424">
        <f t="shared" si="1044"/>
        <v>0</v>
      </c>
      <c r="X62" s="423">
        <f t="shared" si="1045"/>
        <v>24</v>
      </c>
      <c r="Y62" s="424">
        <f t="shared" si="1046"/>
        <v>0</v>
      </c>
      <c r="Z62" s="432">
        <f t="shared" si="1047"/>
        <v>0</v>
      </c>
      <c r="AA62" s="424">
        <f t="shared" si="1048"/>
        <v>0</v>
      </c>
      <c r="AB62" s="423">
        <f t="shared" si="1049"/>
        <v>288</v>
      </c>
      <c r="AC62" s="424">
        <f t="shared" si="1050"/>
        <v>0</v>
      </c>
      <c r="AD62" s="432">
        <f t="shared" si="1051"/>
        <v>0</v>
      </c>
      <c r="AE62" s="424">
        <f t="shared" si="1052"/>
        <v>0</v>
      </c>
      <c r="AG62" s="424"/>
      <c r="AH62" s="430">
        <v>7.0000000000000007E-2</v>
      </c>
      <c r="AI62" s="424">
        <f t="shared" si="1190"/>
        <v>56.000000000000007</v>
      </c>
      <c r="AJ62" s="433">
        <f t="shared" si="1231"/>
        <v>0.1</v>
      </c>
      <c r="AK62" s="424">
        <f t="shared" si="1191"/>
        <v>5.6000000000000014</v>
      </c>
      <c r="AL62" s="423">
        <f t="shared" si="1192"/>
        <v>37</v>
      </c>
      <c r="AM62" s="424">
        <f t="shared" si="1193"/>
        <v>207.20000000000005</v>
      </c>
      <c r="AN62" s="431">
        <f t="shared" si="1053"/>
        <v>0.72</v>
      </c>
      <c r="AO62" s="424">
        <f t="shared" si="1054"/>
        <v>149.18400000000003</v>
      </c>
      <c r="AP62" s="424">
        <f t="shared" si="1232"/>
        <v>0</v>
      </c>
      <c r="AQ62" s="424">
        <f t="shared" si="1232"/>
        <v>525</v>
      </c>
      <c r="AR62" s="424">
        <f t="shared" si="1055"/>
        <v>0</v>
      </c>
      <c r="AS62" s="423">
        <f t="shared" si="1056"/>
        <v>6</v>
      </c>
      <c r="AT62" s="424">
        <f t="shared" si="1057"/>
        <v>0</v>
      </c>
      <c r="AU62" s="432">
        <f t="shared" si="1058"/>
        <v>895.10400000000016</v>
      </c>
      <c r="AV62" s="424">
        <f t="shared" si="1059"/>
        <v>0</v>
      </c>
      <c r="AW62" s="423">
        <f t="shared" si="1060"/>
        <v>24</v>
      </c>
      <c r="AX62" s="424">
        <f t="shared" si="1061"/>
        <v>0</v>
      </c>
      <c r="AY62" s="432">
        <f t="shared" si="1062"/>
        <v>0</v>
      </c>
      <c r="AZ62" s="424">
        <f t="shared" si="1063"/>
        <v>0</v>
      </c>
      <c r="BA62" s="423">
        <f t="shared" si="1064"/>
        <v>288</v>
      </c>
      <c r="BB62" s="424">
        <f t="shared" si="1065"/>
        <v>0</v>
      </c>
      <c r="BC62" s="432">
        <f t="shared" si="1066"/>
        <v>0</v>
      </c>
      <c r="BD62" s="424">
        <f t="shared" si="1067"/>
        <v>0</v>
      </c>
      <c r="BF62" s="424"/>
      <c r="BG62" s="430">
        <v>7.0000000000000007E-2</v>
      </c>
      <c r="BH62" s="424">
        <f t="shared" si="1194"/>
        <v>84.000000000000014</v>
      </c>
      <c r="BI62" s="433">
        <f t="shared" si="1233"/>
        <v>0.1</v>
      </c>
      <c r="BJ62" s="424">
        <f t="shared" si="1195"/>
        <v>8.4000000000000021</v>
      </c>
      <c r="BK62" s="423">
        <f t="shared" si="1196"/>
        <v>53</v>
      </c>
      <c r="BL62" s="424">
        <f t="shared" si="1197"/>
        <v>445.2000000000001</v>
      </c>
      <c r="BM62" s="431">
        <f t="shared" si="1068"/>
        <v>0.72</v>
      </c>
      <c r="BN62" s="424">
        <f t="shared" si="1069"/>
        <v>320.54400000000004</v>
      </c>
      <c r="BO62" s="424">
        <f t="shared" si="1234"/>
        <v>0</v>
      </c>
      <c r="BP62" s="424">
        <f t="shared" si="1234"/>
        <v>551.25</v>
      </c>
      <c r="BQ62" s="424">
        <f t="shared" si="1070"/>
        <v>0</v>
      </c>
      <c r="BR62" s="423">
        <f t="shared" si="1071"/>
        <v>6</v>
      </c>
      <c r="BS62" s="424">
        <f t="shared" si="1072"/>
        <v>0</v>
      </c>
      <c r="BT62" s="432">
        <f t="shared" si="1073"/>
        <v>1923.2640000000001</v>
      </c>
      <c r="BU62" s="424">
        <f t="shared" si="1074"/>
        <v>0</v>
      </c>
      <c r="BV62" s="423">
        <f t="shared" si="1075"/>
        <v>24</v>
      </c>
      <c r="BW62" s="424">
        <f t="shared" si="1076"/>
        <v>0</v>
      </c>
      <c r="BX62" s="432">
        <f t="shared" si="1077"/>
        <v>0</v>
      </c>
      <c r="BY62" s="424">
        <f t="shared" si="1078"/>
        <v>0</v>
      </c>
      <c r="BZ62" s="423">
        <f t="shared" si="1079"/>
        <v>288</v>
      </c>
      <c r="CA62" s="424">
        <f t="shared" si="1080"/>
        <v>0</v>
      </c>
      <c r="CB62" s="432">
        <f t="shared" si="1081"/>
        <v>0</v>
      </c>
      <c r="CC62" s="424">
        <f t="shared" si="1082"/>
        <v>0</v>
      </c>
      <c r="CE62" s="424"/>
      <c r="CF62" s="430">
        <v>7.0000000000000007E-2</v>
      </c>
      <c r="CG62" s="424">
        <f t="shared" si="1198"/>
        <v>112.00000000000001</v>
      </c>
      <c r="CH62" s="433">
        <f t="shared" si="1235"/>
        <v>0.1</v>
      </c>
      <c r="CI62" s="424">
        <f t="shared" si="1199"/>
        <v>11.200000000000003</v>
      </c>
      <c r="CJ62" s="423">
        <f t="shared" si="1200"/>
        <v>53</v>
      </c>
      <c r="CK62" s="424">
        <f t="shared" si="1201"/>
        <v>593.60000000000014</v>
      </c>
      <c r="CL62" s="431">
        <f t="shared" si="1083"/>
        <v>0.72</v>
      </c>
      <c r="CM62" s="424">
        <f t="shared" si="1084"/>
        <v>427.39200000000011</v>
      </c>
      <c r="CN62" s="424">
        <f t="shared" si="1236"/>
        <v>0</v>
      </c>
      <c r="CO62" s="424">
        <f t="shared" si="1236"/>
        <v>578.8125</v>
      </c>
      <c r="CP62" s="424">
        <f t="shared" si="1085"/>
        <v>0</v>
      </c>
      <c r="CQ62" s="423">
        <f t="shared" si="1086"/>
        <v>6</v>
      </c>
      <c r="CR62" s="424">
        <f t="shared" si="1087"/>
        <v>0</v>
      </c>
      <c r="CS62" s="432">
        <f t="shared" si="1088"/>
        <v>2564.3520000000008</v>
      </c>
      <c r="CT62" s="424">
        <f t="shared" si="1089"/>
        <v>0</v>
      </c>
      <c r="CU62" s="423">
        <f t="shared" si="1090"/>
        <v>24</v>
      </c>
      <c r="CV62" s="424">
        <f t="shared" si="1091"/>
        <v>0</v>
      </c>
      <c r="CW62" s="432">
        <f t="shared" si="1092"/>
        <v>0</v>
      </c>
      <c r="CX62" s="424">
        <f t="shared" si="1093"/>
        <v>0</v>
      </c>
      <c r="CY62" s="423">
        <f t="shared" si="1094"/>
        <v>288</v>
      </c>
      <c r="CZ62" s="424">
        <f t="shared" si="1095"/>
        <v>0</v>
      </c>
      <c r="DA62" s="432">
        <f t="shared" si="1096"/>
        <v>0</v>
      </c>
      <c r="DB62" s="424">
        <f t="shared" si="1097"/>
        <v>0</v>
      </c>
      <c r="DD62" s="424"/>
      <c r="DE62" s="430">
        <v>7.0000000000000007E-2</v>
      </c>
      <c r="DF62" s="424">
        <f t="shared" si="1202"/>
        <v>140</v>
      </c>
      <c r="DG62" s="433">
        <f t="shared" si="1237"/>
        <v>0.1</v>
      </c>
      <c r="DH62" s="424">
        <f t="shared" si="1203"/>
        <v>14</v>
      </c>
      <c r="DI62" s="423">
        <f t="shared" si="1204"/>
        <v>53</v>
      </c>
      <c r="DJ62" s="424">
        <f t="shared" si="1205"/>
        <v>742</v>
      </c>
      <c r="DK62" s="431">
        <f t="shared" si="1098"/>
        <v>0.72</v>
      </c>
      <c r="DL62" s="424">
        <f t="shared" si="1099"/>
        <v>534.24</v>
      </c>
      <c r="DM62" s="424">
        <f t="shared" si="1238"/>
        <v>0</v>
      </c>
      <c r="DN62" s="424">
        <f t="shared" si="1238"/>
        <v>607.75312500000007</v>
      </c>
      <c r="DO62" s="424">
        <f t="shared" si="1100"/>
        <v>0</v>
      </c>
      <c r="DP62" s="423">
        <f t="shared" si="1101"/>
        <v>6</v>
      </c>
      <c r="DQ62" s="424">
        <f t="shared" si="1102"/>
        <v>0</v>
      </c>
      <c r="DR62" s="432">
        <f t="shared" si="1103"/>
        <v>3205.44</v>
      </c>
      <c r="DS62" s="424">
        <f t="shared" si="1104"/>
        <v>0</v>
      </c>
      <c r="DT62" s="423">
        <f t="shared" si="1105"/>
        <v>24</v>
      </c>
      <c r="DU62" s="424">
        <f t="shared" si="1106"/>
        <v>0</v>
      </c>
      <c r="DV62" s="432">
        <f t="shared" si="1107"/>
        <v>0</v>
      </c>
      <c r="DW62" s="424">
        <f t="shared" si="1108"/>
        <v>0</v>
      </c>
      <c r="DX62" s="423">
        <f t="shared" si="1109"/>
        <v>288</v>
      </c>
      <c r="DY62" s="424">
        <f t="shared" si="1110"/>
        <v>0</v>
      </c>
      <c r="DZ62" s="432">
        <f t="shared" si="1111"/>
        <v>0</v>
      </c>
      <c r="EA62" s="424">
        <f t="shared" si="1112"/>
        <v>0</v>
      </c>
      <c r="EC62" s="424"/>
      <c r="ED62" s="430">
        <v>7.0000000000000007E-2</v>
      </c>
      <c r="EE62" s="424">
        <f t="shared" si="1206"/>
        <v>140</v>
      </c>
      <c r="EF62" s="433">
        <f t="shared" si="1239"/>
        <v>0.1</v>
      </c>
      <c r="EG62" s="424">
        <f t="shared" si="1207"/>
        <v>14</v>
      </c>
      <c r="EH62" s="423">
        <f t="shared" si="1208"/>
        <v>53</v>
      </c>
      <c r="EI62" s="424">
        <f t="shared" si="1209"/>
        <v>742</v>
      </c>
      <c r="EJ62" s="431">
        <f t="shared" si="1113"/>
        <v>0.72</v>
      </c>
      <c r="EK62" s="424">
        <f t="shared" si="1114"/>
        <v>534.24</v>
      </c>
      <c r="EL62" s="424">
        <f t="shared" si="1240"/>
        <v>0</v>
      </c>
      <c r="EM62" s="424">
        <f t="shared" si="1240"/>
        <v>638.14078125000015</v>
      </c>
      <c r="EN62" s="424">
        <f t="shared" si="1115"/>
        <v>0</v>
      </c>
      <c r="EO62" s="423">
        <f t="shared" si="1116"/>
        <v>6</v>
      </c>
      <c r="EP62" s="424">
        <f t="shared" si="1117"/>
        <v>0</v>
      </c>
      <c r="EQ62" s="432">
        <f t="shared" si="1118"/>
        <v>3205.44</v>
      </c>
      <c r="ER62" s="424">
        <f t="shared" si="1119"/>
        <v>0</v>
      </c>
      <c r="ES62" s="423">
        <f t="shared" si="1120"/>
        <v>24</v>
      </c>
      <c r="ET62" s="424">
        <f t="shared" si="1121"/>
        <v>0</v>
      </c>
      <c r="EU62" s="432">
        <f t="shared" si="1122"/>
        <v>0</v>
      </c>
      <c r="EV62" s="424">
        <f t="shared" si="1123"/>
        <v>0</v>
      </c>
      <c r="EW62" s="423">
        <f t="shared" si="1124"/>
        <v>288</v>
      </c>
      <c r="EX62" s="424">
        <f t="shared" si="1125"/>
        <v>0</v>
      </c>
      <c r="EY62" s="432">
        <f t="shared" si="1126"/>
        <v>0</v>
      </c>
      <c r="EZ62" s="424">
        <f t="shared" si="1127"/>
        <v>0</v>
      </c>
      <c r="FB62" s="424"/>
      <c r="FC62" s="430">
        <v>7.0000000000000007E-2</v>
      </c>
      <c r="FD62" s="424">
        <f t="shared" si="1210"/>
        <v>140</v>
      </c>
      <c r="FE62" s="433">
        <f t="shared" si="1241"/>
        <v>0.1</v>
      </c>
      <c r="FF62" s="424">
        <f t="shared" si="1211"/>
        <v>14</v>
      </c>
      <c r="FG62" s="423">
        <f t="shared" si="1212"/>
        <v>53</v>
      </c>
      <c r="FH62" s="424">
        <f t="shared" si="1213"/>
        <v>742</v>
      </c>
      <c r="FI62" s="431">
        <f t="shared" si="1214"/>
        <v>0.72</v>
      </c>
      <c r="FJ62" s="424">
        <f t="shared" si="1128"/>
        <v>534.24</v>
      </c>
      <c r="FK62" s="424">
        <f t="shared" si="1242"/>
        <v>0</v>
      </c>
      <c r="FL62" s="424">
        <f t="shared" si="1242"/>
        <v>670.04782031250022</v>
      </c>
      <c r="FM62" s="424">
        <f t="shared" si="1129"/>
        <v>0</v>
      </c>
      <c r="FN62" s="423">
        <f t="shared" si="1130"/>
        <v>6</v>
      </c>
      <c r="FO62" s="424">
        <f t="shared" si="1131"/>
        <v>0</v>
      </c>
      <c r="FP62" s="432">
        <f t="shared" si="1132"/>
        <v>3205.44</v>
      </c>
      <c r="FQ62" s="424">
        <f t="shared" si="1133"/>
        <v>0</v>
      </c>
      <c r="FR62" s="423">
        <f t="shared" si="1134"/>
        <v>24</v>
      </c>
      <c r="FS62" s="424">
        <f t="shared" si="1135"/>
        <v>0</v>
      </c>
      <c r="FT62" s="432">
        <f t="shared" si="1136"/>
        <v>0</v>
      </c>
      <c r="FU62" s="424">
        <f t="shared" si="1137"/>
        <v>0</v>
      </c>
      <c r="FV62" s="423">
        <f t="shared" si="1138"/>
        <v>288</v>
      </c>
      <c r="FW62" s="424">
        <f t="shared" si="1139"/>
        <v>0</v>
      </c>
      <c r="FX62" s="432">
        <f t="shared" si="1140"/>
        <v>0</v>
      </c>
      <c r="FY62" s="424">
        <f t="shared" si="1141"/>
        <v>0</v>
      </c>
      <c r="GA62" s="424"/>
      <c r="GB62" s="430">
        <v>7.0000000000000007E-2</v>
      </c>
      <c r="GC62" s="424">
        <f t="shared" si="1215"/>
        <v>140</v>
      </c>
      <c r="GD62" s="433">
        <f t="shared" si="1243"/>
        <v>0.1</v>
      </c>
      <c r="GE62" s="424">
        <f t="shared" si="1216"/>
        <v>14</v>
      </c>
      <c r="GF62" s="423">
        <f t="shared" si="1217"/>
        <v>53</v>
      </c>
      <c r="GG62" s="424">
        <f t="shared" si="1218"/>
        <v>742</v>
      </c>
      <c r="GH62" s="431">
        <f t="shared" si="1142"/>
        <v>0.72</v>
      </c>
      <c r="GI62" s="424">
        <f t="shared" si="1143"/>
        <v>534.24</v>
      </c>
      <c r="GJ62" s="424">
        <f t="shared" si="1244"/>
        <v>0</v>
      </c>
      <c r="GK62" s="424">
        <f t="shared" si="1244"/>
        <v>703.55021132812522</v>
      </c>
      <c r="GL62" s="424">
        <f t="shared" si="1144"/>
        <v>0</v>
      </c>
      <c r="GM62" s="423">
        <f t="shared" si="1145"/>
        <v>6</v>
      </c>
      <c r="GN62" s="424">
        <f t="shared" si="1146"/>
        <v>0</v>
      </c>
      <c r="GO62" s="432">
        <f t="shared" si="1147"/>
        <v>3205.44</v>
      </c>
      <c r="GP62" s="424">
        <f t="shared" si="1148"/>
        <v>0</v>
      </c>
      <c r="GQ62" s="423">
        <f t="shared" si="1149"/>
        <v>24</v>
      </c>
      <c r="GR62" s="424">
        <f t="shared" si="1150"/>
        <v>0</v>
      </c>
      <c r="GS62" s="432">
        <f t="shared" si="1151"/>
        <v>0</v>
      </c>
      <c r="GT62" s="424">
        <f t="shared" si="1152"/>
        <v>0</v>
      </c>
      <c r="GU62" s="423">
        <f t="shared" si="1153"/>
        <v>288</v>
      </c>
      <c r="GV62" s="424">
        <f t="shared" si="1154"/>
        <v>0</v>
      </c>
      <c r="GW62" s="432">
        <f t="shared" si="1155"/>
        <v>0</v>
      </c>
      <c r="GX62" s="424">
        <f t="shared" si="1156"/>
        <v>0</v>
      </c>
      <c r="GZ62" s="424"/>
      <c r="HA62" s="430">
        <v>7.0000000000000007E-2</v>
      </c>
      <c r="HB62" s="424">
        <f t="shared" si="1219"/>
        <v>140</v>
      </c>
      <c r="HC62" s="433">
        <f t="shared" si="1245"/>
        <v>0.1</v>
      </c>
      <c r="HD62" s="424">
        <f t="shared" si="1220"/>
        <v>14</v>
      </c>
      <c r="HE62" s="423">
        <f t="shared" si="1221"/>
        <v>53</v>
      </c>
      <c r="HF62" s="424">
        <f t="shared" si="1222"/>
        <v>742</v>
      </c>
      <c r="HG62" s="431">
        <f t="shared" si="1223"/>
        <v>0.72</v>
      </c>
      <c r="HH62" s="424">
        <f t="shared" si="1157"/>
        <v>534.24</v>
      </c>
      <c r="HI62" s="424">
        <f t="shared" si="1246"/>
        <v>0</v>
      </c>
      <c r="HJ62" s="424">
        <f t="shared" si="1246"/>
        <v>738.72772189453156</v>
      </c>
      <c r="HK62" s="424">
        <f t="shared" si="1158"/>
        <v>0</v>
      </c>
      <c r="HL62" s="423">
        <f t="shared" si="1159"/>
        <v>6</v>
      </c>
      <c r="HM62" s="424">
        <f t="shared" si="1160"/>
        <v>0</v>
      </c>
      <c r="HN62" s="432">
        <f t="shared" si="1161"/>
        <v>3205.44</v>
      </c>
      <c r="HO62" s="424">
        <f t="shared" si="1162"/>
        <v>0</v>
      </c>
      <c r="HP62" s="423">
        <f t="shared" si="1163"/>
        <v>24</v>
      </c>
      <c r="HQ62" s="424">
        <f t="shared" si="1164"/>
        <v>0</v>
      </c>
      <c r="HR62" s="432">
        <f t="shared" si="1165"/>
        <v>0</v>
      </c>
      <c r="HS62" s="424">
        <f t="shared" si="1166"/>
        <v>0</v>
      </c>
      <c r="HT62" s="423">
        <f t="shared" si="1167"/>
        <v>288</v>
      </c>
      <c r="HU62" s="424">
        <f t="shared" si="1168"/>
        <v>0</v>
      </c>
      <c r="HV62" s="432">
        <f t="shared" si="1169"/>
        <v>0</v>
      </c>
      <c r="HW62" s="424">
        <f t="shared" si="1170"/>
        <v>0</v>
      </c>
      <c r="HY62" s="424"/>
      <c r="HZ62" s="430">
        <v>7.0000000000000007E-2</v>
      </c>
      <c r="IA62" s="424">
        <f t="shared" si="1224"/>
        <v>140</v>
      </c>
      <c r="IB62" s="433">
        <f t="shared" si="1247"/>
        <v>0.1</v>
      </c>
      <c r="IC62" s="424">
        <f t="shared" si="1225"/>
        <v>14</v>
      </c>
      <c r="ID62" s="423">
        <f t="shared" si="1226"/>
        <v>53</v>
      </c>
      <c r="IE62" s="424">
        <f t="shared" si="1227"/>
        <v>742</v>
      </c>
      <c r="IF62" s="431">
        <f t="shared" si="1171"/>
        <v>0.72</v>
      </c>
      <c r="IG62" s="424">
        <f t="shared" si="1172"/>
        <v>534.24</v>
      </c>
      <c r="IH62" s="424">
        <f t="shared" si="1248"/>
        <v>0</v>
      </c>
      <c r="II62" s="424">
        <f t="shared" si="1248"/>
        <v>775.66410798925813</v>
      </c>
      <c r="IJ62" s="424">
        <f t="shared" si="1173"/>
        <v>0</v>
      </c>
      <c r="IK62" s="423">
        <f t="shared" si="1174"/>
        <v>6</v>
      </c>
      <c r="IL62" s="424">
        <f t="shared" si="1175"/>
        <v>0</v>
      </c>
      <c r="IM62" s="432">
        <f t="shared" si="1176"/>
        <v>3205.44</v>
      </c>
      <c r="IN62" s="424">
        <f t="shared" si="1177"/>
        <v>0</v>
      </c>
      <c r="IO62" s="423">
        <f t="shared" si="1178"/>
        <v>24</v>
      </c>
      <c r="IP62" s="424">
        <f t="shared" si="1179"/>
        <v>0</v>
      </c>
      <c r="IQ62" s="432">
        <f t="shared" si="1180"/>
        <v>0</v>
      </c>
      <c r="IR62" s="424">
        <f t="shared" si="1181"/>
        <v>0</v>
      </c>
      <c r="IS62" s="423">
        <f t="shared" si="1182"/>
        <v>288</v>
      </c>
      <c r="IT62" s="424">
        <f t="shared" si="1183"/>
        <v>0</v>
      </c>
      <c r="IU62" s="432">
        <f t="shared" si="1184"/>
        <v>0</v>
      </c>
      <c r="IV62" s="424">
        <f t="shared" si="1185"/>
        <v>0</v>
      </c>
    </row>
    <row r="63" spans="2:256" x14ac:dyDescent="0.25">
      <c r="B63" s="422"/>
      <c r="C63" s="422"/>
      <c r="D63" s="422"/>
      <c r="E63" s="419"/>
      <c r="F63" s="423"/>
      <c r="G63" s="423"/>
      <c r="H63" s="424"/>
      <c r="I63" s="430"/>
      <c r="J63" s="424"/>
      <c r="K63" s="433"/>
      <c r="L63" s="424"/>
      <c r="M63" s="423"/>
      <c r="N63" s="424"/>
      <c r="O63" s="431"/>
      <c r="P63" s="424"/>
      <c r="Q63" s="424"/>
      <c r="R63" s="424"/>
      <c r="S63" s="424"/>
      <c r="T63" s="423"/>
      <c r="U63" s="424"/>
      <c r="V63" s="432"/>
      <c r="W63" s="424"/>
      <c r="X63" s="423"/>
      <c r="Y63" s="424"/>
      <c r="Z63" s="432"/>
      <c r="AA63" s="424"/>
      <c r="AB63" s="423"/>
      <c r="AC63" s="424"/>
      <c r="AD63" s="432"/>
      <c r="AE63" s="424"/>
      <c r="AG63" s="424"/>
      <c r="AH63" s="430"/>
      <c r="AI63" s="424"/>
      <c r="AJ63" s="433"/>
      <c r="AK63" s="424"/>
      <c r="AL63" s="423"/>
      <c r="AM63" s="424"/>
      <c r="AN63" s="431"/>
      <c r="AO63" s="424"/>
      <c r="AP63" s="424"/>
      <c r="AQ63" s="424"/>
      <c r="AR63" s="424"/>
      <c r="AS63" s="423"/>
      <c r="AT63" s="424"/>
      <c r="AU63" s="432"/>
      <c r="AV63" s="424"/>
      <c r="AW63" s="423"/>
      <c r="AX63" s="424"/>
      <c r="AY63" s="432"/>
      <c r="AZ63" s="424"/>
      <c r="BA63" s="423"/>
      <c r="BB63" s="424"/>
      <c r="BC63" s="432"/>
      <c r="BD63" s="424"/>
      <c r="BF63" s="424"/>
      <c r="BG63" s="430"/>
      <c r="BH63" s="424"/>
      <c r="BI63" s="433"/>
      <c r="BJ63" s="424"/>
      <c r="BK63" s="423"/>
      <c r="BL63" s="424"/>
      <c r="BM63" s="431"/>
      <c r="BN63" s="424"/>
      <c r="BO63" s="424"/>
      <c r="BP63" s="424"/>
      <c r="BQ63" s="424"/>
      <c r="BR63" s="423"/>
      <c r="BS63" s="424"/>
      <c r="BT63" s="432"/>
      <c r="BU63" s="424"/>
      <c r="BV63" s="423"/>
      <c r="BW63" s="424"/>
      <c r="BX63" s="432"/>
      <c r="BY63" s="424"/>
      <c r="BZ63" s="423"/>
      <c r="CA63" s="424"/>
      <c r="CB63" s="432"/>
      <c r="CC63" s="424"/>
      <c r="CE63" s="424"/>
      <c r="CF63" s="430"/>
      <c r="CG63" s="424"/>
      <c r="CH63" s="433"/>
      <c r="CI63" s="424"/>
      <c r="CJ63" s="423"/>
      <c r="CK63" s="424"/>
      <c r="CL63" s="431"/>
      <c r="CM63" s="424"/>
      <c r="CN63" s="424"/>
      <c r="CO63" s="424"/>
      <c r="CP63" s="424"/>
      <c r="CQ63" s="423"/>
      <c r="CR63" s="424"/>
      <c r="CS63" s="432"/>
      <c r="CT63" s="424"/>
      <c r="CU63" s="423"/>
      <c r="CV63" s="424"/>
      <c r="CW63" s="432"/>
      <c r="CX63" s="424"/>
      <c r="CY63" s="423"/>
      <c r="CZ63" s="424"/>
      <c r="DA63" s="432"/>
      <c r="DB63" s="424"/>
      <c r="DD63" s="424"/>
      <c r="DE63" s="430"/>
      <c r="DF63" s="424"/>
      <c r="DG63" s="433"/>
      <c r="DH63" s="424"/>
      <c r="DI63" s="423"/>
      <c r="DJ63" s="424"/>
      <c r="DK63" s="431"/>
      <c r="DL63" s="424"/>
      <c r="DM63" s="424"/>
      <c r="DN63" s="424"/>
      <c r="DO63" s="424"/>
      <c r="DP63" s="423"/>
      <c r="DQ63" s="424"/>
      <c r="DR63" s="432"/>
      <c r="DS63" s="424"/>
      <c r="DT63" s="423"/>
      <c r="DU63" s="424"/>
      <c r="DV63" s="432"/>
      <c r="DW63" s="424"/>
      <c r="DX63" s="423"/>
      <c r="DY63" s="424"/>
      <c r="DZ63" s="432"/>
      <c r="EA63" s="424"/>
      <c r="EC63" s="424"/>
      <c r="ED63" s="430"/>
      <c r="EE63" s="424"/>
      <c r="EF63" s="433"/>
      <c r="EG63" s="424"/>
      <c r="EH63" s="423"/>
      <c r="EI63" s="424"/>
      <c r="EJ63" s="431"/>
      <c r="EK63" s="424"/>
      <c r="EL63" s="424"/>
      <c r="EM63" s="424"/>
      <c r="EN63" s="424"/>
      <c r="EO63" s="423"/>
      <c r="EP63" s="424"/>
      <c r="EQ63" s="432"/>
      <c r="ER63" s="424"/>
      <c r="ES63" s="423"/>
      <c r="ET63" s="424"/>
      <c r="EU63" s="432"/>
      <c r="EV63" s="424"/>
      <c r="EW63" s="423"/>
      <c r="EX63" s="424"/>
      <c r="EY63" s="432"/>
      <c r="EZ63" s="424"/>
      <c r="FB63" s="424"/>
      <c r="FC63" s="430"/>
      <c r="FD63" s="424"/>
      <c r="FE63" s="433"/>
      <c r="FF63" s="424"/>
      <c r="FG63" s="423"/>
      <c r="FH63" s="424"/>
      <c r="FI63" s="431"/>
      <c r="FJ63" s="424"/>
      <c r="FK63" s="424"/>
      <c r="FL63" s="424"/>
      <c r="FM63" s="424"/>
      <c r="FN63" s="423"/>
      <c r="FO63" s="424"/>
      <c r="FP63" s="432"/>
      <c r="FQ63" s="424"/>
      <c r="FR63" s="423"/>
      <c r="FS63" s="424"/>
      <c r="FT63" s="432"/>
      <c r="FU63" s="424"/>
      <c r="FV63" s="423"/>
      <c r="FW63" s="424"/>
      <c r="FX63" s="432"/>
      <c r="FY63" s="424"/>
      <c r="GA63" s="424"/>
      <c r="GB63" s="430"/>
      <c r="GC63" s="424"/>
      <c r="GD63" s="433"/>
      <c r="GE63" s="424"/>
      <c r="GF63" s="423"/>
      <c r="GG63" s="424"/>
      <c r="GH63" s="431"/>
      <c r="GI63" s="424"/>
      <c r="GJ63" s="424"/>
      <c r="GK63" s="424"/>
      <c r="GL63" s="424"/>
      <c r="GM63" s="423"/>
      <c r="GN63" s="424"/>
      <c r="GO63" s="432"/>
      <c r="GP63" s="424"/>
      <c r="GQ63" s="423"/>
      <c r="GR63" s="424"/>
      <c r="GS63" s="432"/>
      <c r="GT63" s="424"/>
      <c r="GU63" s="423"/>
      <c r="GV63" s="424"/>
      <c r="GW63" s="432"/>
      <c r="GX63" s="424"/>
      <c r="GZ63" s="424"/>
      <c r="HA63" s="430"/>
      <c r="HB63" s="424"/>
      <c r="HC63" s="433"/>
      <c r="HD63" s="424"/>
      <c r="HE63" s="423"/>
      <c r="HF63" s="424"/>
      <c r="HG63" s="431"/>
      <c r="HH63" s="424"/>
      <c r="HI63" s="424"/>
      <c r="HJ63" s="424"/>
      <c r="HK63" s="424"/>
      <c r="HL63" s="423"/>
      <c r="HM63" s="424"/>
      <c r="HN63" s="432"/>
      <c r="HO63" s="424"/>
      <c r="HP63" s="423"/>
      <c r="HQ63" s="424"/>
      <c r="HR63" s="432"/>
      <c r="HS63" s="424"/>
      <c r="HT63" s="423"/>
      <c r="HU63" s="424"/>
      <c r="HV63" s="432"/>
      <c r="HW63" s="424"/>
      <c r="HY63" s="424"/>
      <c r="HZ63" s="430"/>
      <c r="IA63" s="424"/>
      <c r="IB63" s="433"/>
      <c r="IC63" s="424"/>
      <c r="ID63" s="423"/>
      <c r="IE63" s="424"/>
      <c r="IF63" s="431"/>
      <c r="IG63" s="424"/>
      <c r="IH63" s="424"/>
      <c r="II63" s="424"/>
      <c r="IJ63" s="424"/>
      <c r="IK63" s="423"/>
      <c r="IL63" s="424"/>
      <c r="IM63" s="432"/>
      <c r="IN63" s="424"/>
      <c r="IO63" s="423"/>
      <c r="IP63" s="424"/>
      <c r="IQ63" s="432"/>
      <c r="IR63" s="424"/>
      <c r="IS63" s="423"/>
      <c r="IT63" s="424"/>
      <c r="IU63" s="432"/>
      <c r="IV63" s="424"/>
    </row>
    <row r="64" spans="2:256" x14ac:dyDescent="0.25">
      <c r="B64" s="422"/>
      <c r="C64" s="422" t="s">
        <v>0</v>
      </c>
      <c r="D64" s="422"/>
      <c r="E64" s="419"/>
      <c r="F64" s="423"/>
      <c r="G64" s="423"/>
      <c r="H64" s="434">
        <f>H56+H49+H42</f>
        <v>1200</v>
      </c>
      <c r="I64" s="433"/>
      <c r="J64" s="434">
        <f>SUM(J43:J48)+SUM(J50:J55)+SUM(J57:J62)</f>
        <v>1200</v>
      </c>
      <c r="K64" s="435"/>
      <c r="L64" s="434">
        <f>SUM(L43:L48)+SUM(L50:L55)+SUM(L57:L62)</f>
        <v>740</v>
      </c>
      <c r="M64" s="423"/>
      <c r="N64" s="434">
        <f>SUM(N43:N48)+SUM(N50:N55)+SUM(N57:N62)</f>
        <v>27380</v>
      </c>
      <c r="O64" s="423"/>
      <c r="P64" s="423"/>
      <c r="Q64" s="434">
        <f>SUM(Q43:Q48)+SUM(Q50:Q55)+SUM(Q57:Q62)</f>
        <v>60</v>
      </c>
      <c r="R64" s="432"/>
      <c r="S64" s="434">
        <f>SUM(S42:S62)</f>
        <v>82209513.75</v>
      </c>
      <c r="T64" s="423"/>
      <c r="U64" s="434">
        <f>SUM(U43:U48)+SUM(U50:U55)+SUM(U57:U62)</f>
        <v>72</v>
      </c>
      <c r="V64" s="434">
        <f>SUM(V42:V62)</f>
        <v>112310.8434</v>
      </c>
      <c r="W64" s="434">
        <f>SUM(W42:W62)</f>
        <v>326308531.5</v>
      </c>
      <c r="X64" s="423"/>
      <c r="Y64" s="434">
        <f>SUM(Y43:Y48)+SUM(Y50:Y55)+SUM(Y57:Y62)</f>
        <v>72</v>
      </c>
      <c r="Z64" s="434">
        <f>SUM(Z42:Z62)</f>
        <v>2610468.2519999999</v>
      </c>
      <c r="AA64" s="434">
        <f>SUM(AA42:AA62)</f>
        <v>1305234126</v>
      </c>
      <c r="AB64" s="423"/>
      <c r="AC64" s="423"/>
      <c r="AD64" s="434">
        <f>SUM(AD42:AD62)</f>
        <v>31325619.023999996</v>
      </c>
      <c r="AE64" s="434">
        <f>SUM(AE42:AE62)</f>
        <v>15662809512</v>
      </c>
      <c r="AG64" s="434">
        <f>AG56+AG49+AG42</f>
        <v>2400</v>
      </c>
      <c r="AH64" s="433"/>
      <c r="AI64" s="434">
        <f>SUM(AI43:AI48)+SUM(AI50:AI55)+SUM(AI57:AI62)</f>
        <v>2400</v>
      </c>
      <c r="AJ64" s="435"/>
      <c r="AK64" s="434">
        <f>SUM(AK43:AK48)+SUM(AK50:AK55)+SUM(AK57:AK62)</f>
        <v>1480</v>
      </c>
      <c r="AL64" s="423"/>
      <c r="AM64" s="434">
        <f>SUM(AM43:AM48)+SUM(AM50:AM55)+SUM(AM57:AM62)</f>
        <v>54760</v>
      </c>
      <c r="AN64" s="423"/>
      <c r="AO64" s="423"/>
      <c r="AP64" s="434">
        <f>SUM(AP43:AP48)+SUM(AP50:AP55)+SUM(AP57:AP62)</f>
        <v>60</v>
      </c>
      <c r="AQ64" s="432"/>
      <c r="AR64" s="434">
        <f>SUM(AR42:AR62)</f>
        <v>98271987.975000009</v>
      </c>
      <c r="AS64" s="423"/>
      <c r="AT64" s="434">
        <f>SUM(AT43:AT48)+SUM(AT50:AT55)+SUM(AT57:AT62)</f>
        <v>72</v>
      </c>
      <c r="AU64" s="434">
        <f>SUM(AU42:AU62)</f>
        <v>224621.6868</v>
      </c>
      <c r="AV64" s="434">
        <f>SUM(AV42:AV62)</f>
        <v>685247916.14999998</v>
      </c>
      <c r="AW64" s="423"/>
      <c r="AX64" s="434">
        <f>SUM(AX43:AX48)+SUM(AX50:AX55)+SUM(AX57:AX62)</f>
        <v>72</v>
      </c>
      <c r="AY64" s="434">
        <f>SUM(AY42:AY62)</f>
        <v>5220936.5039999997</v>
      </c>
      <c r="AZ64" s="434">
        <f>SUM(AZ42:AZ62)</f>
        <v>2740991664.5999999</v>
      </c>
      <c r="BA64" s="423"/>
      <c r="BB64" s="423"/>
      <c r="BC64" s="434">
        <f>SUM(BC42:BC62)</f>
        <v>62651238.047999993</v>
      </c>
      <c r="BD64" s="434">
        <f>SUM(BD42:BD62)</f>
        <v>32891899975.200001</v>
      </c>
      <c r="BF64" s="434">
        <f>BF56+BF49+BF42</f>
        <v>3600</v>
      </c>
      <c r="BG64" s="433"/>
      <c r="BH64" s="434">
        <f>SUM(BH43:BH48)+SUM(BH50:BH55)+SUM(BH57:BH62)</f>
        <v>3600</v>
      </c>
      <c r="BI64" s="435"/>
      <c r="BJ64" s="434">
        <f>SUM(BJ43:BJ48)+SUM(BJ50:BJ55)+SUM(BJ57:BJ62)</f>
        <v>2220</v>
      </c>
      <c r="BK64" s="423"/>
      <c r="BL64" s="434">
        <f>SUM(BL43:BL48)+SUM(BL50:BL55)+SUM(BL57:BL62)</f>
        <v>117660</v>
      </c>
      <c r="BM64" s="423"/>
      <c r="BN64" s="423"/>
      <c r="BO64" s="434">
        <f>SUM(BO43:BO48)+SUM(BO50:BO55)+SUM(BO57:BO62)</f>
        <v>60</v>
      </c>
      <c r="BP64" s="432"/>
      <c r="BQ64" s="434">
        <f>SUM(BQ42:BQ62)</f>
        <v>221709572.87062499</v>
      </c>
      <c r="BR64" s="423"/>
      <c r="BS64" s="434">
        <f>SUM(BS43:BS48)+SUM(BS50:BS55)+SUM(BS57:BS62)</f>
        <v>72</v>
      </c>
      <c r="BT64" s="434">
        <f>SUM(BT42:BT62)</f>
        <v>482633.08380000002</v>
      </c>
      <c r="BU64" s="434">
        <f>SUM(BU42:BU62)</f>
        <v>1545974859.4762499</v>
      </c>
      <c r="BV64" s="423"/>
      <c r="BW64" s="434">
        <f>SUM(BW43:BW48)+SUM(BW50:BW55)+SUM(BW57:BW62)</f>
        <v>72</v>
      </c>
      <c r="BX64" s="434">
        <f>SUM(BX42:BX62)</f>
        <v>11217958.163999999</v>
      </c>
      <c r="BY64" s="434">
        <f>SUM(BY42:BY62)</f>
        <v>6183899437.9049988</v>
      </c>
      <c r="BZ64" s="423"/>
      <c r="CA64" s="423"/>
      <c r="CB64" s="434">
        <f>SUM(CB42:CB62)</f>
        <v>134615497.96800002</v>
      </c>
      <c r="CC64" s="434">
        <f>SUM(CC42:CC62)</f>
        <v>74206793254.860001</v>
      </c>
      <c r="CE64" s="434">
        <f>CE56+CE49+CE42</f>
        <v>4800</v>
      </c>
      <c r="CF64" s="433"/>
      <c r="CG64" s="434">
        <f>SUM(CG43:CG48)+SUM(CG50:CG55)+SUM(CG57:CG62)</f>
        <v>4800</v>
      </c>
      <c r="CH64" s="435"/>
      <c r="CI64" s="434">
        <f>SUM(CI43:CI48)+SUM(CI50:CI55)+SUM(CI57:CI62)</f>
        <v>2960</v>
      </c>
      <c r="CJ64" s="423"/>
      <c r="CK64" s="434">
        <f>SUM(CK43:CK48)+SUM(CK50:CK55)+SUM(CK57:CK62)</f>
        <v>156880</v>
      </c>
      <c r="CL64" s="423"/>
      <c r="CM64" s="423"/>
      <c r="CN64" s="434">
        <f>SUM(CN43:CN48)+SUM(CN50:CN55)+SUM(CN57:CN62)</f>
        <v>60</v>
      </c>
      <c r="CO64" s="432"/>
      <c r="CP64" s="434">
        <f>SUM(CP42:CP62)</f>
        <v>310393402.01887506</v>
      </c>
      <c r="CQ64" s="423"/>
      <c r="CR64" s="434">
        <f>SUM(CR43:CR48)+SUM(CR50:CR55)+SUM(CR57:CR62)</f>
        <v>72</v>
      </c>
      <c r="CS64" s="434">
        <f>SUM(CS42:CS62)</f>
        <v>643510.77840000018</v>
      </c>
      <c r="CT64" s="434">
        <f>SUM(CT42:CT62)</f>
        <v>2164364803.2667499</v>
      </c>
      <c r="CU64" s="423"/>
      <c r="CV64" s="434">
        <f>SUM(CV43:CV48)+SUM(CV50:CV55)+SUM(CV57:CV62)</f>
        <v>72</v>
      </c>
      <c r="CW64" s="434">
        <f>SUM(CW42:CW62)</f>
        <v>14957277.552000001</v>
      </c>
      <c r="CX64" s="434">
        <f>SUM(CX42:CX62)</f>
        <v>8657459213.0669994</v>
      </c>
      <c r="CY64" s="423"/>
      <c r="CZ64" s="423"/>
      <c r="DA64" s="434">
        <f>SUM(DA42:DA62)</f>
        <v>179487330.62399998</v>
      </c>
      <c r="DB64" s="434">
        <f>SUM(DB42:DB62)</f>
        <v>103889510556.804</v>
      </c>
      <c r="DD64" s="434">
        <f>DD56+DD49+DD42</f>
        <v>6000</v>
      </c>
      <c r="DE64" s="433"/>
      <c r="DF64" s="434">
        <f>SUM(DF43:DF48)+SUM(DF50:DF55)+SUM(DF57:DF62)</f>
        <v>6000</v>
      </c>
      <c r="DG64" s="435"/>
      <c r="DH64" s="434">
        <f>SUM(DH43:DH48)+SUM(DH50:DH55)+SUM(DH57:DH62)</f>
        <v>3700</v>
      </c>
      <c r="DI64" s="423"/>
      <c r="DJ64" s="434">
        <f>SUM(DJ43:DJ48)+SUM(DJ50:DJ55)+SUM(DJ57:DJ62)</f>
        <v>196100</v>
      </c>
      <c r="DK64" s="423"/>
      <c r="DL64" s="423"/>
      <c r="DM64" s="434">
        <f>SUM(DM43:DM48)+SUM(DM50:DM55)+SUM(DM57:DM62)</f>
        <v>60</v>
      </c>
      <c r="DN64" s="432"/>
      <c r="DO64" s="434">
        <f>SUM(DO42:DO62)</f>
        <v>407391340.14977348</v>
      </c>
      <c r="DP64" s="423"/>
      <c r="DQ64" s="434">
        <f>SUM(DQ43:DQ48)+SUM(DQ50:DQ55)+SUM(DQ57:DQ62)</f>
        <v>72</v>
      </c>
      <c r="DR64" s="434">
        <f>SUM(DR42:DR62)</f>
        <v>804388.473</v>
      </c>
      <c r="DS64" s="434">
        <f>SUM(DS42:DS62)</f>
        <v>2840728804.2876091</v>
      </c>
      <c r="DT64" s="423"/>
      <c r="DU64" s="434">
        <f>SUM(DU43:DU48)+SUM(DU50:DU55)+SUM(DU57:DU62)</f>
        <v>72</v>
      </c>
      <c r="DV64" s="434">
        <f>SUM(DV42:DV62)</f>
        <v>18696596.940000001</v>
      </c>
      <c r="DW64" s="434">
        <f>SUM(DW42:DW62)</f>
        <v>11362915217.150436</v>
      </c>
      <c r="DX64" s="423"/>
      <c r="DY64" s="423"/>
      <c r="DZ64" s="434">
        <f>SUM(DZ42:DZ62)</f>
        <v>224359163.28</v>
      </c>
      <c r="EA64" s="434">
        <f>SUM(EA42:EA62)</f>
        <v>136354982605.80527</v>
      </c>
      <c r="EC64" s="434">
        <f>EC56+EC49+EC42</f>
        <v>6000</v>
      </c>
      <c r="ED64" s="433"/>
      <c r="EE64" s="434">
        <f>SUM(EE43:EE48)+SUM(EE50:EE55)+SUM(EE57:EE62)</f>
        <v>6000</v>
      </c>
      <c r="EF64" s="435"/>
      <c r="EG64" s="434">
        <f>SUM(EG43:EG48)+SUM(EG50:EG55)+SUM(EG57:EG62)</f>
        <v>3700</v>
      </c>
      <c r="EH64" s="423"/>
      <c r="EI64" s="434">
        <f>SUM(EI43:EI48)+SUM(EI50:EI55)+SUM(EI57:EI62)</f>
        <v>196100</v>
      </c>
      <c r="EJ64" s="423"/>
      <c r="EK64" s="423"/>
      <c r="EL64" s="434">
        <f>SUM(EL43:EL48)+SUM(EL50:EL55)+SUM(EL57:EL62)</f>
        <v>60</v>
      </c>
      <c r="EM64" s="432"/>
      <c r="EN64" s="434">
        <f>SUM(EN42:EN62)</f>
        <v>427760907.15726221</v>
      </c>
      <c r="EO64" s="423"/>
      <c r="EP64" s="434">
        <f>SUM(EP43:EP48)+SUM(EP50:EP55)+SUM(EP57:EP62)</f>
        <v>72</v>
      </c>
      <c r="EQ64" s="434">
        <f>SUM(EQ42:EQ62)</f>
        <v>804388.473</v>
      </c>
      <c r="ER64" s="434">
        <f>SUM(ER42:ER62)</f>
        <v>2982765244.5019908</v>
      </c>
      <c r="ES64" s="423"/>
      <c r="ET64" s="434">
        <f>SUM(ET43:ET48)+SUM(ET50:ET55)+SUM(ET57:ET62)</f>
        <v>72</v>
      </c>
      <c r="EU64" s="434">
        <f>SUM(EU42:EU62)</f>
        <v>18696596.940000001</v>
      </c>
      <c r="EV64" s="434">
        <f>SUM(EV42:EV62)</f>
        <v>11931060978.007963</v>
      </c>
      <c r="EW64" s="423"/>
      <c r="EX64" s="423"/>
      <c r="EY64" s="434">
        <f>SUM(EY42:EY62)</f>
        <v>224359163.28</v>
      </c>
      <c r="EZ64" s="434">
        <f>SUM(EZ42:EZ62)</f>
        <v>143172731736.09552</v>
      </c>
      <c r="FB64" s="434">
        <f>FB56+FB49+FB42</f>
        <v>6000</v>
      </c>
      <c r="FC64" s="433"/>
      <c r="FD64" s="434">
        <f>SUM(FD43:FD48)+SUM(FD50:FD55)+SUM(FD57:FD62)</f>
        <v>6000</v>
      </c>
      <c r="FE64" s="435"/>
      <c r="FF64" s="434">
        <f>SUM(FF43:FF48)+SUM(FF50:FF55)+SUM(FF57:FF62)</f>
        <v>3700</v>
      </c>
      <c r="FG64" s="423"/>
      <c r="FH64" s="434">
        <f>SUM(FH43:FH48)+SUM(FH50:FH55)+SUM(FH57:FH62)</f>
        <v>196100</v>
      </c>
      <c r="FI64" s="423"/>
      <c r="FJ64" s="423"/>
      <c r="FK64" s="434">
        <f>SUM(FK43:FK48)+SUM(FK50:FK55)+SUM(FK57:FK62)</f>
        <v>60</v>
      </c>
      <c r="FL64" s="432"/>
      <c r="FM64" s="434">
        <f>SUM(FM42:FM62)</f>
        <v>449148952.51512527</v>
      </c>
      <c r="FN64" s="423"/>
      <c r="FO64" s="434">
        <f>SUM(FO43:FO48)+SUM(FO50:FO55)+SUM(FO57:FO62)</f>
        <v>72</v>
      </c>
      <c r="FP64" s="434">
        <f>SUM(FP42:FP62)</f>
        <v>804388.473</v>
      </c>
      <c r="FQ64" s="434">
        <f>SUM(FQ42:FQ62)</f>
        <v>3131903506.7270908</v>
      </c>
      <c r="FR64" s="423"/>
      <c r="FS64" s="434">
        <f>SUM(FS43:FS48)+SUM(FS50:FS55)+SUM(FS57:FS62)</f>
        <v>72</v>
      </c>
      <c r="FT64" s="434">
        <f>SUM(FT42:FT62)</f>
        <v>18696596.940000001</v>
      </c>
      <c r="FU64" s="434">
        <f>SUM(FU42:FU62)</f>
        <v>12527614026.908361</v>
      </c>
      <c r="FV64" s="423"/>
      <c r="FW64" s="423"/>
      <c r="FX64" s="434">
        <f>SUM(FX42:FX62)</f>
        <v>224359163.28</v>
      </c>
      <c r="FY64" s="434">
        <f>SUM(FY42:FY62)</f>
        <v>150331368322.90033</v>
      </c>
      <c r="GA64" s="434">
        <f>GA56+GA49+GA42</f>
        <v>6000</v>
      </c>
      <c r="GB64" s="433"/>
      <c r="GC64" s="434">
        <f>SUM(GC43:GC48)+SUM(GC50:GC55)+SUM(GC57:GC62)</f>
        <v>6000</v>
      </c>
      <c r="GD64" s="435"/>
      <c r="GE64" s="434">
        <f>SUM(GE43:GE48)+SUM(GE50:GE55)+SUM(GE57:GE62)</f>
        <v>3700</v>
      </c>
      <c r="GF64" s="423"/>
      <c r="GG64" s="434">
        <f>SUM(GG43:GG48)+SUM(GG50:GG55)+SUM(GG57:GG62)</f>
        <v>196100</v>
      </c>
      <c r="GH64" s="423"/>
      <c r="GI64" s="423"/>
      <c r="GJ64" s="434">
        <f>SUM(GJ43:GJ48)+SUM(GJ50:GJ55)+SUM(GJ57:GJ62)</f>
        <v>60</v>
      </c>
      <c r="GK64" s="432"/>
      <c r="GL64" s="434">
        <f>SUM(GL42:GL62)</f>
        <v>471606400.1408816</v>
      </c>
      <c r="GM64" s="423"/>
      <c r="GN64" s="434">
        <f>SUM(GN43:GN48)+SUM(GN50:GN55)+SUM(GN57:GN62)</f>
        <v>72</v>
      </c>
      <c r="GO64" s="434">
        <f>SUM(GO42:GO62)</f>
        <v>804388.473</v>
      </c>
      <c r="GP64" s="434">
        <f>SUM(GP42:GP62)</f>
        <v>3288498682.0634456</v>
      </c>
      <c r="GQ64" s="423"/>
      <c r="GR64" s="434">
        <f>SUM(GR43:GR48)+SUM(GR50:GR55)+SUM(GR57:GR62)</f>
        <v>72</v>
      </c>
      <c r="GS64" s="434">
        <f>SUM(GS42:GS62)</f>
        <v>18696596.940000001</v>
      </c>
      <c r="GT64" s="434">
        <f>SUM(GT42:GT62)</f>
        <v>13153994728.253782</v>
      </c>
      <c r="GU64" s="423"/>
      <c r="GV64" s="423"/>
      <c r="GW64" s="434">
        <f>SUM(GW42:GW62)</f>
        <v>224359163.28</v>
      </c>
      <c r="GX64" s="434">
        <f>SUM(GX42:GX62)</f>
        <v>157847936739.04532</v>
      </c>
      <c r="GZ64" s="434">
        <f>GZ56+GZ49+GZ42</f>
        <v>6000</v>
      </c>
      <c r="HA64" s="433"/>
      <c r="HB64" s="434">
        <f>SUM(HB43:HB48)+SUM(HB50:HB55)+SUM(HB57:HB62)</f>
        <v>6000</v>
      </c>
      <c r="HC64" s="435"/>
      <c r="HD64" s="434">
        <f>SUM(HD43:HD48)+SUM(HD50:HD55)+SUM(HD57:HD62)</f>
        <v>3700</v>
      </c>
      <c r="HE64" s="423"/>
      <c r="HF64" s="434">
        <f>SUM(HF43:HF48)+SUM(HF50:HF55)+SUM(HF57:HF62)</f>
        <v>196100</v>
      </c>
      <c r="HG64" s="423"/>
      <c r="HH64" s="423"/>
      <c r="HI64" s="434">
        <f>SUM(HI43:HI48)+SUM(HI50:HI55)+SUM(HI57:HI62)</f>
        <v>60</v>
      </c>
      <c r="HJ64" s="432"/>
      <c r="HK64" s="434">
        <f>SUM(HK42:HK62)</f>
        <v>495186720.14792579</v>
      </c>
      <c r="HL64" s="423"/>
      <c r="HM64" s="434">
        <f>SUM(HM43:HM48)+SUM(HM50:HM55)+SUM(HM57:HM62)</f>
        <v>72</v>
      </c>
      <c r="HN64" s="434">
        <f>SUM(HN42:HN62)</f>
        <v>804388.473</v>
      </c>
      <c r="HO64" s="434">
        <f>SUM(HO42:HO62)</f>
        <v>3452923616.1666174</v>
      </c>
      <c r="HP64" s="423"/>
      <c r="HQ64" s="434">
        <f>SUM(HQ43:HQ48)+SUM(HQ50:HQ55)+SUM(HQ57:HQ62)</f>
        <v>72</v>
      </c>
      <c r="HR64" s="434">
        <f>SUM(HR42:HR62)</f>
        <v>18696596.940000001</v>
      </c>
      <c r="HS64" s="434">
        <f>SUM(HS42:HS62)</f>
        <v>13811694464.66647</v>
      </c>
      <c r="HT64" s="423"/>
      <c r="HU64" s="423"/>
      <c r="HV64" s="434">
        <f>SUM(HV42:HV62)</f>
        <v>224359163.28</v>
      </c>
      <c r="HW64" s="434">
        <f>SUM(HW42:HW62)</f>
        <v>165740333575.99768</v>
      </c>
      <c r="HY64" s="434">
        <f>HY56+HY49+HY42</f>
        <v>6000</v>
      </c>
      <c r="HZ64" s="433"/>
      <c r="IA64" s="434">
        <f>SUM(IA43:IA48)+SUM(IA50:IA55)+SUM(IA57:IA62)</f>
        <v>6000</v>
      </c>
      <c r="IB64" s="435"/>
      <c r="IC64" s="434">
        <f>SUM(IC43:IC48)+SUM(IC50:IC55)+SUM(IC57:IC62)</f>
        <v>3700</v>
      </c>
      <c r="ID64" s="423"/>
      <c r="IE64" s="434">
        <f>SUM(IE43:IE48)+SUM(IE50:IE55)+SUM(IE57:IE62)</f>
        <v>196100</v>
      </c>
      <c r="IF64" s="423"/>
      <c r="IG64" s="423"/>
      <c r="IH64" s="434">
        <f>SUM(IH43:IH48)+SUM(IH50:IH55)+SUM(IH57:IH62)</f>
        <v>60</v>
      </c>
      <c r="II64" s="432"/>
      <c r="IJ64" s="434">
        <f>SUM(IJ42:IJ62)</f>
        <v>519946056.15532196</v>
      </c>
      <c r="IK64" s="423"/>
      <c r="IL64" s="434">
        <f>SUM(IL43:IL48)+SUM(IL50:IL55)+SUM(IL57:IL62)</f>
        <v>72</v>
      </c>
      <c r="IM64" s="434">
        <f>SUM(IM42:IM62)</f>
        <v>804388.473</v>
      </c>
      <c r="IN64" s="434">
        <f>SUM(IN42:IN62)</f>
        <v>3625569796.9749484</v>
      </c>
      <c r="IO64" s="423"/>
      <c r="IP64" s="434">
        <f>SUM(IP43:IP48)+SUM(IP50:IP55)+SUM(IP57:IP62)</f>
        <v>72</v>
      </c>
      <c r="IQ64" s="434">
        <f>SUM(IQ42:IQ62)</f>
        <v>18696596.940000001</v>
      </c>
      <c r="IR64" s="434">
        <f>SUM(IR42:IR62)</f>
        <v>14502279187.899794</v>
      </c>
      <c r="IS64" s="423"/>
      <c r="IT64" s="423"/>
      <c r="IU64" s="434">
        <f>SUM(IU42:IU62)</f>
        <v>224359163.28</v>
      </c>
      <c r="IV64" s="434">
        <f>SUM(IV42:IV62)</f>
        <v>174027350254.79755</v>
      </c>
    </row>
    <row r="65" spans="2:256" x14ac:dyDescent="0.25">
      <c r="W65" s="436">
        <f>W64/T62</f>
        <v>54384755.25</v>
      </c>
      <c r="AA65" s="436">
        <f>AA64/X62</f>
        <v>54384755.25</v>
      </c>
      <c r="AE65" s="436">
        <f>AE64/AB62</f>
        <v>54384755.25</v>
      </c>
      <c r="AV65" s="436">
        <f>AV64/AS62</f>
        <v>114207986.02499999</v>
      </c>
      <c r="AZ65" s="436">
        <f>AZ64/AW62</f>
        <v>114207986.02499999</v>
      </c>
      <c r="BD65" s="436">
        <f>BD64/BA62</f>
        <v>114207986.02500001</v>
      </c>
      <c r="BU65" s="436">
        <f>BU64/BR62</f>
        <v>257662476.579375</v>
      </c>
      <c r="BY65" s="436">
        <f>BY64/BV62</f>
        <v>257662476.57937494</v>
      </c>
      <c r="CC65" s="436">
        <f>CC64/BZ62</f>
        <v>257662476.579375</v>
      </c>
      <c r="CT65" s="436">
        <f>CT64/CQ62</f>
        <v>360727467.21112496</v>
      </c>
      <c r="CX65" s="436">
        <f>CX64/CU62</f>
        <v>360727467.21112496</v>
      </c>
      <c r="DB65" s="436">
        <f>DB64/CY62</f>
        <v>360727467.21112502</v>
      </c>
      <c r="DS65" s="436">
        <f>DS64/DP62</f>
        <v>473454800.71460152</v>
      </c>
      <c r="DW65" s="436">
        <f>DW64/DT62</f>
        <v>473454800.71460152</v>
      </c>
      <c r="EA65" s="436">
        <f>EA64/DX62</f>
        <v>473454800.71460164</v>
      </c>
      <c r="ER65" s="436">
        <f>ER64/EO62</f>
        <v>497127540.75033182</v>
      </c>
      <c r="EV65" s="436">
        <f>EV64/ES62</f>
        <v>497127540.75033182</v>
      </c>
      <c r="EZ65" s="436">
        <f>EZ64/EW62</f>
        <v>497127540.75033164</v>
      </c>
      <c r="FQ65" s="436">
        <f>FQ64/FN62</f>
        <v>521983917.78784847</v>
      </c>
      <c r="FU65" s="436">
        <f>FU64/FR62</f>
        <v>521983917.78784841</v>
      </c>
      <c r="FY65" s="436">
        <f>FY64/FV62</f>
        <v>521983917.78784835</v>
      </c>
      <c r="GP65" s="436">
        <f>GP64/GM62</f>
        <v>548083113.67724097</v>
      </c>
      <c r="GT65" s="436">
        <f>GT64/GQ62</f>
        <v>548083113.67724097</v>
      </c>
      <c r="GX65" s="436">
        <f>GX64/GU62</f>
        <v>548083113.67724073</v>
      </c>
      <c r="HO65" s="436">
        <f>HO64/HL62</f>
        <v>575487269.36110294</v>
      </c>
      <c r="HS65" s="436">
        <f>HS64/HP62</f>
        <v>575487269.36110294</v>
      </c>
      <c r="HW65" s="436">
        <f>HW64/HT62</f>
        <v>575487269.36110306</v>
      </c>
      <c r="IN65" s="436">
        <f>IN64/IK62</f>
        <v>604261632.82915807</v>
      </c>
      <c r="IR65" s="436">
        <f>IR64/IO62</f>
        <v>604261632.82915807</v>
      </c>
      <c r="IV65" s="436">
        <f>IV64/IS62</f>
        <v>604261632.82915819</v>
      </c>
    </row>
    <row r="66" spans="2:256" x14ac:dyDescent="0.25">
      <c r="H66" s="437"/>
      <c r="AA66" s="438" t="b">
        <f>AA65=W65</f>
        <v>1</v>
      </c>
      <c r="AE66" s="438" t="b">
        <f>AE65=W65</f>
        <v>1</v>
      </c>
      <c r="AG66" s="437"/>
      <c r="AU66" s="457"/>
      <c r="AZ66" s="438" t="b">
        <f>AZ65=AV65</f>
        <v>1</v>
      </c>
      <c r="BD66" s="438" t="b">
        <f>BD65=AV65</f>
        <v>1</v>
      </c>
      <c r="BF66" s="437"/>
      <c r="BY66" s="438" t="b">
        <f>BY65=BU65</f>
        <v>1</v>
      </c>
      <c r="CC66" s="438" t="b">
        <f>CC65=BU65</f>
        <v>1</v>
      </c>
      <c r="CE66" s="437"/>
      <c r="CX66" s="438" t="b">
        <f>CX65=CT65</f>
        <v>1</v>
      </c>
      <c r="DB66" s="438" t="b">
        <f>DB65=CT65</f>
        <v>1</v>
      </c>
      <c r="DD66" s="437"/>
      <c r="DW66" s="438" t="b">
        <f>DW65=DS65</f>
        <v>1</v>
      </c>
      <c r="EA66" s="438" t="b">
        <f>EA65=DS65</f>
        <v>1</v>
      </c>
      <c r="EC66" s="437"/>
      <c r="EV66" s="438" t="b">
        <f>EV65=ER65</f>
        <v>1</v>
      </c>
      <c r="EZ66" s="438" t="b">
        <f>EZ65=ER65</f>
        <v>1</v>
      </c>
      <c r="FB66" s="437"/>
      <c r="FU66" s="438" t="b">
        <f>FU65=FQ65</f>
        <v>1</v>
      </c>
      <c r="FY66" s="438" t="b">
        <f>FY65=FQ65</f>
        <v>1</v>
      </c>
      <c r="GA66" s="437"/>
      <c r="GT66" s="438" t="b">
        <f>GT65=GP65</f>
        <v>1</v>
      </c>
      <c r="GX66" s="438" t="b">
        <f>GX65=GP65</f>
        <v>1</v>
      </c>
      <c r="GZ66" s="437"/>
      <c r="HS66" s="438" t="b">
        <f>HS65=HO65</f>
        <v>1</v>
      </c>
      <c r="HW66" s="438" t="b">
        <f>HW65=HO65</f>
        <v>1</v>
      </c>
      <c r="HY66" s="437"/>
      <c r="IR66" s="438" t="b">
        <f>IR65=IN65</f>
        <v>1</v>
      </c>
      <c r="IV66" s="438" t="b">
        <f>IV65=IN65</f>
        <v>1</v>
      </c>
    </row>
    <row r="67" spans="2:256" x14ac:dyDescent="0.25">
      <c r="B67" s="408"/>
    </row>
  </sheetData>
  <mergeCells count="200">
    <mergeCell ref="H37:AE37"/>
    <mergeCell ref="O39:S39"/>
    <mergeCell ref="T39:W39"/>
    <mergeCell ref="X39:AA39"/>
    <mergeCell ref="AB39:AE39"/>
    <mergeCell ref="I40:J40"/>
    <mergeCell ref="K40:L40"/>
    <mergeCell ref="M40:N40"/>
    <mergeCell ref="O40:P40"/>
    <mergeCell ref="R40:S40"/>
    <mergeCell ref="AB6:AE6"/>
    <mergeCell ref="H4:AE4"/>
    <mergeCell ref="T6:W6"/>
    <mergeCell ref="O6:S6"/>
    <mergeCell ref="X6:AA6"/>
    <mergeCell ref="I7:J7"/>
    <mergeCell ref="M7:N7"/>
    <mergeCell ref="O7:P7"/>
    <mergeCell ref="R7:S7"/>
    <mergeCell ref="K7:L7"/>
    <mergeCell ref="AH7:AI7"/>
    <mergeCell ref="AJ7:AK7"/>
    <mergeCell ref="AL7:AM7"/>
    <mergeCell ref="AN7:AO7"/>
    <mergeCell ref="AQ7:AR7"/>
    <mergeCell ref="AG4:BD4"/>
    <mergeCell ref="AN6:AR6"/>
    <mergeCell ref="AS6:AV6"/>
    <mergeCell ref="AW6:AZ6"/>
    <mergeCell ref="BA6:BD6"/>
    <mergeCell ref="AH40:AI40"/>
    <mergeCell ref="AJ40:AK40"/>
    <mergeCell ref="AL40:AM40"/>
    <mergeCell ref="AN40:AO40"/>
    <mergeCell ref="AQ40:AR40"/>
    <mergeCell ref="AG37:BD37"/>
    <mergeCell ref="AN39:AR39"/>
    <mergeCell ref="AS39:AV39"/>
    <mergeCell ref="AW39:AZ39"/>
    <mergeCell ref="BA39:BD39"/>
    <mergeCell ref="BG7:BH7"/>
    <mergeCell ref="BI7:BJ7"/>
    <mergeCell ref="BK7:BL7"/>
    <mergeCell ref="BM7:BN7"/>
    <mergeCell ref="BP7:BQ7"/>
    <mergeCell ref="BF4:CC4"/>
    <mergeCell ref="BM6:BQ6"/>
    <mergeCell ref="BR6:BU6"/>
    <mergeCell ref="BV6:BY6"/>
    <mergeCell ref="BZ6:CC6"/>
    <mergeCell ref="BG40:BH40"/>
    <mergeCell ref="BI40:BJ40"/>
    <mergeCell ref="BK40:BL40"/>
    <mergeCell ref="BM40:BN40"/>
    <mergeCell ref="BP40:BQ40"/>
    <mergeCell ref="BF37:CC37"/>
    <mergeCell ref="BM39:BQ39"/>
    <mergeCell ref="BR39:BU39"/>
    <mergeCell ref="BV39:BY39"/>
    <mergeCell ref="BZ39:CC39"/>
    <mergeCell ref="CF7:CG7"/>
    <mergeCell ref="CH7:CI7"/>
    <mergeCell ref="CJ7:CK7"/>
    <mergeCell ref="CL7:CM7"/>
    <mergeCell ref="CO7:CP7"/>
    <mergeCell ref="CE4:DB4"/>
    <mergeCell ref="CL6:CP6"/>
    <mergeCell ref="CQ6:CT6"/>
    <mergeCell ref="CU6:CX6"/>
    <mergeCell ref="CY6:DB6"/>
    <mergeCell ref="CF40:CG40"/>
    <mergeCell ref="CH40:CI40"/>
    <mergeCell ref="CJ40:CK40"/>
    <mergeCell ref="CL40:CM40"/>
    <mergeCell ref="CO40:CP40"/>
    <mergeCell ref="CE37:DB37"/>
    <mergeCell ref="CL39:CP39"/>
    <mergeCell ref="CQ39:CT39"/>
    <mergeCell ref="CU39:CX39"/>
    <mergeCell ref="CY39:DB39"/>
    <mergeCell ref="DE7:DF7"/>
    <mergeCell ref="DG7:DH7"/>
    <mergeCell ref="DI7:DJ7"/>
    <mergeCell ref="DK7:DL7"/>
    <mergeCell ref="DN7:DO7"/>
    <mergeCell ref="DD4:EA4"/>
    <mergeCell ref="DK6:DO6"/>
    <mergeCell ref="DP6:DS6"/>
    <mergeCell ref="DT6:DW6"/>
    <mergeCell ref="DX6:EA6"/>
    <mergeCell ref="DE40:DF40"/>
    <mergeCell ref="DG40:DH40"/>
    <mergeCell ref="DI40:DJ40"/>
    <mergeCell ref="DK40:DL40"/>
    <mergeCell ref="DN40:DO40"/>
    <mergeCell ref="DD37:EA37"/>
    <mergeCell ref="DK39:DO39"/>
    <mergeCell ref="DP39:DS39"/>
    <mergeCell ref="DT39:DW39"/>
    <mergeCell ref="DX39:EA39"/>
    <mergeCell ref="ED7:EE7"/>
    <mergeCell ref="EF7:EG7"/>
    <mergeCell ref="EH7:EI7"/>
    <mergeCell ref="EJ7:EK7"/>
    <mergeCell ref="EM7:EN7"/>
    <mergeCell ref="EC4:EZ4"/>
    <mergeCell ref="EJ6:EN6"/>
    <mergeCell ref="EO6:ER6"/>
    <mergeCell ref="ES6:EV6"/>
    <mergeCell ref="EW6:EZ6"/>
    <mergeCell ref="ED40:EE40"/>
    <mergeCell ref="EF40:EG40"/>
    <mergeCell ref="EH40:EI40"/>
    <mergeCell ref="EJ40:EK40"/>
    <mergeCell ref="EM40:EN40"/>
    <mergeCell ref="EC37:EZ37"/>
    <mergeCell ref="EJ39:EN39"/>
    <mergeCell ref="EO39:ER39"/>
    <mergeCell ref="ES39:EV39"/>
    <mergeCell ref="EW39:EZ39"/>
    <mergeCell ref="FC7:FD7"/>
    <mergeCell ref="FE7:FF7"/>
    <mergeCell ref="FG7:FH7"/>
    <mergeCell ref="FI7:FJ7"/>
    <mergeCell ref="FL7:FM7"/>
    <mergeCell ref="FB4:FY4"/>
    <mergeCell ref="FI6:FM6"/>
    <mergeCell ref="FN6:FQ6"/>
    <mergeCell ref="FR6:FU6"/>
    <mergeCell ref="FV6:FY6"/>
    <mergeCell ref="FC40:FD40"/>
    <mergeCell ref="FE40:FF40"/>
    <mergeCell ref="FG40:FH40"/>
    <mergeCell ref="FI40:FJ40"/>
    <mergeCell ref="FL40:FM40"/>
    <mergeCell ref="FB37:FY37"/>
    <mergeCell ref="FI39:FM39"/>
    <mergeCell ref="FN39:FQ39"/>
    <mergeCell ref="FR39:FU39"/>
    <mergeCell ref="FV39:FY39"/>
    <mergeCell ref="GB7:GC7"/>
    <mergeCell ref="GD7:GE7"/>
    <mergeCell ref="GF7:GG7"/>
    <mergeCell ref="GH7:GI7"/>
    <mergeCell ref="GK7:GL7"/>
    <mergeCell ref="GA4:GX4"/>
    <mergeCell ref="GH6:GL6"/>
    <mergeCell ref="GM6:GP6"/>
    <mergeCell ref="GQ6:GT6"/>
    <mergeCell ref="GU6:GX6"/>
    <mergeCell ref="GB40:GC40"/>
    <mergeCell ref="GD40:GE40"/>
    <mergeCell ref="GF40:GG40"/>
    <mergeCell ref="GH40:GI40"/>
    <mergeCell ref="GK40:GL40"/>
    <mergeCell ref="GA37:GX37"/>
    <mergeCell ref="GH39:GL39"/>
    <mergeCell ref="GM39:GP39"/>
    <mergeCell ref="GQ39:GT39"/>
    <mergeCell ref="GU39:GX39"/>
    <mergeCell ref="HA7:HB7"/>
    <mergeCell ref="HC7:HD7"/>
    <mergeCell ref="HE7:HF7"/>
    <mergeCell ref="HG7:HH7"/>
    <mergeCell ref="HJ7:HK7"/>
    <mergeCell ref="GZ4:HW4"/>
    <mergeCell ref="HG6:HK6"/>
    <mergeCell ref="HL6:HO6"/>
    <mergeCell ref="HP6:HS6"/>
    <mergeCell ref="HT6:HW6"/>
    <mergeCell ref="HA40:HB40"/>
    <mergeCell ref="HC40:HD40"/>
    <mergeCell ref="HE40:HF40"/>
    <mergeCell ref="HG40:HH40"/>
    <mergeCell ref="HJ40:HK40"/>
    <mergeCell ref="GZ37:HW37"/>
    <mergeCell ref="HG39:HK39"/>
    <mergeCell ref="HL39:HO39"/>
    <mergeCell ref="HP39:HS39"/>
    <mergeCell ref="HT39:HW39"/>
    <mergeCell ref="HZ7:IA7"/>
    <mergeCell ref="IB7:IC7"/>
    <mergeCell ref="ID7:IE7"/>
    <mergeCell ref="IF7:IG7"/>
    <mergeCell ref="II7:IJ7"/>
    <mergeCell ref="HY4:IV4"/>
    <mergeCell ref="IF6:IJ6"/>
    <mergeCell ref="IK6:IN6"/>
    <mergeCell ref="IO6:IR6"/>
    <mergeCell ref="IS6:IV6"/>
    <mergeCell ref="HZ40:IA40"/>
    <mergeCell ref="IB40:IC40"/>
    <mergeCell ref="ID40:IE40"/>
    <mergeCell ref="IF40:IG40"/>
    <mergeCell ref="II40:IJ40"/>
    <mergeCell ref="HY37:IV37"/>
    <mergeCell ref="IF39:IJ39"/>
    <mergeCell ref="IK39:IN39"/>
    <mergeCell ref="IO39:IR39"/>
    <mergeCell ref="IS39:IV3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40"/>
  <sheetViews>
    <sheetView zoomScale="80" zoomScaleNormal="80" workbookViewId="0">
      <pane xSplit="2" ySplit="7" topLeftCell="C11" activePane="bottomRight" state="frozen"/>
      <selection pane="topRight" activeCell="C1" sqref="C1"/>
      <selection pane="bottomLeft" activeCell="A6" sqref="A6"/>
      <selection pane="bottomRight" activeCell="A17" sqref="A17"/>
    </sheetView>
  </sheetViews>
  <sheetFormatPr defaultRowHeight="10.5" x14ac:dyDescent="0.25"/>
  <cols>
    <col min="1" max="1" width="8.7265625" style="28"/>
    <col min="2" max="2" width="11.453125" style="28" bestFit="1" customWidth="1"/>
    <col min="3" max="7" width="13.26953125" style="28" bestFit="1" customWidth="1"/>
    <col min="8" max="8" width="11.36328125" style="33" bestFit="1" customWidth="1"/>
    <col min="9" max="12" width="11.36328125" style="28" bestFit="1" customWidth="1"/>
    <col min="13" max="13" width="12.453125" style="33" bestFit="1" customWidth="1"/>
    <col min="14" max="14" width="6.26953125" style="28" bestFit="1" customWidth="1"/>
    <col min="15" max="15" width="9.54296875" style="28" bestFit="1" customWidth="1"/>
    <col min="16" max="16" width="6.54296875" style="28" bestFit="1" customWidth="1"/>
    <col min="17" max="17" width="11.36328125" style="28" bestFit="1" customWidth="1"/>
    <col min="18" max="18" width="4.81640625" style="33" bestFit="1" customWidth="1"/>
    <col min="19" max="19" width="6.26953125" style="28" bestFit="1" customWidth="1"/>
    <col min="20" max="20" width="9.54296875" style="28" bestFit="1" customWidth="1"/>
    <col min="21" max="21" width="6.54296875" style="28" bestFit="1" customWidth="1"/>
    <col min="22" max="22" width="11.36328125" style="28" bestFit="1" customWidth="1"/>
    <col min="23" max="23" width="5.54296875" style="33" bestFit="1" customWidth="1"/>
    <col min="24" max="24" width="6.26953125" style="28" bestFit="1" customWidth="1"/>
    <col min="25" max="25" width="9.54296875" style="28" bestFit="1" customWidth="1"/>
    <col min="26" max="26" width="6.54296875" style="28" bestFit="1" customWidth="1"/>
    <col min="27" max="27" width="11.36328125" style="28" bestFit="1" customWidth="1"/>
    <col min="28" max="28" width="5.54296875" style="33" bestFit="1" customWidth="1"/>
    <col min="29" max="29" width="6.26953125" style="28" bestFit="1" customWidth="1"/>
    <col min="30" max="30" width="9.54296875" style="28" bestFit="1" customWidth="1"/>
    <col min="31" max="31" width="6.54296875" style="28" bestFit="1" customWidth="1"/>
    <col min="32" max="32" width="11.36328125" style="28" bestFit="1" customWidth="1"/>
    <col min="33" max="33" width="4.81640625" style="33" bestFit="1" customWidth="1"/>
    <col min="34" max="34" width="6.26953125" style="28" bestFit="1" customWidth="1"/>
    <col min="35" max="35" width="8.81640625" style="28" bestFit="1" customWidth="1"/>
    <col min="36" max="36" width="6.54296875" style="28" customWidth="1"/>
    <col min="37" max="37" width="11.36328125" style="28" bestFit="1" customWidth="1"/>
    <col min="38" max="38" width="4.81640625" style="33" bestFit="1" customWidth="1"/>
    <col min="39" max="39" width="6.26953125" style="28" bestFit="1" customWidth="1"/>
    <col min="40" max="40" width="9.54296875" style="28" bestFit="1" customWidth="1"/>
    <col min="41" max="41" width="6.54296875" style="28" bestFit="1" customWidth="1"/>
    <col min="42" max="42" width="11.36328125" style="28" bestFit="1" customWidth="1"/>
    <col min="43" max="43" width="4.81640625" style="33" bestFit="1" customWidth="1"/>
    <col min="44" max="44" width="6.26953125" style="28" bestFit="1" customWidth="1"/>
    <col min="45" max="45" width="9.54296875" style="28" bestFit="1" customWidth="1"/>
    <col min="46" max="46" width="6.54296875" style="28" bestFit="1" customWidth="1"/>
    <col min="47" max="47" width="11.36328125" style="28" bestFit="1" customWidth="1"/>
    <col min="48" max="48" width="4.81640625" style="33" bestFit="1" customWidth="1"/>
    <col min="49" max="49" width="6.26953125" style="28" bestFit="1" customWidth="1"/>
    <col min="50" max="50" width="9.54296875" style="28" bestFit="1" customWidth="1"/>
    <col min="51" max="51" width="6.54296875" style="28" bestFit="1" customWidth="1"/>
    <col min="52" max="52" width="11.36328125" style="28" bestFit="1" customWidth="1"/>
    <col min="53" max="16384" width="8.7265625" style="28"/>
  </cols>
  <sheetData>
    <row r="2" spans="2:52" x14ac:dyDescent="0.25">
      <c r="B2" s="85" t="s">
        <v>142</v>
      </c>
    </row>
    <row r="4" spans="2:52" ht="11" thickBot="1" x14ac:dyDescent="0.3"/>
    <row r="5" spans="2:52" ht="11" thickBot="1" x14ac:dyDescent="0.3">
      <c r="B5" s="83"/>
      <c r="C5" s="626" t="s">
        <v>2</v>
      </c>
      <c r="D5" s="627"/>
      <c r="E5" s="627"/>
      <c r="F5" s="627"/>
      <c r="G5" s="628"/>
      <c r="H5" s="632" t="s">
        <v>3</v>
      </c>
      <c r="I5" s="633"/>
      <c r="J5" s="633"/>
      <c r="K5" s="633"/>
      <c r="L5" s="634"/>
      <c r="M5" s="626" t="s">
        <v>4</v>
      </c>
      <c r="N5" s="627"/>
      <c r="O5" s="627"/>
      <c r="P5" s="627"/>
      <c r="Q5" s="628"/>
      <c r="R5" s="629" t="s">
        <v>5</v>
      </c>
      <c r="S5" s="630"/>
      <c r="T5" s="630"/>
      <c r="U5" s="630"/>
      <c r="V5" s="631"/>
      <c r="W5" s="626" t="s">
        <v>6</v>
      </c>
      <c r="X5" s="627"/>
      <c r="Y5" s="627"/>
      <c r="Z5" s="627"/>
      <c r="AA5" s="628"/>
      <c r="AB5" s="629" t="s">
        <v>104</v>
      </c>
      <c r="AC5" s="630"/>
      <c r="AD5" s="630"/>
      <c r="AE5" s="630"/>
      <c r="AF5" s="631"/>
      <c r="AG5" s="626" t="s">
        <v>105</v>
      </c>
      <c r="AH5" s="627"/>
      <c r="AI5" s="627"/>
      <c r="AJ5" s="627"/>
      <c r="AK5" s="628"/>
      <c r="AL5" s="629" t="s">
        <v>106</v>
      </c>
      <c r="AM5" s="630"/>
      <c r="AN5" s="630"/>
      <c r="AO5" s="630"/>
      <c r="AP5" s="631"/>
      <c r="AQ5" s="626" t="s">
        <v>107</v>
      </c>
      <c r="AR5" s="627"/>
      <c r="AS5" s="627"/>
      <c r="AT5" s="627"/>
      <c r="AU5" s="628"/>
      <c r="AV5" s="629" t="s">
        <v>108</v>
      </c>
      <c r="AW5" s="630"/>
      <c r="AX5" s="630"/>
      <c r="AY5" s="630"/>
      <c r="AZ5" s="631"/>
    </row>
    <row r="6" spans="2:52" ht="11" thickBot="1" x14ac:dyDescent="0.3">
      <c r="B6" s="77"/>
      <c r="C6" s="82" t="s">
        <v>83</v>
      </c>
      <c r="D6" s="61" t="s">
        <v>19</v>
      </c>
      <c r="E6" s="61" t="s">
        <v>20</v>
      </c>
      <c r="F6" s="61" t="s">
        <v>113</v>
      </c>
      <c r="G6" s="62" t="s">
        <v>20</v>
      </c>
      <c r="H6" s="57" t="s">
        <v>83</v>
      </c>
      <c r="I6" s="58" t="s">
        <v>19</v>
      </c>
      <c r="J6" s="58" t="s">
        <v>20</v>
      </c>
      <c r="K6" s="58" t="s">
        <v>113</v>
      </c>
      <c r="L6" s="59" t="s">
        <v>20</v>
      </c>
      <c r="M6" s="60" t="s">
        <v>83</v>
      </c>
      <c r="N6" s="61" t="s">
        <v>19</v>
      </c>
      <c r="O6" s="61" t="s">
        <v>20</v>
      </c>
      <c r="P6" s="61" t="s">
        <v>113</v>
      </c>
      <c r="Q6" s="62" t="s">
        <v>20</v>
      </c>
      <c r="R6" s="57" t="s">
        <v>83</v>
      </c>
      <c r="S6" s="58" t="s">
        <v>19</v>
      </c>
      <c r="T6" s="58" t="s">
        <v>20</v>
      </c>
      <c r="U6" s="58" t="s">
        <v>113</v>
      </c>
      <c r="V6" s="59" t="s">
        <v>20</v>
      </c>
      <c r="W6" s="60" t="s">
        <v>83</v>
      </c>
      <c r="X6" s="61" t="s">
        <v>19</v>
      </c>
      <c r="Y6" s="61" t="s">
        <v>20</v>
      </c>
      <c r="Z6" s="61" t="s">
        <v>113</v>
      </c>
      <c r="AA6" s="62" t="s">
        <v>20</v>
      </c>
      <c r="AB6" s="57" t="s">
        <v>83</v>
      </c>
      <c r="AC6" s="58" t="s">
        <v>19</v>
      </c>
      <c r="AD6" s="58" t="s">
        <v>20</v>
      </c>
      <c r="AE6" s="58" t="s">
        <v>113</v>
      </c>
      <c r="AF6" s="59" t="s">
        <v>20</v>
      </c>
      <c r="AG6" s="60" t="s">
        <v>83</v>
      </c>
      <c r="AH6" s="61" t="s">
        <v>19</v>
      </c>
      <c r="AI6" s="61" t="s">
        <v>20</v>
      </c>
      <c r="AJ6" s="61" t="s">
        <v>113</v>
      </c>
      <c r="AK6" s="62" t="s">
        <v>20</v>
      </c>
      <c r="AL6" s="57" t="s">
        <v>83</v>
      </c>
      <c r="AM6" s="58" t="s">
        <v>19</v>
      </c>
      <c r="AN6" s="58" t="s">
        <v>20</v>
      </c>
      <c r="AO6" s="58" t="s">
        <v>113</v>
      </c>
      <c r="AP6" s="59" t="s">
        <v>20</v>
      </c>
      <c r="AQ6" s="60" t="s">
        <v>83</v>
      </c>
      <c r="AR6" s="61" t="s">
        <v>19</v>
      </c>
      <c r="AS6" s="61" t="s">
        <v>20</v>
      </c>
      <c r="AT6" s="61" t="s">
        <v>113</v>
      </c>
      <c r="AU6" s="62" t="s">
        <v>20</v>
      </c>
      <c r="AV6" s="57" t="s">
        <v>83</v>
      </c>
      <c r="AW6" s="58" t="s">
        <v>19</v>
      </c>
      <c r="AX6" s="58" t="s">
        <v>20</v>
      </c>
      <c r="AY6" s="58" t="s">
        <v>113</v>
      </c>
      <c r="AZ6" s="59" t="s">
        <v>20</v>
      </c>
    </row>
    <row r="7" spans="2:52" ht="11" thickBot="1" x14ac:dyDescent="0.3">
      <c r="B7" s="79" t="s">
        <v>110</v>
      </c>
      <c r="C7" s="82"/>
      <c r="D7" s="61" t="s">
        <v>28</v>
      </c>
      <c r="E7" s="61" t="s">
        <v>28</v>
      </c>
      <c r="F7" s="61"/>
      <c r="G7" s="62" t="s">
        <v>1</v>
      </c>
      <c r="H7" s="57"/>
      <c r="I7" s="58" t="s">
        <v>28</v>
      </c>
      <c r="J7" s="58" t="s">
        <v>28</v>
      </c>
      <c r="K7" s="58"/>
      <c r="L7" s="59" t="s">
        <v>1</v>
      </c>
      <c r="M7" s="60"/>
      <c r="N7" s="61" t="s">
        <v>28</v>
      </c>
      <c r="O7" s="61" t="s">
        <v>28</v>
      </c>
      <c r="P7" s="61"/>
      <c r="Q7" s="62" t="s">
        <v>1</v>
      </c>
      <c r="R7" s="57"/>
      <c r="S7" s="58" t="s">
        <v>28</v>
      </c>
      <c r="T7" s="58" t="s">
        <v>28</v>
      </c>
      <c r="U7" s="58"/>
      <c r="V7" s="59" t="s">
        <v>1</v>
      </c>
      <c r="W7" s="60"/>
      <c r="X7" s="61" t="s">
        <v>28</v>
      </c>
      <c r="Y7" s="61" t="s">
        <v>28</v>
      </c>
      <c r="Z7" s="61"/>
      <c r="AA7" s="62" t="s">
        <v>1</v>
      </c>
      <c r="AB7" s="57"/>
      <c r="AC7" s="58" t="s">
        <v>28</v>
      </c>
      <c r="AD7" s="58" t="s">
        <v>28</v>
      </c>
      <c r="AE7" s="58"/>
      <c r="AF7" s="59" t="s">
        <v>1</v>
      </c>
      <c r="AG7" s="60"/>
      <c r="AH7" s="61" t="s">
        <v>28</v>
      </c>
      <c r="AI7" s="61" t="s">
        <v>28</v>
      </c>
      <c r="AJ7" s="61"/>
      <c r="AK7" s="62" t="s">
        <v>1</v>
      </c>
      <c r="AL7" s="57"/>
      <c r="AM7" s="58" t="s">
        <v>28</v>
      </c>
      <c r="AN7" s="58" t="s">
        <v>28</v>
      </c>
      <c r="AO7" s="58"/>
      <c r="AP7" s="59" t="s">
        <v>1</v>
      </c>
      <c r="AQ7" s="60"/>
      <c r="AR7" s="61" t="s">
        <v>28</v>
      </c>
      <c r="AS7" s="61" t="s">
        <v>28</v>
      </c>
      <c r="AT7" s="61"/>
      <c r="AU7" s="62" t="s">
        <v>1</v>
      </c>
      <c r="AV7" s="57"/>
      <c r="AW7" s="58" t="s">
        <v>28</v>
      </c>
      <c r="AX7" s="58" t="s">
        <v>28</v>
      </c>
      <c r="AY7" s="58"/>
      <c r="AZ7" s="59" t="s">
        <v>1</v>
      </c>
    </row>
    <row r="8" spans="2:52" x14ac:dyDescent="0.25">
      <c r="B8" s="76" t="s">
        <v>11</v>
      </c>
      <c r="C8" s="56"/>
      <c r="D8" s="81"/>
      <c r="E8" s="81"/>
      <c r="F8" s="81"/>
      <c r="G8" s="64"/>
      <c r="H8" s="55">
        <f>C21</f>
        <v>2000</v>
      </c>
      <c r="I8" s="622"/>
      <c r="J8" s="84">
        <f>E21</f>
        <v>114904000</v>
      </c>
      <c r="K8" s="622"/>
      <c r="L8" s="63">
        <f>G21</f>
        <v>109462031656</v>
      </c>
      <c r="M8" s="56">
        <f>H21</f>
        <v>4000</v>
      </c>
      <c r="N8" s="624"/>
      <c r="O8" s="81">
        <f>J21</f>
        <v>229808000</v>
      </c>
      <c r="P8" s="624"/>
      <c r="Q8" s="64">
        <f>L21</f>
        <v>229870266477.60001</v>
      </c>
      <c r="R8" s="55">
        <f>M21</f>
        <v>6000</v>
      </c>
      <c r="S8" s="622"/>
      <c r="T8" s="84">
        <f>O21</f>
        <v>344712000</v>
      </c>
      <c r="U8" s="622"/>
      <c r="V8" s="63">
        <f>Q21</f>
        <v>362319324781.36005</v>
      </c>
      <c r="W8" s="56">
        <f>R21</f>
        <v>8000</v>
      </c>
      <c r="X8" s="624"/>
      <c r="Y8" s="81">
        <f>T21</f>
        <v>459616000</v>
      </c>
      <c r="Z8" s="624"/>
      <c r="AA8" s="64">
        <f>V21</f>
        <v>508013288915.49609</v>
      </c>
      <c r="AB8" s="55">
        <f>W21</f>
        <v>10000</v>
      </c>
      <c r="AC8" s="622"/>
      <c r="AD8" s="84">
        <f>Y21</f>
        <v>574520000</v>
      </c>
      <c r="AE8" s="622"/>
      <c r="AF8" s="63">
        <f>AA21</f>
        <v>668276649463.04578</v>
      </c>
      <c r="AG8" s="56">
        <f>AB21</f>
        <v>8000</v>
      </c>
      <c r="AH8" s="624"/>
      <c r="AI8" s="81">
        <f>AD21</f>
        <v>459616000</v>
      </c>
      <c r="AJ8" s="624"/>
      <c r="AK8" s="64">
        <f>AF21</f>
        <v>491986952860.74115</v>
      </c>
      <c r="AL8" s="55">
        <f>AG21</f>
        <v>6000</v>
      </c>
      <c r="AM8" s="622"/>
      <c r="AN8" s="84">
        <f>AI21</f>
        <v>344712000</v>
      </c>
      <c r="AO8" s="622"/>
      <c r="AP8" s="63">
        <f>AK21</f>
        <v>298068286598.20605</v>
      </c>
      <c r="AQ8" s="56">
        <f>AL21</f>
        <v>4000</v>
      </c>
      <c r="AR8" s="624"/>
      <c r="AS8" s="81">
        <f>AN21</f>
        <v>229808000</v>
      </c>
      <c r="AT8" s="624"/>
      <c r="AU8" s="64">
        <f>AP21</f>
        <v>84757753709.417419</v>
      </c>
      <c r="AV8" s="55">
        <f>AQ21</f>
        <v>2000</v>
      </c>
      <c r="AW8" s="622"/>
      <c r="AX8" s="84">
        <f>AS21</f>
        <v>114904000</v>
      </c>
      <c r="AY8" s="622"/>
      <c r="AZ8" s="63">
        <f>AU21</f>
        <v>-149883832468.25009</v>
      </c>
    </row>
    <row r="9" spans="2:52" x14ac:dyDescent="0.25">
      <c r="B9" s="76" t="s">
        <v>12</v>
      </c>
      <c r="C9" s="44"/>
      <c r="D9" s="45"/>
      <c r="E9" s="45"/>
      <c r="F9" s="45"/>
      <c r="G9" s="46"/>
      <c r="H9" s="36">
        <f>C22</f>
        <v>400</v>
      </c>
      <c r="I9" s="623"/>
      <c r="J9" s="30">
        <f>E22</f>
        <v>54580800</v>
      </c>
      <c r="K9" s="623"/>
      <c r="L9" s="37">
        <f>G22</f>
        <v>51995798731.199997</v>
      </c>
      <c r="M9" s="44">
        <f>H22</f>
        <v>800</v>
      </c>
      <c r="N9" s="625"/>
      <c r="O9" s="45">
        <f>J22</f>
        <v>109161600</v>
      </c>
      <c r="P9" s="625"/>
      <c r="Q9" s="46">
        <f>L22</f>
        <v>109191177335.51999</v>
      </c>
      <c r="R9" s="36">
        <f>M22</f>
        <v>1200</v>
      </c>
      <c r="S9" s="623"/>
      <c r="T9" s="30">
        <f>O22</f>
        <v>163742400</v>
      </c>
      <c r="U9" s="623"/>
      <c r="V9" s="37">
        <f>Q22</f>
        <v>172106093800.272</v>
      </c>
      <c r="W9" s="44">
        <f>R22</f>
        <v>1600</v>
      </c>
      <c r="X9" s="625"/>
      <c r="Y9" s="45">
        <f>T22</f>
        <v>218323200</v>
      </c>
      <c r="Z9" s="625"/>
      <c r="AA9" s="46">
        <f>V22</f>
        <v>241312501911.49921</v>
      </c>
      <c r="AB9" s="36">
        <f>W22</f>
        <v>2000</v>
      </c>
      <c r="AC9" s="623"/>
      <c r="AD9" s="30">
        <f>Y22</f>
        <v>272904000</v>
      </c>
      <c r="AE9" s="623"/>
      <c r="AF9" s="37">
        <f>AA22</f>
        <v>317439550833.84912</v>
      </c>
      <c r="AG9" s="44">
        <f>AB22</f>
        <v>1600</v>
      </c>
      <c r="AH9" s="625"/>
      <c r="AI9" s="45">
        <f>AD22</f>
        <v>218323200</v>
      </c>
      <c r="AJ9" s="625"/>
      <c r="AK9" s="46">
        <f>AF22</f>
        <v>233699797019.26416</v>
      </c>
      <c r="AL9" s="36">
        <f>AG22</f>
        <v>1200</v>
      </c>
      <c r="AM9" s="623"/>
      <c r="AN9" s="30">
        <f>AI22</f>
        <v>163742400</v>
      </c>
      <c r="AO9" s="623"/>
      <c r="AP9" s="37">
        <f>AK22</f>
        <v>141586067823.2207</v>
      </c>
      <c r="AQ9" s="44">
        <f>AL22</f>
        <v>800</v>
      </c>
      <c r="AR9" s="625"/>
      <c r="AS9" s="45">
        <f>AN22</f>
        <v>109161600</v>
      </c>
      <c r="AT9" s="625"/>
      <c r="AU9" s="46">
        <f>AP22</f>
        <v>40260965707.572906</v>
      </c>
      <c r="AV9" s="36">
        <f>AQ22</f>
        <v>400</v>
      </c>
      <c r="AW9" s="623"/>
      <c r="AX9" s="30">
        <f>AS22</f>
        <v>54580800</v>
      </c>
      <c r="AY9" s="623"/>
      <c r="AZ9" s="37">
        <f>AU22</f>
        <v>-71196646619.639679</v>
      </c>
    </row>
    <row r="10" spans="2:52" x14ac:dyDescent="0.25">
      <c r="B10" s="75"/>
      <c r="C10" s="42"/>
      <c r="D10" s="47"/>
      <c r="E10" s="43"/>
      <c r="F10" s="43"/>
      <c r="G10" s="48"/>
      <c r="H10" s="36"/>
      <c r="I10" s="31"/>
      <c r="J10" s="29"/>
      <c r="K10" s="29"/>
      <c r="L10" s="38"/>
      <c r="M10" s="44"/>
      <c r="N10" s="47"/>
      <c r="O10" s="43"/>
      <c r="P10" s="43"/>
      <c r="Q10" s="48"/>
      <c r="R10" s="36"/>
      <c r="S10" s="31"/>
      <c r="T10" s="29"/>
      <c r="U10" s="29"/>
      <c r="V10" s="38"/>
      <c r="W10" s="44"/>
      <c r="X10" s="47"/>
      <c r="Y10" s="43"/>
      <c r="Z10" s="43"/>
      <c r="AA10" s="48"/>
      <c r="AB10" s="36"/>
      <c r="AC10" s="31"/>
      <c r="AD10" s="29"/>
      <c r="AE10" s="29"/>
      <c r="AF10" s="38"/>
      <c r="AG10" s="44"/>
      <c r="AH10" s="47"/>
      <c r="AI10" s="43"/>
      <c r="AJ10" s="43"/>
      <c r="AK10" s="48"/>
      <c r="AL10" s="36"/>
      <c r="AM10" s="31"/>
      <c r="AN10" s="29"/>
      <c r="AO10" s="29"/>
      <c r="AP10" s="38"/>
      <c r="AQ10" s="44"/>
      <c r="AR10" s="47"/>
      <c r="AS10" s="43"/>
      <c r="AT10" s="43"/>
      <c r="AU10" s="48"/>
      <c r="AV10" s="36"/>
      <c r="AW10" s="31"/>
      <c r="AX10" s="29"/>
      <c r="AY10" s="29"/>
      <c r="AZ10" s="38"/>
    </row>
    <row r="11" spans="2:52" x14ac:dyDescent="0.25">
      <c r="B11" s="75"/>
      <c r="C11" s="42"/>
      <c r="D11" s="47"/>
      <c r="E11" s="43"/>
      <c r="F11" s="43"/>
      <c r="G11" s="48"/>
      <c r="H11" s="36"/>
      <c r="I11" s="31"/>
      <c r="J11" s="29"/>
      <c r="K11" s="29"/>
      <c r="L11" s="38"/>
      <c r="M11" s="44"/>
      <c r="N11" s="47"/>
      <c r="O11" s="43"/>
      <c r="P11" s="43"/>
      <c r="Q11" s="48"/>
      <c r="R11" s="36"/>
      <c r="S11" s="31"/>
      <c r="T11" s="29"/>
      <c r="U11" s="29"/>
      <c r="V11" s="38"/>
      <c r="W11" s="44"/>
      <c r="X11" s="47"/>
      <c r="Y11" s="43"/>
      <c r="Z11" s="43"/>
      <c r="AA11" s="48"/>
      <c r="AB11" s="36"/>
      <c r="AC11" s="31"/>
      <c r="AD11" s="29"/>
      <c r="AE11" s="29"/>
      <c r="AF11" s="38"/>
      <c r="AG11" s="44"/>
      <c r="AH11" s="47"/>
      <c r="AI11" s="43"/>
      <c r="AJ11" s="43"/>
      <c r="AK11" s="48"/>
      <c r="AL11" s="36"/>
      <c r="AM11" s="31"/>
      <c r="AN11" s="29"/>
      <c r="AO11" s="29"/>
      <c r="AP11" s="38"/>
      <c r="AQ11" s="44"/>
      <c r="AR11" s="47"/>
      <c r="AS11" s="43"/>
      <c r="AT11" s="43"/>
      <c r="AU11" s="48"/>
      <c r="AV11" s="36"/>
      <c r="AW11" s="31"/>
      <c r="AX11" s="29"/>
      <c r="AY11" s="29"/>
      <c r="AZ11" s="38"/>
    </row>
    <row r="12" spans="2:52" x14ac:dyDescent="0.25">
      <c r="B12" s="75" t="s">
        <v>111</v>
      </c>
      <c r="C12" s="42"/>
      <c r="D12" s="47"/>
      <c r="E12" s="43"/>
      <c r="F12" s="43"/>
      <c r="G12" s="48"/>
      <c r="H12" s="36"/>
      <c r="I12" s="31"/>
      <c r="J12" s="29"/>
      <c r="K12" s="29"/>
      <c r="L12" s="38"/>
      <c r="M12" s="44"/>
      <c r="N12" s="47"/>
      <c r="O12" s="43"/>
      <c r="P12" s="43"/>
      <c r="Q12" s="48"/>
      <c r="R12" s="36"/>
      <c r="S12" s="31"/>
      <c r="T12" s="29"/>
      <c r="U12" s="29"/>
      <c r="V12" s="38"/>
      <c r="W12" s="44"/>
      <c r="X12" s="47"/>
      <c r="Y12" s="43"/>
      <c r="Z12" s="43"/>
      <c r="AA12" s="48"/>
      <c r="AB12" s="36"/>
      <c r="AC12" s="31"/>
      <c r="AD12" s="29"/>
      <c r="AE12" s="29"/>
      <c r="AF12" s="38"/>
      <c r="AG12" s="44"/>
      <c r="AH12" s="47"/>
      <c r="AI12" s="43"/>
      <c r="AJ12" s="43"/>
      <c r="AK12" s="48"/>
      <c r="AL12" s="36"/>
      <c r="AM12" s="31"/>
      <c r="AN12" s="29"/>
      <c r="AO12" s="29"/>
      <c r="AP12" s="38"/>
      <c r="AQ12" s="44"/>
      <c r="AR12" s="47"/>
      <c r="AS12" s="43"/>
      <c r="AT12" s="43"/>
      <c r="AU12" s="48"/>
      <c r="AV12" s="36"/>
      <c r="AW12" s="31"/>
      <c r="AX12" s="29"/>
      <c r="AY12" s="29"/>
      <c r="AZ12" s="38"/>
    </row>
    <row r="13" spans="2:52" x14ac:dyDescent="0.25">
      <c r="B13" s="76" t="s">
        <v>11</v>
      </c>
      <c r="C13" s="44">
        <f>'Parameters and Summary'!E92</f>
        <v>2000</v>
      </c>
      <c r="D13" s="45">
        <v>57452</v>
      </c>
      <c r="E13" s="45">
        <f>D13*C13</f>
        <v>114904000</v>
      </c>
      <c r="F13" s="45">
        <f>'Exchange Rate growth '!D6</f>
        <v>952.63900000000001</v>
      </c>
      <c r="G13" s="46">
        <f>E13*F13</f>
        <v>109462031656</v>
      </c>
      <c r="H13" s="36">
        <v>2000</v>
      </c>
      <c r="I13" s="30">
        <v>57452</v>
      </c>
      <c r="J13" s="30">
        <f>I13*H13</f>
        <v>114904000</v>
      </c>
      <c r="K13" s="30">
        <f>'Exchange Rate growth '!E6</f>
        <v>1047.9029</v>
      </c>
      <c r="L13" s="37">
        <f>J13*K13</f>
        <v>120408234821.60001</v>
      </c>
      <c r="M13" s="44">
        <v>2000</v>
      </c>
      <c r="N13" s="45">
        <v>57452</v>
      </c>
      <c r="O13" s="45">
        <f>N13*M13</f>
        <v>114904000</v>
      </c>
      <c r="P13" s="45">
        <f>'Exchange Rate growth '!F6</f>
        <v>1152.6931900000002</v>
      </c>
      <c r="Q13" s="46">
        <f>O13*P13</f>
        <v>132449058303.76003</v>
      </c>
      <c r="R13" s="36">
        <v>2000</v>
      </c>
      <c r="S13" s="30">
        <v>57452</v>
      </c>
      <c r="T13" s="30">
        <f>S13*R13</f>
        <v>114904000</v>
      </c>
      <c r="U13" s="30">
        <f>'Exchange Rate growth '!G6</f>
        <v>1267.9625090000004</v>
      </c>
      <c r="V13" s="37">
        <f>T13*U13</f>
        <v>145693964134.13605</v>
      </c>
      <c r="W13" s="44">
        <v>2000</v>
      </c>
      <c r="X13" s="45">
        <v>57452</v>
      </c>
      <c r="Y13" s="45">
        <f>X13*W13</f>
        <v>114904000</v>
      </c>
      <c r="Z13" s="45">
        <f>'Exchange Rate growth '!H6</f>
        <v>1394.7587599000005</v>
      </c>
      <c r="AA13" s="46">
        <f>Y13*Z13</f>
        <v>160263360547.54965</v>
      </c>
      <c r="AB13" s="36"/>
      <c r="AC13" s="30">
        <v>57452</v>
      </c>
      <c r="AD13" s="30">
        <f>AC13*AB13</f>
        <v>0</v>
      </c>
      <c r="AE13" s="30">
        <f>'Exchange Rate growth '!I6</f>
        <v>1534.2346358900006</v>
      </c>
      <c r="AF13" s="37">
        <f>AD13*AE13</f>
        <v>0</v>
      </c>
      <c r="AG13" s="44"/>
      <c r="AH13" s="45">
        <v>57452</v>
      </c>
      <c r="AI13" s="45">
        <f>AH13*AG13</f>
        <v>0</v>
      </c>
      <c r="AJ13" s="45">
        <f>'Exchange Rate growth '!J6</f>
        <v>1687.6580994790008</v>
      </c>
      <c r="AK13" s="46">
        <f>AI13*AJ13</f>
        <v>0</v>
      </c>
      <c r="AL13" s="36"/>
      <c r="AM13" s="30">
        <v>57452</v>
      </c>
      <c r="AN13" s="30">
        <f>AM13*AL13</f>
        <v>0</v>
      </c>
      <c r="AO13" s="30">
        <f>'Exchange Rate growth '!K6</f>
        <v>1856.423909426901</v>
      </c>
      <c r="AP13" s="37">
        <f>AN13*AO13</f>
        <v>0</v>
      </c>
      <c r="AQ13" s="44"/>
      <c r="AR13" s="45">
        <v>57452</v>
      </c>
      <c r="AS13" s="45">
        <f>AR13*AQ13</f>
        <v>0</v>
      </c>
      <c r="AT13" s="45">
        <f>'Exchange Rate growth '!L6</f>
        <v>2042.0663003695913</v>
      </c>
      <c r="AU13" s="46">
        <f>AS13*AT13</f>
        <v>0</v>
      </c>
      <c r="AV13" s="36"/>
      <c r="AW13" s="30">
        <v>57452</v>
      </c>
      <c r="AX13" s="30">
        <f>AW13*AV13</f>
        <v>0</v>
      </c>
      <c r="AY13" s="30">
        <f>'Exchange Rate growth '!M6</f>
        <v>2246.2729304065506</v>
      </c>
      <c r="AZ13" s="37">
        <f>AX13*AY13</f>
        <v>0</v>
      </c>
    </row>
    <row r="14" spans="2:52" x14ac:dyDescent="0.25">
      <c r="B14" s="76" t="s">
        <v>12</v>
      </c>
      <c r="C14" s="44">
        <f>'Parameters and Summary'!E93</f>
        <v>400</v>
      </c>
      <c r="D14" s="45">
        <v>136452</v>
      </c>
      <c r="E14" s="45">
        <f>D14*C14</f>
        <v>54580800</v>
      </c>
      <c r="F14" s="45">
        <f>F13</f>
        <v>952.63900000000001</v>
      </c>
      <c r="G14" s="46">
        <f>E14*F14</f>
        <v>51995798731.199997</v>
      </c>
      <c r="H14" s="36">
        <v>400</v>
      </c>
      <c r="I14" s="30">
        <v>136452</v>
      </c>
      <c r="J14" s="30">
        <f>I14*H14</f>
        <v>54580800</v>
      </c>
      <c r="K14" s="30">
        <f>K13</f>
        <v>1047.9029</v>
      </c>
      <c r="L14" s="37">
        <f>J14*K14</f>
        <v>57195378604.32</v>
      </c>
      <c r="M14" s="44">
        <v>400</v>
      </c>
      <c r="N14" s="45">
        <v>136452</v>
      </c>
      <c r="O14" s="45">
        <f>N14*M14</f>
        <v>54580800</v>
      </c>
      <c r="P14" s="45">
        <f>P13</f>
        <v>1152.6931900000002</v>
      </c>
      <c r="Q14" s="46">
        <f>O14*P14</f>
        <v>62914916464.752007</v>
      </c>
      <c r="R14" s="36">
        <v>400</v>
      </c>
      <c r="S14" s="30">
        <v>136452</v>
      </c>
      <c r="T14" s="30">
        <f>S14*R14</f>
        <v>54580800</v>
      </c>
      <c r="U14" s="30">
        <f>U13</f>
        <v>1267.9625090000004</v>
      </c>
      <c r="V14" s="37">
        <f>T14*U14</f>
        <v>69206408111.227219</v>
      </c>
      <c r="W14" s="44">
        <v>400</v>
      </c>
      <c r="X14" s="45">
        <v>136452</v>
      </c>
      <c r="Y14" s="45">
        <f>X14*W14</f>
        <v>54580800</v>
      </c>
      <c r="Z14" s="45">
        <f>Z13</f>
        <v>1394.7587599000005</v>
      </c>
      <c r="AA14" s="46">
        <f>Y14*Z14</f>
        <v>76127048922.349945</v>
      </c>
      <c r="AB14" s="36"/>
      <c r="AC14" s="30">
        <v>136452</v>
      </c>
      <c r="AD14" s="30">
        <f>AC14*AB14</f>
        <v>0</v>
      </c>
      <c r="AE14" s="30">
        <f>AE13</f>
        <v>1534.2346358900006</v>
      </c>
      <c r="AF14" s="37">
        <f>AD14*AE14</f>
        <v>0</v>
      </c>
      <c r="AG14" s="44"/>
      <c r="AH14" s="45">
        <v>136452</v>
      </c>
      <c r="AI14" s="45">
        <f>AH14*AG14</f>
        <v>0</v>
      </c>
      <c r="AJ14" s="45">
        <f>AJ13</f>
        <v>1687.6580994790008</v>
      </c>
      <c r="AK14" s="46">
        <f>AI14*AJ14</f>
        <v>0</v>
      </c>
      <c r="AL14" s="36"/>
      <c r="AM14" s="30">
        <v>136452</v>
      </c>
      <c r="AN14" s="30">
        <f>AM14*AL14</f>
        <v>0</v>
      </c>
      <c r="AO14" s="30">
        <f>AO13</f>
        <v>1856.423909426901</v>
      </c>
      <c r="AP14" s="37">
        <f>AN14*AO14</f>
        <v>0</v>
      </c>
      <c r="AQ14" s="44"/>
      <c r="AR14" s="45">
        <v>136452</v>
      </c>
      <c r="AS14" s="45">
        <f>AR14*AQ14</f>
        <v>0</v>
      </c>
      <c r="AT14" s="45">
        <f>AT13</f>
        <v>2042.0663003695913</v>
      </c>
      <c r="AU14" s="46">
        <f>AS14*AT14</f>
        <v>0</v>
      </c>
      <c r="AV14" s="36"/>
      <c r="AW14" s="30">
        <v>136452</v>
      </c>
      <c r="AX14" s="30">
        <f>AW14*AV14</f>
        <v>0</v>
      </c>
      <c r="AY14" s="30">
        <f>AY13</f>
        <v>2246.2729304065506</v>
      </c>
      <c r="AZ14" s="37">
        <f>AX14*AY14</f>
        <v>0</v>
      </c>
    </row>
    <row r="15" spans="2:52" x14ac:dyDescent="0.25">
      <c r="B15" s="75"/>
      <c r="C15" s="42"/>
      <c r="D15" s="47"/>
      <c r="E15" s="43"/>
      <c r="F15" s="43"/>
      <c r="G15" s="48"/>
      <c r="H15" s="36"/>
      <c r="I15" s="31"/>
      <c r="J15" s="29"/>
      <c r="K15" s="29"/>
      <c r="L15" s="38"/>
      <c r="M15" s="44"/>
      <c r="N15" s="47"/>
      <c r="O15" s="43"/>
      <c r="P15" s="43"/>
      <c r="Q15" s="48"/>
      <c r="R15" s="36"/>
      <c r="S15" s="31"/>
      <c r="T15" s="29"/>
      <c r="U15" s="29"/>
      <c r="V15" s="38"/>
      <c r="W15" s="44"/>
      <c r="X15" s="47"/>
      <c r="Y15" s="43"/>
      <c r="Z15" s="43"/>
      <c r="AA15" s="48"/>
      <c r="AB15" s="36"/>
      <c r="AC15" s="31"/>
      <c r="AD15" s="29"/>
      <c r="AE15" s="29"/>
      <c r="AF15" s="38"/>
      <c r="AG15" s="44"/>
      <c r="AH15" s="47"/>
      <c r="AI15" s="43"/>
      <c r="AJ15" s="43"/>
      <c r="AK15" s="48"/>
      <c r="AL15" s="36"/>
      <c r="AM15" s="31"/>
      <c r="AN15" s="29"/>
      <c r="AO15" s="29"/>
      <c r="AP15" s="38"/>
      <c r="AQ15" s="44"/>
      <c r="AR15" s="47"/>
      <c r="AS15" s="43"/>
      <c r="AT15" s="43"/>
      <c r="AU15" s="48"/>
      <c r="AV15" s="36"/>
      <c r="AW15" s="31"/>
      <c r="AX15" s="29"/>
      <c r="AY15" s="29"/>
      <c r="AZ15" s="38"/>
    </row>
    <row r="16" spans="2:52" x14ac:dyDescent="0.25">
      <c r="B16" s="75" t="s">
        <v>109</v>
      </c>
      <c r="C16" s="42"/>
      <c r="D16" s="47"/>
      <c r="E16" s="43"/>
      <c r="F16" s="43"/>
      <c r="G16" s="48"/>
      <c r="H16" s="36"/>
      <c r="I16" s="31"/>
      <c r="J16" s="29"/>
      <c r="K16" s="29"/>
      <c r="L16" s="38"/>
      <c r="M16" s="44"/>
      <c r="N16" s="47"/>
      <c r="O16" s="43"/>
      <c r="P16" s="43"/>
      <c r="Q16" s="48"/>
      <c r="R16" s="36"/>
      <c r="S16" s="31"/>
      <c r="T16" s="29"/>
      <c r="U16" s="29"/>
      <c r="V16" s="38"/>
      <c r="W16" s="44"/>
      <c r="X16" s="47"/>
      <c r="Y16" s="43"/>
      <c r="Z16" s="43"/>
      <c r="AA16" s="48"/>
      <c r="AB16" s="36"/>
      <c r="AC16" s="31"/>
      <c r="AD16" s="29"/>
      <c r="AE16" s="29"/>
      <c r="AF16" s="38"/>
      <c r="AG16" s="44"/>
      <c r="AH16" s="47"/>
      <c r="AI16" s="43"/>
      <c r="AJ16" s="43"/>
      <c r="AK16" s="48"/>
      <c r="AL16" s="36"/>
      <c r="AM16" s="31"/>
      <c r="AN16" s="29"/>
      <c r="AO16" s="29"/>
      <c r="AP16" s="38"/>
      <c r="AQ16" s="44"/>
      <c r="AR16" s="47"/>
      <c r="AS16" s="43"/>
      <c r="AT16" s="43"/>
      <c r="AU16" s="48"/>
      <c r="AV16" s="36"/>
      <c r="AW16" s="31"/>
      <c r="AX16" s="29"/>
      <c r="AY16" s="29"/>
      <c r="AZ16" s="38"/>
    </row>
    <row r="17" spans="2:52" x14ac:dyDescent="0.25">
      <c r="B17" s="76" t="s">
        <v>11</v>
      </c>
      <c r="C17" s="42"/>
      <c r="D17" s="47"/>
      <c r="E17" s="43"/>
      <c r="F17" s="43"/>
      <c r="G17" s="48"/>
      <c r="H17" s="36"/>
      <c r="I17" s="31"/>
      <c r="J17" s="29"/>
      <c r="K17" s="29"/>
      <c r="L17" s="38"/>
      <c r="M17" s="44"/>
      <c r="N17" s="47"/>
      <c r="O17" s="43"/>
      <c r="P17" s="43"/>
      <c r="Q17" s="48"/>
      <c r="R17" s="36"/>
      <c r="S17" s="31"/>
      <c r="T17" s="29"/>
      <c r="U17" s="29"/>
      <c r="V17" s="38"/>
      <c r="W17" s="44"/>
      <c r="X17" s="47"/>
      <c r="Y17" s="43"/>
      <c r="Z17" s="43"/>
      <c r="AA17" s="48"/>
      <c r="AB17" s="36">
        <f>C13</f>
        <v>2000</v>
      </c>
      <c r="AC17" s="30">
        <f t="shared" ref="AC17:AD17" si="0">D13</f>
        <v>57452</v>
      </c>
      <c r="AD17" s="30">
        <f t="shared" si="0"/>
        <v>114904000</v>
      </c>
      <c r="AE17" s="30">
        <f>AE13</f>
        <v>1534.2346358900006</v>
      </c>
      <c r="AF17" s="37">
        <f>AD17*AE17</f>
        <v>176289696602.30463</v>
      </c>
      <c r="AG17" s="44">
        <f>H13</f>
        <v>2000</v>
      </c>
      <c r="AH17" s="45">
        <f t="shared" ref="AH17:AH18" si="1">I13</f>
        <v>57452</v>
      </c>
      <c r="AI17" s="45">
        <f t="shared" ref="AI17:AI18" si="2">J13</f>
        <v>114904000</v>
      </c>
      <c r="AJ17" s="45">
        <f>AJ13</f>
        <v>1687.6580994790008</v>
      </c>
      <c r="AK17" s="46">
        <f>AI17*AJ17</f>
        <v>193918666262.53513</v>
      </c>
      <c r="AL17" s="36">
        <f>M13</f>
        <v>2000</v>
      </c>
      <c r="AM17" s="30">
        <f t="shared" ref="AM17:AM18" si="3">N13</f>
        <v>57452</v>
      </c>
      <c r="AN17" s="30">
        <f t="shared" ref="AN17:AN18" si="4">O13</f>
        <v>114904000</v>
      </c>
      <c r="AO17" s="30">
        <f>AO13</f>
        <v>1856.423909426901</v>
      </c>
      <c r="AP17" s="37">
        <f>AN17*AO17</f>
        <v>213310532888.78864</v>
      </c>
      <c r="AQ17" s="44">
        <f>R13</f>
        <v>2000</v>
      </c>
      <c r="AR17" s="45">
        <f t="shared" ref="AR17:AR18" si="5">S13</f>
        <v>57452</v>
      </c>
      <c r="AS17" s="45">
        <f t="shared" ref="AS17:AS18" si="6">T13</f>
        <v>114904000</v>
      </c>
      <c r="AT17" s="45">
        <f>AT13</f>
        <v>2042.0663003695913</v>
      </c>
      <c r="AU17" s="46">
        <f>AS17*AT17</f>
        <v>234641586177.66751</v>
      </c>
      <c r="AV17" s="36">
        <f>W13</f>
        <v>2000</v>
      </c>
      <c r="AW17" s="30">
        <f t="shared" ref="AW17:AW18" si="7">X13</f>
        <v>57452</v>
      </c>
      <c r="AX17" s="30">
        <f t="shared" ref="AX17:AX18" si="8">Y13</f>
        <v>114904000</v>
      </c>
      <c r="AY17" s="30">
        <f>AY13</f>
        <v>2246.2729304065506</v>
      </c>
      <c r="AZ17" s="37">
        <f>AX17*AY17</f>
        <v>258105744795.4343</v>
      </c>
    </row>
    <row r="18" spans="2:52" x14ac:dyDescent="0.25">
      <c r="B18" s="76" t="s">
        <v>12</v>
      </c>
      <c r="C18" s="42"/>
      <c r="D18" s="47"/>
      <c r="E18" s="43"/>
      <c r="F18" s="43"/>
      <c r="G18" s="48"/>
      <c r="H18" s="36"/>
      <c r="I18" s="31"/>
      <c r="J18" s="29"/>
      <c r="K18" s="29"/>
      <c r="L18" s="38"/>
      <c r="M18" s="44"/>
      <c r="N18" s="47"/>
      <c r="O18" s="43"/>
      <c r="P18" s="43"/>
      <c r="Q18" s="48"/>
      <c r="R18" s="36"/>
      <c r="S18" s="31"/>
      <c r="T18" s="29"/>
      <c r="U18" s="29"/>
      <c r="V18" s="38"/>
      <c r="W18" s="44"/>
      <c r="X18" s="47"/>
      <c r="Y18" s="43"/>
      <c r="Z18" s="43"/>
      <c r="AA18" s="48"/>
      <c r="AB18" s="36">
        <f>C14</f>
        <v>400</v>
      </c>
      <c r="AC18" s="30">
        <f t="shared" ref="AC18:AD18" si="9">D14</f>
        <v>136452</v>
      </c>
      <c r="AD18" s="30">
        <f t="shared" si="9"/>
        <v>54580800</v>
      </c>
      <c r="AE18" s="30">
        <f>AE14</f>
        <v>1534.2346358900006</v>
      </c>
      <c r="AF18" s="37">
        <f>AD18*AE18</f>
        <v>83739753814.584946</v>
      </c>
      <c r="AG18" s="44">
        <f>H14</f>
        <v>400</v>
      </c>
      <c r="AH18" s="45">
        <f t="shared" si="1"/>
        <v>136452</v>
      </c>
      <c r="AI18" s="45">
        <f t="shared" si="2"/>
        <v>54580800</v>
      </c>
      <c r="AJ18" s="45">
        <f>AJ14</f>
        <v>1687.6580994790008</v>
      </c>
      <c r="AK18" s="46">
        <f>AI18*AJ18</f>
        <v>92113729196.043442</v>
      </c>
      <c r="AL18" s="36">
        <f>M14</f>
        <v>400</v>
      </c>
      <c r="AM18" s="30">
        <f t="shared" si="3"/>
        <v>136452</v>
      </c>
      <c r="AN18" s="30">
        <f t="shared" si="4"/>
        <v>54580800</v>
      </c>
      <c r="AO18" s="30">
        <f>AO14</f>
        <v>1856.423909426901</v>
      </c>
      <c r="AP18" s="37">
        <f>AN18*AO18</f>
        <v>101325102115.6478</v>
      </c>
      <c r="AQ18" s="44">
        <f>R14</f>
        <v>400</v>
      </c>
      <c r="AR18" s="45">
        <f t="shared" si="5"/>
        <v>136452</v>
      </c>
      <c r="AS18" s="45">
        <f t="shared" si="6"/>
        <v>54580800</v>
      </c>
      <c r="AT18" s="45">
        <f>AT14</f>
        <v>2042.0663003695913</v>
      </c>
      <c r="AU18" s="46">
        <f>AS18*AT18</f>
        <v>111457612327.21259</v>
      </c>
      <c r="AV18" s="36">
        <f>W14</f>
        <v>400</v>
      </c>
      <c r="AW18" s="30">
        <f t="shared" si="7"/>
        <v>136452</v>
      </c>
      <c r="AX18" s="30">
        <f t="shared" si="8"/>
        <v>54580800</v>
      </c>
      <c r="AY18" s="30">
        <f>AY14</f>
        <v>2246.2729304065506</v>
      </c>
      <c r="AZ18" s="37">
        <f>AX18*AY18</f>
        <v>122603373559.93385</v>
      </c>
    </row>
    <row r="19" spans="2:52" x14ac:dyDescent="0.25">
      <c r="B19" s="75"/>
      <c r="C19" s="42"/>
      <c r="D19" s="47"/>
      <c r="E19" s="43"/>
      <c r="F19" s="43"/>
      <c r="G19" s="48"/>
      <c r="H19" s="36"/>
      <c r="I19" s="31"/>
      <c r="J19" s="29"/>
      <c r="K19" s="29"/>
      <c r="L19" s="38"/>
      <c r="M19" s="44"/>
      <c r="N19" s="47"/>
      <c r="O19" s="43"/>
      <c r="P19" s="43"/>
      <c r="Q19" s="48"/>
      <c r="R19" s="36"/>
      <c r="S19" s="31"/>
      <c r="T19" s="29"/>
      <c r="U19" s="29"/>
      <c r="V19" s="38"/>
      <c r="W19" s="44"/>
      <c r="X19" s="47"/>
      <c r="Y19" s="43"/>
      <c r="Z19" s="43"/>
      <c r="AA19" s="48"/>
      <c r="AB19" s="36"/>
      <c r="AC19" s="31"/>
      <c r="AD19" s="29"/>
      <c r="AE19" s="29"/>
      <c r="AF19" s="38"/>
      <c r="AG19" s="44"/>
      <c r="AH19" s="47"/>
      <c r="AI19" s="43"/>
      <c r="AJ19" s="43"/>
      <c r="AK19" s="48"/>
      <c r="AL19" s="36"/>
      <c r="AM19" s="31"/>
      <c r="AN19" s="29"/>
      <c r="AO19" s="29"/>
      <c r="AP19" s="38"/>
      <c r="AQ19" s="44"/>
      <c r="AR19" s="47"/>
      <c r="AS19" s="43"/>
      <c r="AT19" s="43"/>
      <c r="AU19" s="48"/>
      <c r="AV19" s="36"/>
      <c r="AW19" s="31"/>
      <c r="AX19" s="29"/>
      <c r="AY19" s="29"/>
      <c r="AZ19" s="38"/>
    </row>
    <row r="20" spans="2:52" ht="11" thickBot="1" x14ac:dyDescent="0.3">
      <c r="B20" s="79" t="s">
        <v>112</v>
      </c>
      <c r="C20" s="80"/>
      <c r="D20" s="50"/>
      <c r="E20" s="73"/>
      <c r="F20" s="73"/>
      <c r="G20" s="74"/>
      <c r="H20" s="53"/>
      <c r="I20" s="39"/>
      <c r="J20" s="71"/>
      <c r="K20" s="71"/>
      <c r="L20" s="72"/>
      <c r="M20" s="54"/>
      <c r="N20" s="50"/>
      <c r="O20" s="73"/>
      <c r="P20" s="73"/>
      <c r="Q20" s="74"/>
      <c r="R20" s="53"/>
      <c r="S20" s="39"/>
      <c r="T20" s="71"/>
      <c r="U20" s="71"/>
      <c r="V20" s="72"/>
      <c r="W20" s="54"/>
      <c r="X20" s="50"/>
      <c r="Y20" s="73"/>
      <c r="Z20" s="73"/>
      <c r="AA20" s="74"/>
      <c r="AB20" s="53"/>
      <c r="AC20" s="39"/>
      <c r="AD20" s="71"/>
      <c r="AE20" s="71"/>
      <c r="AF20" s="72"/>
      <c r="AG20" s="54"/>
      <c r="AH20" s="50"/>
      <c r="AI20" s="73"/>
      <c r="AJ20" s="73"/>
      <c r="AK20" s="74"/>
      <c r="AL20" s="53"/>
      <c r="AM20" s="39"/>
      <c r="AN20" s="71"/>
      <c r="AO20" s="71"/>
      <c r="AP20" s="72"/>
      <c r="AQ20" s="54"/>
      <c r="AR20" s="50"/>
      <c r="AS20" s="73"/>
      <c r="AT20" s="73"/>
      <c r="AU20" s="74"/>
      <c r="AV20" s="53"/>
      <c r="AW20" s="39"/>
      <c r="AX20" s="71"/>
      <c r="AY20" s="71"/>
      <c r="AZ20" s="72"/>
    </row>
    <row r="21" spans="2:52" x14ac:dyDescent="0.25">
      <c r="B21" s="76" t="s">
        <v>11</v>
      </c>
      <c r="C21" s="78">
        <f>C8+C13-C17</f>
        <v>2000</v>
      </c>
      <c r="D21" s="68"/>
      <c r="E21" s="69">
        <f>E8+E13-E17</f>
        <v>114904000</v>
      </c>
      <c r="F21" s="69">
        <f>F8</f>
        <v>0</v>
      </c>
      <c r="G21" s="70">
        <f>G8+G13-G17</f>
        <v>109462031656</v>
      </c>
      <c r="H21" s="55">
        <f>H8+H13-H17</f>
        <v>4000</v>
      </c>
      <c r="I21" s="65"/>
      <c r="J21" s="66">
        <f>J8+J13-J17</f>
        <v>229808000</v>
      </c>
      <c r="K21" s="66">
        <f>K13</f>
        <v>1047.9029</v>
      </c>
      <c r="L21" s="67">
        <f>L8+L13-L17</f>
        <v>229870266477.60001</v>
      </c>
      <c r="M21" s="56">
        <f>M8+M13-M17</f>
        <v>6000</v>
      </c>
      <c r="N21" s="68"/>
      <c r="O21" s="69">
        <f>O8+O13-O17</f>
        <v>344712000</v>
      </c>
      <c r="P21" s="69">
        <f>P13</f>
        <v>1152.6931900000002</v>
      </c>
      <c r="Q21" s="70">
        <f>Q8+Q13-Q17</f>
        <v>362319324781.36005</v>
      </c>
      <c r="R21" s="55">
        <f>R8+R13-R17</f>
        <v>8000</v>
      </c>
      <c r="S21" s="65"/>
      <c r="T21" s="66">
        <f>T8+T13-T17</f>
        <v>459616000</v>
      </c>
      <c r="U21" s="66">
        <f>U13</f>
        <v>1267.9625090000004</v>
      </c>
      <c r="V21" s="67">
        <f>V8+V13-V17</f>
        <v>508013288915.49609</v>
      </c>
      <c r="W21" s="56">
        <f>W8+W13-W17</f>
        <v>10000</v>
      </c>
      <c r="X21" s="68"/>
      <c r="Y21" s="69">
        <f>Y8+Y13-Y17</f>
        <v>574520000</v>
      </c>
      <c r="Z21" s="69">
        <f>Z13</f>
        <v>1394.7587599000005</v>
      </c>
      <c r="AA21" s="70">
        <f>AA8+AA13-AA17</f>
        <v>668276649463.04578</v>
      </c>
      <c r="AB21" s="55">
        <f>AB8+AB13-AB17</f>
        <v>8000</v>
      </c>
      <c r="AC21" s="65"/>
      <c r="AD21" s="66">
        <f>AD8+AD13-AD17</f>
        <v>459616000</v>
      </c>
      <c r="AE21" s="66">
        <f>AE13</f>
        <v>1534.2346358900006</v>
      </c>
      <c r="AF21" s="67">
        <f>AF8+AF13-AF17</f>
        <v>491986952860.74115</v>
      </c>
      <c r="AG21" s="56">
        <f>AG8+AG13-AG17</f>
        <v>6000</v>
      </c>
      <c r="AH21" s="68"/>
      <c r="AI21" s="69">
        <f>AI8+AI13-AI17</f>
        <v>344712000</v>
      </c>
      <c r="AJ21" s="69">
        <f>AJ13</f>
        <v>1687.6580994790008</v>
      </c>
      <c r="AK21" s="70">
        <f>AK8+AK13-AK17</f>
        <v>298068286598.20605</v>
      </c>
      <c r="AL21" s="55">
        <f>AL8+AL13-AL17</f>
        <v>4000</v>
      </c>
      <c r="AM21" s="65"/>
      <c r="AN21" s="66">
        <f>AN8+AN13-AN17</f>
        <v>229808000</v>
      </c>
      <c r="AO21" s="66">
        <f>AO13</f>
        <v>1856.423909426901</v>
      </c>
      <c r="AP21" s="67">
        <f>AP8+AP13-AP17</f>
        <v>84757753709.417419</v>
      </c>
      <c r="AQ21" s="56">
        <f>AQ8+AQ13-AQ17</f>
        <v>2000</v>
      </c>
      <c r="AR21" s="68"/>
      <c r="AS21" s="69">
        <f>AS8+AS13-AS17</f>
        <v>114904000</v>
      </c>
      <c r="AT21" s="69">
        <f>AT13</f>
        <v>2042.0663003695913</v>
      </c>
      <c r="AU21" s="70">
        <f>AU8+AU13-AU17</f>
        <v>-149883832468.25009</v>
      </c>
      <c r="AV21" s="55">
        <f>AV8+AV13-AV17</f>
        <v>0</v>
      </c>
      <c r="AW21" s="65"/>
      <c r="AX21" s="66">
        <f>AX8+AX13-AX17</f>
        <v>0</v>
      </c>
      <c r="AY21" s="66">
        <f>AY13</f>
        <v>2246.2729304065506</v>
      </c>
      <c r="AZ21" s="67">
        <f>AZ8+AZ13-AZ17</f>
        <v>-407989577263.68439</v>
      </c>
    </row>
    <row r="22" spans="2:52" ht="11" thickBot="1" x14ac:dyDescent="0.3">
      <c r="B22" s="77" t="s">
        <v>12</v>
      </c>
      <c r="C22" s="49">
        <f>C9+C14-C18</f>
        <v>400</v>
      </c>
      <c r="D22" s="50"/>
      <c r="E22" s="51">
        <f>E9+E14-E18</f>
        <v>54580800</v>
      </c>
      <c r="F22" s="51">
        <f>F9</f>
        <v>0</v>
      </c>
      <c r="G22" s="52">
        <f>G9+G14-G18</f>
        <v>51995798731.199997</v>
      </c>
      <c r="H22" s="53">
        <f>H9+H14-H18</f>
        <v>800</v>
      </c>
      <c r="I22" s="39"/>
      <c r="J22" s="40">
        <f>J9+J14-J18</f>
        <v>109161600</v>
      </c>
      <c r="K22" s="40">
        <f>K14</f>
        <v>1047.9029</v>
      </c>
      <c r="L22" s="41">
        <f>L9+L14-L18</f>
        <v>109191177335.51999</v>
      </c>
      <c r="M22" s="54">
        <f>M9+M14-M18</f>
        <v>1200</v>
      </c>
      <c r="N22" s="50"/>
      <c r="O22" s="51">
        <f>O9+O14-O18</f>
        <v>163742400</v>
      </c>
      <c r="P22" s="51">
        <f>P14</f>
        <v>1152.6931900000002</v>
      </c>
      <c r="Q22" s="52">
        <f>Q9+Q14-Q18</f>
        <v>172106093800.272</v>
      </c>
      <c r="R22" s="53">
        <f>R9+R14-R18</f>
        <v>1600</v>
      </c>
      <c r="S22" s="39"/>
      <c r="T22" s="40">
        <f>T9+T14-T18</f>
        <v>218323200</v>
      </c>
      <c r="U22" s="40">
        <f>U14</f>
        <v>1267.9625090000004</v>
      </c>
      <c r="V22" s="41">
        <f>V9+V14-V18</f>
        <v>241312501911.49921</v>
      </c>
      <c r="W22" s="54">
        <f>W9+W14-W18</f>
        <v>2000</v>
      </c>
      <c r="X22" s="50"/>
      <c r="Y22" s="51">
        <f>Y9+Y14-Y18</f>
        <v>272904000</v>
      </c>
      <c r="Z22" s="51">
        <f>Z14</f>
        <v>1394.7587599000005</v>
      </c>
      <c r="AA22" s="52">
        <f>AA9+AA14-AA18</f>
        <v>317439550833.84912</v>
      </c>
      <c r="AB22" s="53">
        <f>AB9+AB14-AB18</f>
        <v>1600</v>
      </c>
      <c r="AC22" s="39"/>
      <c r="AD22" s="40">
        <f>AD9+AD14-AD18</f>
        <v>218323200</v>
      </c>
      <c r="AE22" s="40">
        <f>AE14</f>
        <v>1534.2346358900006</v>
      </c>
      <c r="AF22" s="41">
        <f>AF9+AF14-AF18</f>
        <v>233699797019.26416</v>
      </c>
      <c r="AG22" s="54">
        <f>AG9+AG14-AG18</f>
        <v>1200</v>
      </c>
      <c r="AH22" s="50"/>
      <c r="AI22" s="51">
        <f>AI9+AI14-AI18</f>
        <v>163742400</v>
      </c>
      <c r="AJ22" s="51">
        <f>AJ14</f>
        <v>1687.6580994790008</v>
      </c>
      <c r="AK22" s="52">
        <f>AK9+AK14-AK18</f>
        <v>141586067823.2207</v>
      </c>
      <c r="AL22" s="53">
        <f>AL9+AL14-AL18</f>
        <v>800</v>
      </c>
      <c r="AM22" s="39"/>
      <c r="AN22" s="40">
        <f>AN9+AN14-AN18</f>
        <v>109161600</v>
      </c>
      <c r="AO22" s="40">
        <f>AO14</f>
        <v>1856.423909426901</v>
      </c>
      <c r="AP22" s="41">
        <f>AP9+AP14-AP18</f>
        <v>40260965707.572906</v>
      </c>
      <c r="AQ22" s="54">
        <f>AQ9+AQ14-AQ18</f>
        <v>400</v>
      </c>
      <c r="AR22" s="50"/>
      <c r="AS22" s="51">
        <f>AS9+AS14-AS18</f>
        <v>54580800</v>
      </c>
      <c r="AT22" s="51">
        <f>AT14</f>
        <v>2042.0663003695913</v>
      </c>
      <c r="AU22" s="52">
        <f>AU9+AU14-AU18</f>
        <v>-71196646619.639679</v>
      </c>
      <c r="AV22" s="53">
        <f>AV9+AV14-AV18</f>
        <v>0</v>
      </c>
      <c r="AW22" s="39"/>
      <c r="AX22" s="40">
        <f>AX9+AX14-AX18</f>
        <v>0</v>
      </c>
      <c r="AY22" s="40">
        <f>AY14</f>
        <v>2246.2729304065506</v>
      </c>
      <c r="AZ22" s="41">
        <f>AZ9+AZ14-AZ18</f>
        <v>-193800020179.57355</v>
      </c>
    </row>
    <row r="23" spans="2:52" x14ac:dyDescent="0.25">
      <c r="O23" s="32"/>
      <c r="Q23" s="33"/>
      <c r="T23" s="32"/>
      <c r="V23" s="33"/>
      <c r="Y23" s="32"/>
      <c r="AA23" s="33"/>
      <c r="AD23" s="32"/>
      <c r="AF23" s="33"/>
      <c r="AI23" s="32"/>
      <c r="AK23" s="33"/>
      <c r="AN23" s="32"/>
      <c r="AP23" s="33"/>
      <c r="AS23" s="32"/>
      <c r="AU23" s="33"/>
      <c r="AX23" s="32"/>
      <c r="AZ23" s="33"/>
    </row>
    <row r="25" spans="2:52" ht="11" thickBot="1" x14ac:dyDescent="0.3">
      <c r="B25" s="28" t="s">
        <v>117</v>
      </c>
      <c r="AA25" s="34"/>
    </row>
    <row r="26" spans="2:52" ht="11" thickBot="1" x14ac:dyDescent="0.3">
      <c r="B26" s="102"/>
      <c r="C26" s="97" t="s">
        <v>2</v>
      </c>
      <c r="D26" s="95" t="s">
        <v>3</v>
      </c>
      <c r="E26" s="95" t="s">
        <v>4</v>
      </c>
      <c r="F26" s="95" t="s">
        <v>5</v>
      </c>
      <c r="G26" s="95" t="s">
        <v>6</v>
      </c>
      <c r="H26" s="95" t="s">
        <v>104</v>
      </c>
      <c r="I26" s="95" t="s">
        <v>105</v>
      </c>
      <c r="J26" s="95" t="s">
        <v>106</v>
      </c>
      <c r="K26" s="95" t="s">
        <v>107</v>
      </c>
      <c r="L26" s="96" t="s">
        <v>108</v>
      </c>
      <c r="M26" s="106" t="s">
        <v>0</v>
      </c>
    </row>
    <row r="27" spans="2:52" ht="11" thickBot="1" x14ac:dyDescent="0.3">
      <c r="B27" s="103"/>
      <c r="C27" s="98" t="s">
        <v>1</v>
      </c>
      <c r="D27" s="93" t="s">
        <v>1</v>
      </c>
      <c r="E27" s="93" t="s">
        <v>1</v>
      </c>
      <c r="F27" s="93" t="s">
        <v>1</v>
      </c>
      <c r="G27" s="93" t="s">
        <v>1</v>
      </c>
      <c r="H27" s="93" t="s">
        <v>1</v>
      </c>
      <c r="I27" s="93" t="s">
        <v>1</v>
      </c>
      <c r="J27" s="93" t="s">
        <v>1</v>
      </c>
      <c r="K27" s="93" t="s">
        <v>1</v>
      </c>
      <c r="L27" s="94" t="s">
        <v>1</v>
      </c>
      <c r="M27" s="108" t="s">
        <v>1</v>
      </c>
    </row>
    <row r="28" spans="2:52" x14ac:dyDescent="0.25">
      <c r="B28" s="103" t="s">
        <v>114</v>
      </c>
      <c r="C28" s="99">
        <f>G8+G9</f>
        <v>0</v>
      </c>
      <c r="D28" s="66">
        <f>C31</f>
        <v>161457830387.20001</v>
      </c>
      <c r="E28" s="66">
        <f t="shared" ref="E28:L28" si="10">D31</f>
        <v>339061443813.12</v>
      </c>
      <c r="F28" s="66">
        <f t="shared" si="10"/>
        <v>534425418581.63208</v>
      </c>
      <c r="G28" s="66">
        <f>AA31</f>
        <v>0</v>
      </c>
      <c r="H28" s="66">
        <f t="shared" si="10"/>
        <v>985716200296.8949</v>
      </c>
      <c r="I28" s="66">
        <f t="shared" si="10"/>
        <v>725686749880.00537</v>
      </c>
      <c r="J28" s="66">
        <f t="shared" si="10"/>
        <v>439654354421.42676</v>
      </c>
      <c r="K28" s="66">
        <f t="shared" si="10"/>
        <v>125018719416.99033</v>
      </c>
      <c r="L28" s="67">
        <f t="shared" si="10"/>
        <v>-221080479087.88977</v>
      </c>
      <c r="M28" s="107">
        <f>C28</f>
        <v>0</v>
      </c>
    </row>
    <row r="29" spans="2:52" x14ac:dyDescent="0.25">
      <c r="B29" s="104" t="s">
        <v>115</v>
      </c>
      <c r="C29" s="35">
        <f>G13+G14</f>
        <v>161457830387.20001</v>
      </c>
      <c r="D29" s="30">
        <f>L13+L14</f>
        <v>177603613425.92001</v>
      </c>
      <c r="E29" s="30">
        <f>Q13+Q14</f>
        <v>195363974768.51202</v>
      </c>
      <c r="F29" s="30">
        <f>V13+V14</f>
        <v>214900372245.36328</v>
      </c>
      <c r="G29" s="30">
        <f>AA13+AA14</f>
        <v>236390409469.8996</v>
      </c>
      <c r="H29" s="30">
        <f>AF13+AF14</f>
        <v>0</v>
      </c>
      <c r="I29" s="30">
        <f>AK13+AK14</f>
        <v>0</v>
      </c>
      <c r="J29" s="30">
        <f>AP13+AP14</f>
        <v>0</v>
      </c>
      <c r="K29" s="30">
        <f>AU13+AU14</f>
        <v>0</v>
      </c>
      <c r="L29" s="37">
        <f>AZ13+AZ14</f>
        <v>0</v>
      </c>
      <c r="M29" s="90">
        <f>SUM(C29:L29)</f>
        <v>985716200296.89502</v>
      </c>
    </row>
    <row r="30" spans="2:52" ht="11" thickBot="1" x14ac:dyDescent="0.3">
      <c r="B30" s="104" t="s">
        <v>109</v>
      </c>
      <c r="C30" s="100">
        <f>G17+G18</f>
        <v>0</v>
      </c>
      <c r="D30" s="86">
        <f>L17+L18</f>
        <v>0</v>
      </c>
      <c r="E30" s="86">
        <f>Q17+Q18</f>
        <v>0</v>
      </c>
      <c r="F30" s="86">
        <f>V17+V18</f>
        <v>0</v>
      </c>
      <c r="G30" s="86">
        <f>AA17+AA18</f>
        <v>0</v>
      </c>
      <c r="H30" s="86">
        <f>AF17+AF18</f>
        <v>260029450416.88959</v>
      </c>
      <c r="I30" s="86">
        <f>AK17+AK18</f>
        <v>286032395458.57855</v>
      </c>
      <c r="J30" s="86">
        <f>AP17+AP18</f>
        <v>314635635004.4364</v>
      </c>
      <c r="K30" s="86">
        <f>AU17+AU18</f>
        <v>346099198504.88013</v>
      </c>
      <c r="L30" s="87">
        <f>AZ17+AZ18</f>
        <v>380709118355.36816</v>
      </c>
      <c r="M30" s="91">
        <f>SUM(C30:L30)</f>
        <v>1587505797740.1528</v>
      </c>
    </row>
    <row r="31" spans="2:52" ht="11" thickBot="1" x14ac:dyDescent="0.3">
      <c r="B31" s="105" t="s">
        <v>116</v>
      </c>
      <c r="C31" s="101">
        <f>G21+G22</f>
        <v>161457830387.20001</v>
      </c>
      <c r="D31" s="88">
        <f>L21+L22</f>
        <v>339061443813.12</v>
      </c>
      <c r="E31" s="88">
        <f>Q21+Q22</f>
        <v>534425418581.63208</v>
      </c>
      <c r="F31" s="88">
        <f>V21+V22</f>
        <v>749325790826.99536</v>
      </c>
      <c r="G31" s="88">
        <f>AA21+AA22</f>
        <v>985716200296.8949</v>
      </c>
      <c r="H31" s="88">
        <f>AF21+AF22</f>
        <v>725686749880.00537</v>
      </c>
      <c r="I31" s="88">
        <f>AK21+AK22</f>
        <v>439654354421.42676</v>
      </c>
      <c r="J31" s="88">
        <f>AP21+AP22</f>
        <v>125018719416.99033</v>
      </c>
      <c r="K31" s="88">
        <f>AU21+AU22</f>
        <v>-221080479087.88977</v>
      </c>
      <c r="L31" s="89">
        <f>AZ21+AZ22</f>
        <v>-601789597443.25793</v>
      </c>
      <c r="M31" s="92">
        <f>L31</f>
        <v>-601789597443.25793</v>
      </c>
    </row>
    <row r="34" spans="2:13" ht="11" thickBot="1" x14ac:dyDescent="0.3">
      <c r="B34" s="28" t="s">
        <v>118</v>
      </c>
    </row>
    <row r="35" spans="2:13" ht="11" thickBot="1" x14ac:dyDescent="0.3">
      <c r="B35" s="102"/>
      <c r="C35" s="97" t="s">
        <v>2</v>
      </c>
      <c r="D35" s="95" t="s">
        <v>3</v>
      </c>
      <c r="E35" s="95" t="s">
        <v>4</v>
      </c>
      <c r="F35" s="95" t="s">
        <v>5</v>
      </c>
      <c r="G35" s="95" t="s">
        <v>6</v>
      </c>
      <c r="H35" s="95" t="s">
        <v>104</v>
      </c>
      <c r="I35" s="95" t="s">
        <v>105</v>
      </c>
      <c r="J35" s="95" t="s">
        <v>106</v>
      </c>
      <c r="K35" s="95" t="s">
        <v>107</v>
      </c>
      <c r="L35" s="96" t="s">
        <v>108</v>
      </c>
      <c r="M35" s="106" t="s">
        <v>0</v>
      </c>
    </row>
    <row r="36" spans="2:13" ht="11" thickBot="1" x14ac:dyDescent="0.3">
      <c r="B36" s="103"/>
      <c r="C36" s="94" t="s">
        <v>28</v>
      </c>
      <c r="D36" s="94" t="s">
        <v>28</v>
      </c>
      <c r="E36" s="94" t="s">
        <v>28</v>
      </c>
      <c r="F36" s="94" t="s">
        <v>28</v>
      </c>
      <c r="G36" s="94" t="s">
        <v>28</v>
      </c>
      <c r="H36" s="94" t="s">
        <v>28</v>
      </c>
      <c r="I36" s="94" t="s">
        <v>28</v>
      </c>
      <c r="J36" s="94" t="s">
        <v>28</v>
      </c>
      <c r="K36" s="94" t="s">
        <v>28</v>
      </c>
      <c r="L36" s="94" t="s">
        <v>28</v>
      </c>
      <c r="M36" s="108" t="s">
        <v>28</v>
      </c>
    </row>
    <row r="37" spans="2:13" x14ac:dyDescent="0.25">
      <c r="B37" s="103" t="s">
        <v>114</v>
      </c>
      <c r="C37" s="99">
        <f>E8+E9</f>
        <v>0</v>
      </c>
      <c r="D37" s="66">
        <f>C40</f>
        <v>169484800</v>
      </c>
      <c r="E37" s="66">
        <f t="shared" ref="E37:F37" si="11">D40</f>
        <v>338969600</v>
      </c>
      <c r="F37" s="66">
        <f t="shared" si="11"/>
        <v>508454400</v>
      </c>
      <c r="G37" s="66">
        <f>AA40</f>
        <v>0</v>
      </c>
      <c r="H37" s="66">
        <f t="shared" ref="H37:L37" si="12">G40</f>
        <v>847424000</v>
      </c>
      <c r="I37" s="66">
        <f t="shared" si="12"/>
        <v>677939200</v>
      </c>
      <c r="J37" s="66">
        <f t="shared" si="12"/>
        <v>508454400</v>
      </c>
      <c r="K37" s="66">
        <f t="shared" si="12"/>
        <v>338969600</v>
      </c>
      <c r="L37" s="67">
        <f t="shared" si="12"/>
        <v>169484800</v>
      </c>
      <c r="M37" s="107">
        <f>C37</f>
        <v>0</v>
      </c>
    </row>
    <row r="38" spans="2:13" x14ac:dyDescent="0.25">
      <c r="B38" s="104" t="s">
        <v>115</v>
      </c>
      <c r="C38" s="35">
        <f>E13+E14</f>
        <v>169484800</v>
      </c>
      <c r="D38" s="35">
        <f>J13+J14</f>
        <v>169484800</v>
      </c>
      <c r="E38" s="35">
        <f>O13+O14</f>
        <v>169484800</v>
      </c>
      <c r="F38" s="35">
        <f>T13+T14</f>
        <v>169484800</v>
      </c>
      <c r="G38" s="35">
        <f>Y13+Y14</f>
        <v>169484800</v>
      </c>
      <c r="H38" s="35">
        <f>AD13+AD14</f>
        <v>0</v>
      </c>
      <c r="I38" s="35">
        <f>AI13+AI14</f>
        <v>0</v>
      </c>
      <c r="J38" s="35">
        <f>AN13+AN14</f>
        <v>0</v>
      </c>
      <c r="K38" s="35">
        <f>AS13+AS14</f>
        <v>0</v>
      </c>
      <c r="L38" s="35">
        <f>AX13+AX14</f>
        <v>0</v>
      </c>
      <c r="M38" s="90">
        <f>SUM(C38:L38)</f>
        <v>847424000</v>
      </c>
    </row>
    <row r="39" spans="2:13" ht="11" thickBot="1" x14ac:dyDescent="0.3">
      <c r="B39" s="104" t="s">
        <v>109</v>
      </c>
      <c r="C39" s="100">
        <f>E17+E18</f>
        <v>0</v>
      </c>
      <c r="D39" s="100">
        <f>J17+J18</f>
        <v>0</v>
      </c>
      <c r="E39" s="100">
        <f>O17+O18</f>
        <v>0</v>
      </c>
      <c r="F39" s="100">
        <f>T17+T18</f>
        <v>0</v>
      </c>
      <c r="G39" s="100">
        <f>Y17+Y18</f>
        <v>0</v>
      </c>
      <c r="H39" s="100">
        <f>AD17+AD18</f>
        <v>169484800</v>
      </c>
      <c r="I39" s="100">
        <f>AI17+AI18</f>
        <v>169484800</v>
      </c>
      <c r="J39" s="100">
        <f>AN17+AN18</f>
        <v>169484800</v>
      </c>
      <c r="K39" s="100">
        <f>AS17+AS18</f>
        <v>169484800</v>
      </c>
      <c r="L39" s="100">
        <f>AX17+AX18</f>
        <v>169484800</v>
      </c>
      <c r="M39" s="91">
        <f>SUM(C39:L39)</f>
        <v>847424000</v>
      </c>
    </row>
    <row r="40" spans="2:13" ht="11" thickBot="1" x14ac:dyDescent="0.3">
      <c r="B40" s="105" t="s">
        <v>116</v>
      </c>
      <c r="C40" s="101">
        <f>E21+E22</f>
        <v>169484800</v>
      </c>
      <c r="D40" s="101">
        <f>J21+J22</f>
        <v>338969600</v>
      </c>
      <c r="E40" s="101">
        <f>O21+O22</f>
        <v>508454400</v>
      </c>
      <c r="F40" s="101">
        <f>T21+T22</f>
        <v>677939200</v>
      </c>
      <c r="G40" s="101">
        <f>Y21+Y22</f>
        <v>847424000</v>
      </c>
      <c r="H40" s="101">
        <f>AD21+AD22</f>
        <v>677939200</v>
      </c>
      <c r="I40" s="101">
        <f>AI21+AI22</f>
        <v>508454400</v>
      </c>
      <c r="J40" s="101">
        <f>AN21+AN22</f>
        <v>338969600</v>
      </c>
      <c r="K40" s="101">
        <f>AS21+AS22</f>
        <v>169484800</v>
      </c>
      <c r="L40" s="101">
        <f>N21+N22</f>
        <v>0</v>
      </c>
      <c r="M40" s="92">
        <f>L40</f>
        <v>0</v>
      </c>
    </row>
  </sheetData>
  <mergeCells count="28">
    <mergeCell ref="C5:G5"/>
    <mergeCell ref="H5:L5"/>
    <mergeCell ref="M5:Q5"/>
    <mergeCell ref="R5:V5"/>
    <mergeCell ref="W5:AA5"/>
    <mergeCell ref="Z8:Z9"/>
    <mergeCell ref="AG5:AK5"/>
    <mergeCell ref="AL5:AP5"/>
    <mergeCell ref="AQ5:AU5"/>
    <mergeCell ref="AV5:AZ5"/>
    <mergeCell ref="AC8:AC9"/>
    <mergeCell ref="AE8:AE9"/>
    <mergeCell ref="AH8:AH9"/>
    <mergeCell ref="AB5:AF5"/>
    <mergeCell ref="AY8:AY9"/>
    <mergeCell ref="AJ8:AJ9"/>
    <mergeCell ref="AM8:AM9"/>
    <mergeCell ref="AO8:AO9"/>
    <mergeCell ref="AR8:AR9"/>
    <mergeCell ref="AT8:AT9"/>
    <mergeCell ref="AW8:AW9"/>
    <mergeCell ref="K8:K9"/>
    <mergeCell ref="I8:I9"/>
    <mergeCell ref="S8:S9"/>
    <mergeCell ref="U8:U9"/>
    <mergeCell ref="X8:X9"/>
    <mergeCell ref="N8:N9"/>
    <mergeCell ref="P8:P9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AK51"/>
  <sheetViews>
    <sheetView workbookViewId="0">
      <pane xSplit="6" ySplit="7" topLeftCell="Y22" activePane="bottomRight" state="frozen"/>
      <selection pane="topRight" activeCell="G1" sqref="G1"/>
      <selection pane="bottomLeft" activeCell="A8" sqref="A8"/>
      <selection pane="bottomRight" activeCell="AI49" sqref="AI49"/>
    </sheetView>
  </sheetViews>
  <sheetFormatPr defaultColWidth="9.1796875" defaultRowHeight="7" x14ac:dyDescent="0.15"/>
  <cols>
    <col min="1" max="1" width="0.1796875" style="462" customWidth="1"/>
    <col min="2" max="2" width="5.26953125" style="462" customWidth="1"/>
    <col min="3" max="3" width="27.26953125" style="462" customWidth="1"/>
    <col min="4" max="4" width="5.08984375" style="515" bestFit="1" customWidth="1"/>
    <col min="5" max="5" width="11.7265625" style="462" bestFit="1" customWidth="1"/>
    <col min="6" max="6" width="10.6328125" style="462" bestFit="1" customWidth="1"/>
    <col min="7" max="7" width="11.26953125" style="462" bestFit="1" customWidth="1"/>
    <col min="8" max="8" width="10.26953125" style="492" bestFit="1" customWidth="1"/>
    <col min="9" max="9" width="6.81640625" style="492" bestFit="1" customWidth="1"/>
    <col min="10" max="10" width="8.453125" style="492" bestFit="1" customWidth="1"/>
    <col min="11" max="11" width="10.7265625" style="492" bestFit="1" customWidth="1"/>
    <col min="12" max="12" width="6.81640625" style="492" bestFit="1" customWidth="1"/>
    <col min="13" max="13" width="8" style="492" bestFit="1" customWidth="1"/>
    <col min="14" max="14" width="10.7265625" style="462" bestFit="1" customWidth="1"/>
    <col min="15" max="15" width="6.81640625" style="462" bestFit="1" customWidth="1"/>
    <col min="16" max="16" width="8" style="492" bestFit="1" customWidth="1"/>
    <col min="17" max="17" width="11.7265625" style="462" bestFit="1" customWidth="1"/>
    <col min="18" max="18" width="6.81640625" style="462" bestFit="1" customWidth="1"/>
    <col min="19" max="19" width="8" style="492" bestFit="1" customWidth="1"/>
    <col min="20" max="20" width="11.26953125" style="462" bestFit="1" customWidth="1"/>
    <col min="21" max="21" width="6.81640625" style="462" bestFit="1" customWidth="1"/>
    <col min="22" max="22" width="8" style="492" bestFit="1" customWidth="1"/>
    <col min="23" max="23" width="10.7265625" style="462" bestFit="1" customWidth="1"/>
    <col min="24" max="24" width="6.81640625" style="462" bestFit="1" customWidth="1"/>
    <col min="25" max="25" width="8.453125" style="492" bestFit="1" customWidth="1"/>
    <col min="26" max="26" width="10.7265625" style="462" bestFit="1" customWidth="1"/>
    <col min="27" max="27" width="6.81640625" style="462" bestFit="1" customWidth="1"/>
    <col min="28" max="28" width="8" style="492" bestFit="1" customWidth="1"/>
    <col min="29" max="29" width="10.7265625" style="462" bestFit="1" customWidth="1"/>
    <col min="30" max="30" width="6.81640625" style="462" bestFit="1" customWidth="1"/>
    <col min="31" max="31" width="8.453125" style="492" bestFit="1" customWidth="1"/>
    <col min="32" max="32" width="10.7265625" style="462" bestFit="1" customWidth="1"/>
    <col min="33" max="33" width="6.81640625" style="462" bestFit="1" customWidth="1"/>
    <col min="34" max="34" width="8.453125" style="492" bestFit="1" customWidth="1"/>
    <col min="35" max="35" width="11.7265625" style="462" bestFit="1" customWidth="1"/>
    <col min="36" max="36" width="6.81640625" style="462" bestFit="1" customWidth="1"/>
    <col min="37" max="37" width="8.6328125" style="492" bestFit="1" customWidth="1"/>
    <col min="38" max="267" width="9.1796875" style="462"/>
    <col min="268" max="268" width="0.1796875" style="462" customWidth="1"/>
    <col min="269" max="269" width="27.26953125" style="462" customWidth="1"/>
    <col min="270" max="270" width="3.26953125" style="462" bestFit="1" customWidth="1"/>
    <col min="271" max="271" width="11.7265625" style="462" bestFit="1" customWidth="1"/>
    <col min="272" max="272" width="10.6328125" style="462" bestFit="1" customWidth="1"/>
    <col min="273" max="273" width="11.26953125" style="462" bestFit="1" customWidth="1"/>
    <col min="274" max="274" width="10.26953125" style="462" bestFit="1" customWidth="1"/>
    <col min="275" max="275" width="8.453125" style="462" bestFit="1" customWidth="1"/>
    <col min="276" max="276" width="10.7265625" style="462" bestFit="1" customWidth="1"/>
    <col min="277" max="277" width="8.453125" style="462" bestFit="1" customWidth="1"/>
    <col min="278" max="278" width="10.7265625" style="462" bestFit="1" customWidth="1"/>
    <col min="279" max="279" width="9" style="462" bestFit="1" customWidth="1"/>
    <col min="280" max="280" width="11.7265625" style="462" bestFit="1" customWidth="1"/>
    <col min="281" max="281" width="9" style="462" bestFit="1" customWidth="1"/>
    <col min="282" max="282" width="10.7265625" style="462" bestFit="1" customWidth="1"/>
    <col min="283" max="283" width="9.453125" style="462" bestFit="1" customWidth="1"/>
    <col min="284" max="284" width="10.7265625" style="462" bestFit="1" customWidth="1"/>
    <col min="285" max="285" width="9.453125" style="462" bestFit="1" customWidth="1"/>
    <col min="286" max="286" width="10.7265625" style="462" bestFit="1" customWidth="1"/>
    <col min="287" max="287" width="9.453125" style="462" bestFit="1" customWidth="1"/>
    <col min="288" max="288" width="10.7265625" style="462" bestFit="1" customWidth="1"/>
    <col min="289" max="289" width="9.453125" style="462" bestFit="1" customWidth="1"/>
    <col min="290" max="290" width="10.7265625" style="462" bestFit="1" customWidth="1"/>
    <col min="291" max="291" width="9.453125" style="462" bestFit="1" customWidth="1"/>
    <col min="292" max="292" width="10.7265625" style="462" bestFit="1" customWidth="1"/>
    <col min="293" max="293" width="9.453125" style="462" bestFit="1" customWidth="1"/>
    <col min="294" max="523" width="9.1796875" style="462"/>
    <col min="524" max="524" width="0.1796875" style="462" customWidth="1"/>
    <col min="525" max="525" width="27.26953125" style="462" customWidth="1"/>
    <col min="526" max="526" width="3.26953125" style="462" bestFit="1" customWidth="1"/>
    <col min="527" max="527" width="11.7265625" style="462" bestFit="1" customWidth="1"/>
    <col min="528" max="528" width="10.6328125" style="462" bestFit="1" customWidth="1"/>
    <col min="529" max="529" width="11.26953125" style="462" bestFit="1" customWidth="1"/>
    <col min="530" max="530" width="10.26953125" style="462" bestFit="1" customWidth="1"/>
    <col min="531" max="531" width="8.453125" style="462" bestFit="1" customWidth="1"/>
    <col min="532" max="532" width="10.7265625" style="462" bestFit="1" customWidth="1"/>
    <col min="533" max="533" width="8.453125" style="462" bestFit="1" customWidth="1"/>
    <col min="534" max="534" width="10.7265625" style="462" bestFit="1" customWidth="1"/>
    <col min="535" max="535" width="9" style="462" bestFit="1" customWidth="1"/>
    <col min="536" max="536" width="11.7265625" style="462" bestFit="1" customWidth="1"/>
    <col min="537" max="537" width="9" style="462" bestFit="1" customWidth="1"/>
    <col min="538" max="538" width="10.7265625" style="462" bestFit="1" customWidth="1"/>
    <col min="539" max="539" width="9.453125" style="462" bestFit="1" customWidth="1"/>
    <col min="540" max="540" width="10.7265625" style="462" bestFit="1" customWidth="1"/>
    <col min="541" max="541" width="9.453125" style="462" bestFit="1" customWidth="1"/>
    <col min="542" max="542" width="10.7265625" style="462" bestFit="1" customWidth="1"/>
    <col min="543" max="543" width="9.453125" style="462" bestFit="1" customWidth="1"/>
    <col min="544" max="544" width="10.7265625" style="462" bestFit="1" customWidth="1"/>
    <col min="545" max="545" width="9.453125" style="462" bestFit="1" customWidth="1"/>
    <col min="546" max="546" width="10.7265625" style="462" bestFit="1" customWidth="1"/>
    <col min="547" max="547" width="9.453125" style="462" bestFit="1" customWidth="1"/>
    <col min="548" max="548" width="10.7265625" style="462" bestFit="1" customWidth="1"/>
    <col min="549" max="549" width="9.453125" style="462" bestFit="1" customWidth="1"/>
    <col min="550" max="779" width="9.1796875" style="462"/>
    <col min="780" max="780" width="0.1796875" style="462" customWidth="1"/>
    <col min="781" max="781" width="27.26953125" style="462" customWidth="1"/>
    <col min="782" max="782" width="3.26953125" style="462" bestFit="1" customWidth="1"/>
    <col min="783" max="783" width="11.7265625" style="462" bestFit="1" customWidth="1"/>
    <col min="784" max="784" width="10.6328125" style="462" bestFit="1" customWidth="1"/>
    <col min="785" max="785" width="11.26953125" style="462" bestFit="1" customWidth="1"/>
    <col min="786" max="786" width="10.26953125" style="462" bestFit="1" customWidth="1"/>
    <col min="787" max="787" width="8.453125" style="462" bestFit="1" customWidth="1"/>
    <col min="788" max="788" width="10.7265625" style="462" bestFit="1" customWidth="1"/>
    <col min="789" max="789" width="8.453125" style="462" bestFit="1" customWidth="1"/>
    <col min="790" max="790" width="10.7265625" style="462" bestFit="1" customWidth="1"/>
    <col min="791" max="791" width="9" style="462" bestFit="1" customWidth="1"/>
    <col min="792" max="792" width="11.7265625" style="462" bestFit="1" customWidth="1"/>
    <col min="793" max="793" width="9" style="462" bestFit="1" customWidth="1"/>
    <col min="794" max="794" width="10.7265625" style="462" bestFit="1" customWidth="1"/>
    <col min="795" max="795" width="9.453125" style="462" bestFit="1" customWidth="1"/>
    <col min="796" max="796" width="10.7265625" style="462" bestFit="1" customWidth="1"/>
    <col min="797" max="797" width="9.453125" style="462" bestFit="1" customWidth="1"/>
    <col min="798" max="798" width="10.7265625" style="462" bestFit="1" customWidth="1"/>
    <col min="799" max="799" width="9.453125" style="462" bestFit="1" customWidth="1"/>
    <col min="800" max="800" width="10.7265625" style="462" bestFit="1" customWidth="1"/>
    <col min="801" max="801" width="9.453125" style="462" bestFit="1" customWidth="1"/>
    <col min="802" max="802" width="10.7265625" style="462" bestFit="1" customWidth="1"/>
    <col min="803" max="803" width="9.453125" style="462" bestFit="1" customWidth="1"/>
    <col min="804" max="804" width="10.7265625" style="462" bestFit="1" customWidth="1"/>
    <col min="805" max="805" width="9.453125" style="462" bestFit="1" customWidth="1"/>
    <col min="806" max="1035" width="9.1796875" style="462"/>
    <col min="1036" max="1036" width="0.1796875" style="462" customWidth="1"/>
    <col min="1037" max="1037" width="27.26953125" style="462" customWidth="1"/>
    <col min="1038" max="1038" width="3.26953125" style="462" bestFit="1" customWidth="1"/>
    <col min="1039" max="1039" width="11.7265625" style="462" bestFit="1" customWidth="1"/>
    <col min="1040" max="1040" width="10.6328125" style="462" bestFit="1" customWidth="1"/>
    <col min="1041" max="1041" width="11.26953125" style="462" bestFit="1" customWidth="1"/>
    <col min="1042" max="1042" width="10.26953125" style="462" bestFit="1" customWidth="1"/>
    <col min="1043" max="1043" width="8.453125" style="462" bestFit="1" customWidth="1"/>
    <col min="1044" max="1044" width="10.7265625" style="462" bestFit="1" customWidth="1"/>
    <col min="1045" max="1045" width="8.453125" style="462" bestFit="1" customWidth="1"/>
    <col min="1046" max="1046" width="10.7265625" style="462" bestFit="1" customWidth="1"/>
    <col min="1047" max="1047" width="9" style="462" bestFit="1" customWidth="1"/>
    <col min="1048" max="1048" width="11.7265625" style="462" bestFit="1" customWidth="1"/>
    <col min="1049" max="1049" width="9" style="462" bestFit="1" customWidth="1"/>
    <col min="1050" max="1050" width="10.7265625" style="462" bestFit="1" customWidth="1"/>
    <col min="1051" max="1051" width="9.453125" style="462" bestFit="1" customWidth="1"/>
    <col min="1052" max="1052" width="10.7265625" style="462" bestFit="1" customWidth="1"/>
    <col min="1053" max="1053" width="9.453125" style="462" bestFit="1" customWidth="1"/>
    <col min="1054" max="1054" width="10.7265625" style="462" bestFit="1" customWidth="1"/>
    <col min="1055" max="1055" width="9.453125" style="462" bestFit="1" customWidth="1"/>
    <col min="1056" max="1056" width="10.7265625" style="462" bestFit="1" customWidth="1"/>
    <col min="1057" max="1057" width="9.453125" style="462" bestFit="1" customWidth="1"/>
    <col min="1058" max="1058" width="10.7265625" style="462" bestFit="1" customWidth="1"/>
    <col min="1059" max="1059" width="9.453125" style="462" bestFit="1" customWidth="1"/>
    <col min="1060" max="1060" width="10.7265625" style="462" bestFit="1" customWidth="1"/>
    <col min="1061" max="1061" width="9.453125" style="462" bestFit="1" customWidth="1"/>
    <col min="1062" max="1291" width="9.1796875" style="462"/>
    <col min="1292" max="1292" width="0.1796875" style="462" customWidth="1"/>
    <col min="1293" max="1293" width="27.26953125" style="462" customWidth="1"/>
    <col min="1294" max="1294" width="3.26953125" style="462" bestFit="1" customWidth="1"/>
    <col min="1295" max="1295" width="11.7265625" style="462" bestFit="1" customWidth="1"/>
    <col min="1296" max="1296" width="10.6328125" style="462" bestFit="1" customWidth="1"/>
    <col min="1297" max="1297" width="11.26953125" style="462" bestFit="1" customWidth="1"/>
    <col min="1298" max="1298" width="10.26953125" style="462" bestFit="1" customWidth="1"/>
    <col min="1299" max="1299" width="8.453125" style="462" bestFit="1" customWidth="1"/>
    <col min="1300" max="1300" width="10.7265625" style="462" bestFit="1" customWidth="1"/>
    <col min="1301" max="1301" width="8.453125" style="462" bestFit="1" customWidth="1"/>
    <col min="1302" max="1302" width="10.7265625" style="462" bestFit="1" customWidth="1"/>
    <col min="1303" max="1303" width="9" style="462" bestFit="1" customWidth="1"/>
    <col min="1304" max="1304" width="11.7265625" style="462" bestFit="1" customWidth="1"/>
    <col min="1305" max="1305" width="9" style="462" bestFit="1" customWidth="1"/>
    <col min="1306" max="1306" width="10.7265625" style="462" bestFit="1" customWidth="1"/>
    <col min="1307" max="1307" width="9.453125" style="462" bestFit="1" customWidth="1"/>
    <col min="1308" max="1308" width="10.7265625" style="462" bestFit="1" customWidth="1"/>
    <col min="1309" max="1309" width="9.453125" style="462" bestFit="1" customWidth="1"/>
    <col min="1310" max="1310" width="10.7265625" style="462" bestFit="1" customWidth="1"/>
    <col min="1311" max="1311" width="9.453125" style="462" bestFit="1" customWidth="1"/>
    <col min="1312" max="1312" width="10.7265625" style="462" bestFit="1" customWidth="1"/>
    <col min="1313" max="1313" width="9.453125" style="462" bestFit="1" customWidth="1"/>
    <col min="1314" max="1314" width="10.7265625" style="462" bestFit="1" customWidth="1"/>
    <col min="1315" max="1315" width="9.453125" style="462" bestFit="1" customWidth="1"/>
    <col min="1316" max="1316" width="10.7265625" style="462" bestFit="1" customWidth="1"/>
    <col min="1317" max="1317" width="9.453125" style="462" bestFit="1" customWidth="1"/>
    <col min="1318" max="1547" width="9.1796875" style="462"/>
    <col min="1548" max="1548" width="0.1796875" style="462" customWidth="1"/>
    <col min="1549" max="1549" width="27.26953125" style="462" customWidth="1"/>
    <col min="1550" max="1550" width="3.26953125" style="462" bestFit="1" customWidth="1"/>
    <col min="1551" max="1551" width="11.7265625" style="462" bestFit="1" customWidth="1"/>
    <col min="1552" max="1552" width="10.6328125" style="462" bestFit="1" customWidth="1"/>
    <col min="1553" max="1553" width="11.26953125" style="462" bestFit="1" customWidth="1"/>
    <col min="1554" max="1554" width="10.26953125" style="462" bestFit="1" customWidth="1"/>
    <col min="1555" max="1555" width="8.453125" style="462" bestFit="1" customWidth="1"/>
    <col min="1556" max="1556" width="10.7265625" style="462" bestFit="1" customWidth="1"/>
    <col min="1557" max="1557" width="8.453125" style="462" bestFit="1" customWidth="1"/>
    <col min="1558" max="1558" width="10.7265625" style="462" bestFit="1" customWidth="1"/>
    <col min="1559" max="1559" width="9" style="462" bestFit="1" customWidth="1"/>
    <col min="1560" max="1560" width="11.7265625" style="462" bestFit="1" customWidth="1"/>
    <col min="1561" max="1561" width="9" style="462" bestFit="1" customWidth="1"/>
    <col min="1562" max="1562" width="10.7265625" style="462" bestFit="1" customWidth="1"/>
    <col min="1563" max="1563" width="9.453125" style="462" bestFit="1" customWidth="1"/>
    <col min="1564" max="1564" width="10.7265625" style="462" bestFit="1" customWidth="1"/>
    <col min="1565" max="1565" width="9.453125" style="462" bestFit="1" customWidth="1"/>
    <col min="1566" max="1566" width="10.7265625" style="462" bestFit="1" customWidth="1"/>
    <col min="1567" max="1567" width="9.453125" style="462" bestFit="1" customWidth="1"/>
    <col min="1568" max="1568" width="10.7265625" style="462" bestFit="1" customWidth="1"/>
    <col min="1569" max="1569" width="9.453125" style="462" bestFit="1" customWidth="1"/>
    <col min="1570" max="1570" width="10.7265625" style="462" bestFit="1" customWidth="1"/>
    <col min="1571" max="1571" width="9.453125" style="462" bestFit="1" customWidth="1"/>
    <col min="1572" max="1572" width="10.7265625" style="462" bestFit="1" customWidth="1"/>
    <col min="1573" max="1573" width="9.453125" style="462" bestFit="1" customWidth="1"/>
    <col min="1574" max="1803" width="9.1796875" style="462"/>
    <col min="1804" max="1804" width="0.1796875" style="462" customWidth="1"/>
    <col min="1805" max="1805" width="27.26953125" style="462" customWidth="1"/>
    <col min="1806" max="1806" width="3.26953125" style="462" bestFit="1" customWidth="1"/>
    <col min="1807" max="1807" width="11.7265625" style="462" bestFit="1" customWidth="1"/>
    <col min="1808" max="1808" width="10.6328125" style="462" bestFit="1" customWidth="1"/>
    <col min="1809" max="1809" width="11.26953125" style="462" bestFit="1" customWidth="1"/>
    <col min="1810" max="1810" width="10.26953125" style="462" bestFit="1" customWidth="1"/>
    <col min="1811" max="1811" width="8.453125" style="462" bestFit="1" customWidth="1"/>
    <col min="1812" max="1812" width="10.7265625" style="462" bestFit="1" customWidth="1"/>
    <col min="1813" max="1813" width="8.453125" style="462" bestFit="1" customWidth="1"/>
    <col min="1814" max="1814" width="10.7265625" style="462" bestFit="1" customWidth="1"/>
    <col min="1815" max="1815" width="9" style="462" bestFit="1" customWidth="1"/>
    <col min="1816" max="1816" width="11.7265625" style="462" bestFit="1" customWidth="1"/>
    <col min="1817" max="1817" width="9" style="462" bestFit="1" customWidth="1"/>
    <col min="1818" max="1818" width="10.7265625" style="462" bestFit="1" customWidth="1"/>
    <col min="1819" max="1819" width="9.453125" style="462" bestFit="1" customWidth="1"/>
    <col min="1820" max="1820" width="10.7265625" style="462" bestFit="1" customWidth="1"/>
    <col min="1821" max="1821" width="9.453125" style="462" bestFit="1" customWidth="1"/>
    <col min="1822" max="1822" width="10.7265625" style="462" bestFit="1" customWidth="1"/>
    <col min="1823" max="1823" width="9.453125" style="462" bestFit="1" customWidth="1"/>
    <col min="1824" max="1824" width="10.7265625" style="462" bestFit="1" customWidth="1"/>
    <col min="1825" max="1825" width="9.453125" style="462" bestFit="1" customWidth="1"/>
    <col min="1826" max="1826" width="10.7265625" style="462" bestFit="1" customWidth="1"/>
    <col min="1827" max="1827" width="9.453125" style="462" bestFit="1" customWidth="1"/>
    <col min="1828" max="1828" width="10.7265625" style="462" bestFit="1" customWidth="1"/>
    <col min="1829" max="1829" width="9.453125" style="462" bestFit="1" customWidth="1"/>
    <col min="1830" max="2059" width="9.1796875" style="462"/>
    <col min="2060" max="2060" width="0.1796875" style="462" customWidth="1"/>
    <col min="2061" max="2061" width="27.26953125" style="462" customWidth="1"/>
    <col min="2062" max="2062" width="3.26953125" style="462" bestFit="1" customWidth="1"/>
    <col min="2063" max="2063" width="11.7265625" style="462" bestFit="1" customWidth="1"/>
    <col min="2064" max="2064" width="10.6328125" style="462" bestFit="1" customWidth="1"/>
    <col min="2065" max="2065" width="11.26953125" style="462" bestFit="1" customWidth="1"/>
    <col min="2066" max="2066" width="10.26953125" style="462" bestFit="1" customWidth="1"/>
    <col min="2067" max="2067" width="8.453125" style="462" bestFit="1" customWidth="1"/>
    <col min="2068" max="2068" width="10.7265625" style="462" bestFit="1" customWidth="1"/>
    <col min="2069" max="2069" width="8.453125" style="462" bestFit="1" customWidth="1"/>
    <col min="2070" max="2070" width="10.7265625" style="462" bestFit="1" customWidth="1"/>
    <col min="2071" max="2071" width="9" style="462" bestFit="1" customWidth="1"/>
    <col min="2072" max="2072" width="11.7265625" style="462" bestFit="1" customWidth="1"/>
    <col min="2073" max="2073" width="9" style="462" bestFit="1" customWidth="1"/>
    <col min="2074" max="2074" width="10.7265625" style="462" bestFit="1" customWidth="1"/>
    <col min="2075" max="2075" width="9.453125" style="462" bestFit="1" customWidth="1"/>
    <col min="2076" max="2076" width="10.7265625" style="462" bestFit="1" customWidth="1"/>
    <col min="2077" max="2077" width="9.453125" style="462" bestFit="1" customWidth="1"/>
    <col min="2078" max="2078" width="10.7265625" style="462" bestFit="1" customWidth="1"/>
    <col min="2079" max="2079" width="9.453125" style="462" bestFit="1" customWidth="1"/>
    <col min="2080" max="2080" width="10.7265625" style="462" bestFit="1" customWidth="1"/>
    <col min="2081" max="2081" width="9.453125" style="462" bestFit="1" customWidth="1"/>
    <col min="2082" max="2082" width="10.7265625" style="462" bestFit="1" customWidth="1"/>
    <col min="2083" max="2083" width="9.453125" style="462" bestFit="1" customWidth="1"/>
    <col min="2084" max="2084" width="10.7265625" style="462" bestFit="1" customWidth="1"/>
    <col min="2085" max="2085" width="9.453125" style="462" bestFit="1" customWidth="1"/>
    <col min="2086" max="2315" width="9.1796875" style="462"/>
    <col min="2316" max="2316" width="0.1796875" style="462" customWidth="1"/>
    <col min="2317" max="2317" width="27.26953125" style="462" customWidth="1"/>
    <col min="2318" max="2318" width="3.26953125" style="462" bestFit="1" customWidth="1"/>
    <col min="2319" max="2319" width="11.7265625" style="462" bestFit="1" customWidth="1"/>
    <col min="2320" max="2320" width="10.6328125" style="462" bestFit="1" customWidth="1"/>
    <col min="2321" max="2321" width="11.26953125" style="462" bestFit="1" customWidth="1"/>
    <col min="2322" max="2322" width="10.26953125" style="462" bestFit="1" customWidth="1"/>
    <col min="2323" max="2323" width="8.453125" style="462" bestFit="1" customWidth="1"/>
    <col min="2324" max="2324" width="10.7265625" style="462" bestFit="1" customWidth="1"/>
    <col min="2325" max="2325" width="8.453125" style="462" bestFit="1" customWidth="1"/>
    <col min="2326" max="2326" width="10.7265625" style="462" bestFit="1" customWidth="1"/>
    <col min="2327" max="2327" width="9" style="462" bestFit="1" customWidth="1"/>
    <col min="2328" max="2328" width="11.7265625" style="462" bestFit="1" customWidth="1"/>
    <col min="2329" max="2329" width="9" style="462" bestFit="1" customWidth="1"/>
    <col min="2330" max="2330" width="10.7265625" style="462" bestFit="1" customWidth="1"/>
    <col min="2331" max="2331" width="9.453125" style="462" bestFit="1" customWidth="1"/>
    <col min="2332" max="2332" width="10.7265625" style="462" bestFit="1" customWidth="1"/>
    <col min="2333" max="2333" width="9.453125" style="462" bestFit="1" customWidth="1"/>
    <col min="2334" max="2334" width="10.7265625" style="462" bestFit="1" customWidth="1"/>
    <col min="2335" max="2335" width="9.453125" style="462" bestFit="1" customWidth="1"/>
    <col min="2336" max="2336" width="10.7265625" style="462" bestFit="1" customWidth="1"/>
    <col min="2337" max="2337" width="9.453125" style="462" bestFit="1" customWidth="1"/>
    <col min="2338" max="2338" width="10.7265625" style="462" bestFit="1" customWidth="1"/>
    <col min="2339" max="2339" width="9.453125" style="462" bestFit="1" customWidth="1"/>
    <col min="2340" max="2340" width="10.7265625" style="462" bestFit="1" customWidth="1"/>
    <col min="2341" max="2341" width="9.453125" style="462" bestFit="1" customWidth="1"/>
    <col min="2342" max="2571" width="9.1796875" style="462"/>
    <col min="2572" max="2572" width="0.1796875" style="462" customWidth="1"/>
    <col min="2573" max="2573" width="27.26953125" style="462" customWidth="1"/>
    <col min="2574" max="2574" width="3.26953125" style="462" bestFit="1" customWidth="1"/>
    <col min="2575" max="2575" width="11.7265625" style="462" bestFit="1" customWidth="1"/>
    <col min="2576" max="2576" width="10.6328125" style="462" bestFit="1" customWidth="1"/>
    <col min="2577" max="2577" width="11.26953125" style="462" bestFit="1" customWidth="1"/>
    <col min="2578" max="2578" width="10.26953125" style="462" bestFit="1" customWidth="1"/>
    <col min="2579" max="2579" width="8.453125" style="462" bestFit="1" customWidth="1"/>
    <col min="2580" max="2580" width="10.7265625" style="462" bestFit="1" customWidth="1"/>
    <col min="2581" max="2581" width="8.453125" style="462" bestFit="1" customWidth="1"/>
    <col min="2582" max="2582" width="10.7265625" style="462" bestFit="1" customWidth="1"/>
    <col min="2583" max="2583" width="9" style="462" bestFit="1" customWidth="1"/>
    <col min="2584" max="2584" width="11.7265625" style="462" bestFit="1" customWidth="1"/>
    <col min="2585" max="2585" width="9" style="462" bestFit="1" customWidth="1"/>
    <col min="2586" max="2586" width="10.7265625" style="462" bestFit="1" customWidth="1"/>
    <col min="2587" max="2587" width="9.453125" style="462" bestFit="1" customWidth="1"/>
    <col min="2588" max="2588" width="10.7265625" style="462" bestFit="1" customWidth="1"/>
    <col min="2589" max="2589" width="9.453125" style="462" bestFit="1" customWidth="1"/>
    <col min="2590" max="2590" width="10.7265625" style="462" bestFit="1" customWidth="1"/>
    <col min="2591" max="2591" width="9.453125" style="462" bestFit="1" customWidth="1"/>
    <col min="2592" max="2592" width="10.7265625" style="462" bestFit="1" customWidth="1"/>
    <col min="2593" max="2593" width="9.453125" style="462" bestFit="1" customWidth="1"/>
    <col min="2594" max="2594" width="10.7265625" style="462" bestFit="1" customWidth="1"/>
    <col min="2595" max="2595" width="9.453125" style="462" bestFit="1" customWidth="1"/>
    <col min="2596" max="2596" width="10.7265625" style="462" bestFit="1" customWidth="1"/>
    <col min="2597" max="2597" width="9.453125" style="462" bestFit="1" customWidth="1"/>
    <col min="2598" max="2827" width="9.1796875" style="462"/>
    <col min="2828" max="2828" width="0.1796875" style="462" customWidth="1"/>
    <col min="2829" max="2829" width="27.26953125" style="462" customWidth="1"/>
    <col min="2830" max="2830" width="3.26953125" style="462" bestFit="1" customWidth="1"/>
    <col min="2831" max="2831" width="11.7265625" style="462" bestFit="1" customWidth="1"/>
    <col min="2832" max="2832" width="10.6328125" style="462" bestFit="1" customWidth="1"/>
    <col min="2833" max="2833" width="11.26953125" style="462" bestFit="1" customWidth="1"/>
    <col min="2834" max="2834" width="10.26953125" style="462" bestFit="1" customWidth="1"/>
    <col min="2835" max="2835" width="8.453125" style="462" bestFit="1" customWidth="1"/>
    <col min="2836" max="2836" width="10.7265625" style="462" bestFit="1" customWidth="1"/>
    <col min="2837" max="2837" width="8.453125" style="462" bestFit="1" customWidth="1"/>
    <col min="2838" max="2838" width="10.7265625" style="462" bestFit="1" customWidth="1"/>
    <col min="2839" max="2839" width="9" style="462" bestFit="1" customWidth="1"/>
    <col min="2840" max="2840" width="11.7265625" style="462" bestFit="1" customWidth="1"/>
    <col min="2841" max="2841" width="9" style="462" bestFit="1" customWidth="1"/>
    <col min="2842" max="2842" width="10.7265625" style="462" bestFit="1" customWidth="1"/>
    <col min="2843" max="2843" width="9.453125" style="462" bestFit="1" customWidth="1"/>
    <col min="2844" max="2844" width="10.7265625" style="462" bestFit="1" customWidth="1"/>
    <col min="2845" max="2845" width="9.453125" style="462" bestFit="1" customWidth="1"/>
    <col min="2846" max="2846" width="10.7265625" style="462" bestFit="1" customWidth="1"/>
    <col min="2847" max="2847" width="9.453125" style="462" bestFit="1" customWidth="1"/>
    <col min="2848" max="2848" width="10.7265625" style="462" bestFit="1" customWidth="1"/>
    <col min="2849" max="2849" width="9.453125" style="462" bestFit="1" customWidth="1"/>
    <col min="2850" max="2850" width="10.7265625" style="462" bestFit="1" customWidth="1"/>
    <col min="2851" max="2851" width="9.453125" style="462" bestFit="1" customWidth="1"/>
    <col min="2852" max="2852" width="10.7265625" style="462" bestFit="1" customWidth="1"/>
    <col min="2853" max="2853" width="9.453125" style="462" bestFit="1" customWidth="1"/>
    <col min="2854" max="3083" width="9.1796875" style="462"/>
    <col min="3084" max="3084" width="0.1796875" style="462" customWidth="1"/>
    <col min="3085" max="3085" width="27.26953125" style="462" customWidth="1"/>
    <col min="3086" max="3086" width="3.26953125" style="462" bestFit="1" customWidth="1"/>
    <col min="3087" max="3087" width="11.7265625" style="462" bestFit="1" customWidth="1"/>
    <col min="3088" max="3088" width="10.6328125" style="462" bestFit="1" customWidth="1"/>
    <col min="3089" max="3089" width="11.26953125" style="462" bestFit="1" customWidth="1"/>
    <col min="3090" max="3090" width="10.26953125" style="462" bestFit="1" customWidth="1"/>
    <col min="3091" max="3091" width="8.453125" style="462" bestFit="1" customWidth="1"/>
    <col min="3092" max="3092" width="10.7265625" style="462" bestFit="1" customWidth="1"/>
    <col min="3093" max="3093" width="8.453125" style="462" bestFit="1" customWidth="1"/>
    <col min="3094" max="3094" width="10.7265625" style="462" bestFit="1" customWidth="1"/>
    <col min="3095" max="3095" width="9" style="462" bestFit="1" customWidth="1"/>
    <col min="3096" max="3096" width="11.7265625" style="462" bestFit="1" customWidth="1"/>
    <col min="3097" max="3097" width="9" style="462" bestFit="1" customWidth="1"/>
    <col min="3098" max="3098" width="10.7265625" style="462" bestFit="1" customWidth="1"/>
    <col min="3099" max="3099" width="9.453125" style="462" bestFit="1" customWidth="1"/>
    <col min="3100" max="3100" width="10.7265625" style="462" bestFit="1" customWidth="1"/>
    <col min="3101" max="3101" width="9.453125" style="462" bestFit="1" customWidth="1"/>
    <col min="3102" max="3102" width="10.7265625" style="462" bestFit="1" customWidth="1"/>
    <col min="3103" max="3103" width="9.453125" style="462" bestFit="1" customWidth="1"/>
    <col min="3104" max="3104" width="10.7265625" style="462" bestFit="1" customWidth="1"/>
    <col min="3105" max="3105" width="9.453125" style="462" bestFit="1" customWidth="1"/>
    <col min="3106" max="3106" width="10.7265625" style="462" bestFit="1" customWidth="1"/>
    <col min="3107" max="3107" width="9.453125" style="462" bestFit="1" customWidth="1"/>
    <col min="3108" max="3108" width="10.7265625" style="462" bestFit="1" customWidth="1"/>
    <col min="3109" max="3109" width="9.453125" style="462" bestFit="1" customWidth="1"/>
    <col min="3110" max="3339" width="9.1796875" style="462"/>
    <col min="3340" max="3340" width="0.1796875" style="462" customWidth="1"/>
    <col min="3341" max="3341" width="27.26953125" style="462" customWidth="1"/>
    <col min="3342" max="3342" width="3.26953125" style="462" bestFit="1" customWidth="1"/>
    <col min="3343" max="3343" width="11.7265625" style="462" bestFit="1" customWidth="1"/>
    <col min="3344" max="3344" width="10.6328125" style="462" bestFit="1" customWidth="1"/>
    <col min="3345" max="3345" width="11.26953125" style="462" bestFit="1" customWidth="1"/>
    <col min="3346" max="3346" width="10.26953125" style="462" bestFit="1" customWidth="1"/>
    <col min="3347" max="3347" width="8.453125" style="462" bestFit="1" customWidth="1"/>
    <col min="3348" max="3348" width="10.7265625" style="462" bestFit="1" customWidth="1"/>
    <col min="3349" max="3349" width="8.453125" style="462" bestFit="1" customWidth="1"/>
    <col min="3350" max="3350" width="10.7265625" style="462" bestFit="1" customWidth="1"/>
    <col min="3351" max="3351" width="9" style="462" bestFit="1" customWidth="1"/>
    <col min="3352" max="3352" width="11.7265625" style="462" bestFit="1" customWidth="1"/>
    <col min="3353" max="3353" width="9" style="462" bestFit="1" customWidth="1"/>
    <col min="3354" max="3354" width="10.7265625" style="462" bestFit="1" customWidth="1"/>
    <col min="3355" max="3355" width="9.453125" style="462" bestFit="1" customWidth="1"/>
    <col min="3356" max="3356" width="10.7265625" style="462" bestFit="1" customWidth="1"/>
    <col min="3357" max="3357" width="9.453125" style="462" bestFit="1" customWidth="1"/>
    <col min="3358" max="3358" width="10.7265625" style="462" bestFit="1" customWidth="1"/>
    <col min="3359" max="3359" width="9.453125" style="462" bestFit="1" customWidth="1"/>
    <col min="3360" max="3360" width="10.7265625" style="462" bestFit="1" customWidth="1"/>
    <col min="3361" max="3361" width="9.453125" style="462" bestFit="1" customWidth="1"/>
    <col min="3362" max="3362" width="10.7265625" style="462" bestFit="1" customWidth="1"/>
    <col min="3363" max="3363" width="9.453125" style="462" bestFit="1" customWidth="1"/>
    <col min="3364" max="3364" width="10.7265625" style="462" bestFit="1" customWidth="1"/>
    <col min="3365" max="3365" width="9.453125" style="462" bestFit="1" customWidth="1"/>
    <col min="3366" max="3595" width="9.1796875" style="462"/>
    <col min="3596" max="3596" width="0.1796875" style="462" customWidth="1"/>
    <col min="3597" max="3597" width="27.26953125" style="462" customWidth="1"/>
    <col min="3598" max="3598" width="3.26953125" style="462" bestFit="1" customWidth="1"/>
    <col min="3599" max="3599" width="11.7265625" style="462" bestFit="1" customWidth="1"/>
    <col min="3600" max="3600" width="10.6328125" style="462" bestFit="1" customWidth="1"/>
    <col min="3601" max="3601" width="11.26953125" style="462" bestFit="1" customWidth="1"/>
    <col min="3602" max="3602" width="10.26953125" style="462" bestFit="1" customWidth="1"/>
    <col min="3603" max="3603" width="8.453125" style="462" bestFit="1" customWidth="1"/>
    <col min="3604" max="3604" width="10.7265625" style="462" bestFit="1" customWidth="1"/>
    <col min="3605" max="3605" width="8.453125" style="462" bestFit="1" customWidth="1"/>
    <col min="3606" max="3606" width="10.7265625" style="462" bestFit="1" customWidth="1"/>
    <col min="3607" max="3607" width="9" style="462" bestFit="1" customWidth="1"/>
    <col min="3608" max="3608" width="11.7265625" style="462" bestFit="1" customWidth="1"/>
    <col min="3609" max="3609" width="9" style="462" bestFit="1" customWidth="1"/>
    <col min="3610" max="3610" width="10.7265625" style="462" bestFit="1" customWidth="1"/>
    <col min="3611" max="3611" width="9.453125" style="462" bestFit="1" customWidth="1"/>
    <col min="3612" max="3612" width="10.7265625" style="462" bestFit="1" customWidth="1"/>
    <col min="3613" max="3613" width="9.453125" style="462" bestFit="1" customWidth="1"/>
    <col min="3614" max="3614" width="10.7265625" style="462" bestFit="1" customWidth="1"/>
    <col min="3615" max="3615" width="9.453125" style="462" bestFit="1" customWidth="1"/>
    <col min="3616" max="3616" width="10.7265625" style="462" bestFit="1" customWidth="1"/>
    <col min="3617" max="3617" width="9.453125" style="462" bestFit="1" customWidth="1"/>
    <col min="3618" max="3618" width="10.7265625" style="462" bestFit="1" customWidth="1"/>
    <col min="3619" max="3619" width="9.453125" style="462" bestFit="1" customWidth="1"/>
    <col min="3620" max="3620" width="10.7265625" style="462" bestFit="1" customWidth="1"/>
    <col min="3621" max="3621" width="9.453125" style="462" bestFit="1" customWidth="1"/>
    <col min="3622" max="3851" width="9.1796875" style="462"/>
    <col min="3852" max="3852" width="0.1796875" style="462" customWidth="1"/>
    <col min="3853" max="3853" width="27.26953125" style="462" customWidth="1"/>
    <col min="3854" max="3854" width="3.26953125" style="462" bestFit="1" customWidth="1"/>
    <col min="3855" max="3855" width="11.7265625" style="462" bestFit="1" customWidth="1"/>
    <col min="3856" max="3856" width="10.6328125" style="462" bestFit="1" customWidth="1"/>
    <col min="3857" max="3857" width="11.26953125" style="462" bestFit="1" customWidth="1"/>
    <col min="3858" max="3858" width="10.26953125" style="462" bestFit="1" customWidth="1"/>
    <col min="3859" max="3859" width="8.453125" style="462" bestFit="1" customWidth="1"/>
    <col min="3860" max="3860" width="10.7265625" style="462" bestFit="1" customWidth="1"/>
    <col min="3861" max="3861" width="8.453125" style="462" bestFit="1" customWidth="1"/>
    <col min="3862" max="3862" width="10.7265625" style="462" bestFit="1" customWidth="1"/>
    <col min="3863" max="3863" width="9" style="462" bestFit="1" customWidth="1"/>
    <col min="3864" max="3864" width="11.7265625" style="462" bestFit="1" customWidth="1"/>
    <col min="3865" max="3865" width="9" style="462" bestFit="1" customWidth="1"/>
    <col min="3866" max="3866" width="10.7265625" style="462" bestFit="1" customWidth="1"/>
    <col min="3867" max="3867" width="9.453125" style="462" bestFit="1" customWidth="1"/>
    <col min="3868" max="3868" width="10.7265625" style="462" bestFit="1" customWidth="1"/>
    <col min="3869" max="3869" width="9.453125" style="462" bestFit="1" customWidth="1"/>
    <col min="3870" max="3870" width="10.7265625" style="462" bestFit="1" customWidth="1"/>
    <col min="3871" max="3871" width="9.453125" style="462" bestFit="1" customWidth="1"/>
    <col min="3872" max="3872" width="10.7265625" style="462" bestFit="1" customWidth="1"/>
    <col min="3873" max="3873" width="9.453125" style="462" bestFit="1" customWidth="1"/>
    <col min="3874" max="3874" width="10.7265625" style="462" bestFit="1" customWidth="1"/>
    <col min="3875" max="3875" width="9.453125" style="462" bestFit="1" customWidth="1"/>
    <col min="3876" max="3876" width="10.7265625" style="462" bestFit="1" customWidth="1"/>
    <col min="3877" max="3877" width="9.453125" style="462" bestFit="1" customWidth="1"/>
    <col min="3878" max="4107" width="9.1796875" style="462"/>
    <col min="4108" max="4108" width="0.1796875" style="462" customWidth="1"/>
    <col min="4109" max="4109" width="27.26953125" style="462" customWidth="1"/>
    <col min="4110" max="4110" width="3.26953125" style="462" bestFit="1" customWidth="1"/>
    <col min="4111" max="4111" width="11.7265625" style="462" bestFit="1" customWidth="1"/>
    <col min="4112" max="4112" width="10.6328125" style="462" bestFit="1" customWidth="1"/>
    <col min="4113" max="4113" width="11.26953125" style="462" bestFit="1" customWidth="1"/>
    <col min="4114" max="4114" width="10.26953125" style="462" bestFit="1" customWidth="1"/>
    <col min="4115" max="4115" width="8.453125" style="462" bestFit="1" customWidth="1"/>
    <col min="4116" max="4116" width="10.7265625" style="462" bestFit="1" customWidth="1"/>
    <col min="4117" max="4117" width="8.453125" style="462" bestFit="1" customWidth="1"/>
    <col min="4118" max="4118" width="10.7265625" style="462" bestFit="1" customWidth="1"/>
    <col min="4119" max="4119" width="9" style="462" bestFit="1" customWidth="1"/>
    <col min="4120" max="4120" width="11.7265625" style="462" bestFit="1" customWidth="1"/>
    <col min="4121" max="4121" width="9" style="462" bestFit="1" customWidth="1"/>
    <col min="4122" max="4122" width="10.7265625" style="462" bestFit="1" customWidth="1"/>
    <col min="4123" max="4123" width="9.453125" style="462" bestFit="1" customWidth="1"/>
    <col min="4124" max="4124" width="10.7265625" style="462" bestFit="1" customWidth="1"/>
    <col min="4125" max="4125" width="9.453125" style="462" bestFit="1" customWidth="1"/>
    <col min="4126" max="4126" width="10.7265625" style="462" bestFit="1" customWidth="1"/>
    <col min="4127" max="4127" width="9.453125" style="462" bestFit="1" customWidth="1"/>
    <col min="4128" max="4128" width="10.7265625" style="462" bestFit="1" customWidth="1"/>
    <col min="4129" max="4129" width="9.453125" style="462" bestFit="1" customWidth="1"/>
    <col min="4130" max="4130" width="10.7265625" style="462" bestFit="1" customWidth="1"/>
    <col min="4131" max="4131" width="9.453125" style="462" bestFit="1" customWidth="1"/>
    <col min="4132" max="4132" width="10.7265625" style="462" bestFit="1" customWidth="1"/>
    <col min="4133" max="4133" width="9.453125" style="462" bestFit="1" customWidth="1"/>
    <col min="4134" max="4363" width="9.1796875" style="462"/>
    <col min="4364" max="4364" width="0.1796875" style="462" customWidth="1"/>
    <col min="4365" max="4365" width="27.26953125" style="462" customWidth="1"/>
    <col min="4366" max="4366" width="3.26953125" style="462" bestFit="1" customWidth="1"/>
    <col min="4367" max="4367" width="11.7265625" style="462" bestFit="1" customWidth="1"/>
    <col min="4368" max="4368" width="10.6328125" style="462" bestFit="1" customWidth="1"/>
    <col min="4369" max="4369" width="11.26953125" style="462" bestFit="1" customWidth="1"/>
    <col min="4370" max="4370" width="10.26953125" style="462" bestFit="1" customWidth="1"/>
    <col min="4371" max="4371" width="8.453125" style="462" bestFit="1" customWidth="1"/>
    <col min="4372" max="4372" width="10.7265625" style="462" bestFit="1" customWidth="1"/>
    <col min="4373" max="4373" width="8.453125" style="462" bestFit="1" customWidth="1"/>
    <col min="4374" max="4374" width="10.7265625" style="462" bestFit="1" customWidth="1"/>
    <col min="4375" max="4375" width="9" style="462" bestFit="1" customWidth="1"/>
    <col min="4376" max="4376" width="11.7265625" style="462" bestFit="1" customWidth="1"/>
    <col min="4377" max="4377" width="9" style="462" bestFit="1" customWidth="1"/>
    <col min="4378" max="4378" width="10.7265625" style="462" bestFit="1" customWidth="1"/>
    <col min="4379" max="4379" width="9.453125" style="462" bestFit="1" customWidth="1"/>
    <col min="4380" max="4380" width="10.7265625" style="462" bestFit="1" customWidth="1"/>
    <col min="4381" max="4381" width="9.453125" style="462" bestFit="1" customWidth="1"/>
    <col min="4382" max="4382" width="10.7265625" style="462" bestFit="1" customWidth="1"/>
    <col min="4383" max="4383" width="9.453125" style="462" bestFit="1" customWidth="1"/>
    <col min="4384" max="4384" width="10.7265625" style="462" bestFit="1" customWidth="1"/>
    <col min="4385" max="4385" width="9.453125" style="462" bestFit="1" customWidth="1"/>
    <col min="4386" max="4386" width="10.7265625" style="462" bestFit="1" customWidth="1"/>
    <col min="4387" max="4387" width="9.453125" style="462" bestFit="1" customWidth="1"/>
    <col min="4388" max="4388" width="10.7265625" style="462" bestFit="1" customWidth="1"/>
    <col min="4389" max="4389" width="9.453125" style="462" bestFit="1" customWidth="1"/>
    <col min="4390" max="4619" width="9.1796875" style="462"/>
    <col min="4620" max="4620" width="0.1796875" style="462" customWidth="1"/>
    <col min="4621" max="4621" width="27.26953125" style="462" customWidth="1"/>
    <col min="4622" max="4622" width="3.26953125" style="462" bestFit="1" customWidth="1"/>
    <col min="4623" max="4623" width="11.7265625" style="462" bestFit="1" customWidth="1"/>
    <col min="4624" max="4624" width="10.6328125" style="462" bestFit="1" customWidth="1"/>
    <col min="4625" max="4625" width="11.26953125" style="462" bestFit="1" customWidth="1"/>
    <col min="4626" max="4626" width="10.26953125" style="462" bestFit="1" customWidth="1"/>
    <col min="4627" max="4627" width="8.453125" style="462" bestFit="1" customWidth="1"/>
    <col min="4628" max="4628" width="10.7265625" style="462" bestFit="1" customWidth="1"/>
    <col min="4629" max="4629" width="8.453125" style="462" bestFit="1" customWidth="1"/>
    <col min="4630" max="4630" width="10.7265625" style="462" bestFit="1" customWidth="1"/>
    <col min="4631" max="4631" width="9" style="462" bestFit="1" customWidth="1"/>
    <col min="4632" max="4632" width="11.7265625" style="462" bestFit="1" customWidth="1"/>
    <col min="4633" max="4633" width="9" style="462" bestFit="1" customWidth="1"/>
    <col min="4634" max="4634" width="10.7265625" style="462" bestFit="1" customWidth="1"/>
    <col min="4635" max="4635" width="9.453125" style="462" bestFit="1" customWidth="1"/>
    <col min="4636" max="4636" width="10.7265625" style="462" bestFit="1" customWidth="1"/>
    <col min="4637" max="4637" width="9.453125" style="462" bestFit="1" customWidth="1"/>
    <col min="4638" max="4638" width="10.7265625" style="462" bestFit="1" customWidth="1"/>
    <col min="4639" max="4639" width="9.453125" style="462" bestFit="1" customWidth="1"/>
    <col min="4640" max="4640" width="10.7265625" style="462" bestFit="1" customWidth="1"/>
    <col min="4641" max="4641" width="9.453125" style="462" bestFit="1" customWidth="1"/>
    <col min="4642" max="4642" width="10.7265625" style="462" bestFit="1" customWidth="1"/>
    <col min="4643" max="4643" width="9.453125" style="462" bestFit="1" customWidth="1"/>
    <col min="4644" max="4644" width="10.7265625" style="462" bestFit="1" customWidth="1"/>
    <col min="4645" max="4645" width="9.453125" style="462" bestFit="1" customWidth="1"/>
    <col min="4646" max="4875" width="9.1796875" style="462"/>
    <col min="4876" max="4876" width="0.1796875" style="462" customWidth="1"/>
    <col min="4877" max="4877" width="27.26953125" style="462" customWidth="1"/>
    <col min="4878" max="4878" width="3.26953125" style="462" bestFit="1" customWidth="1"/>
    <col min="4879" max="4879" width="11.7265625" style="462" bestFit="1" customWidth="1"/>
    <col min="4880" max="4880" width="10.6328125" style="462" bestFit="1" customWidth="1"/>
    <col min="4881" max="4881" width="11.26953125" style="462" bestFit="1" customWidth="1"/>
    <col min="4882" max="4882" width="10.26953125" style="462" bestFit="1" customWidth="1"/>
    <col min="4883" max="4883" width="8.453125" style="462" bestFit="1" customWidth="1"/>
    <col min="4884" max="4884" width="10.7265625" style="462" bestFit="1" customWidth="1"/>
    <col min="4885" max="4885" width="8.453125" style="462" bestFit="1" customWidth="1"/>
    <col min="4886" max="4886" width="10.7265625" style="462" bestFit="1" customWidth="1"/>
    <col min="4887" max="4887" width="9" style="462" bestFit="1" customWidth="1"/>
    <col min="4888" max="4888" width="11.7265625" style="462" bestFit="1" customWidth="1"/>
    <col min="4889" max="4889" width="9" style="462" bestFit="1" customWidth="1"/>
    <col min="4890" max="4890" width="10.7265625" style="462" bestFit="1" customWidth="1"/>
    <col min="4891" max="4891" width="9.453125" style="462" bestFit="1" customWidth="1"/>
    <col min="4892" max="4892" width="10.7265625" style="462" bestFit="1" customWidth="1"/>
    <col min="4893" max="4893" width="9.453125" style="462" bestFit="1" customWidth="1"/>
    <col min="4894" max="4894" width="10.7265625" style="462" bestFit="1" customWidth="1"/>
    <col min="4895" max="4895" width="9.453125" style="462" bestFit="1" customWidth="1"/>
    <col min="4896" max="4896" width="10.7265625" style="462" bestFit="1" customWidth="1"/>
    <col min="4897" max="4897" width="9.453125" style="462" bestFit="1" customWidth="1"/>
    <col min="4898" max="4898" width="10.7265625" style="462" bestFit="1" customWidth="1"/>
    <col min="4899" max="4899" width="9.453125" style="462" bestFit="1" customWidth="1"/>
    <col min="4900" max="4900" width="10.7265625" style="462" bestFit="1" customWidth="1"/>
    <col min="4901" max="4901" width="9.453125" style="462" bestFit="1" customWidth="1"/>
    <col min="4902" max="5131" width="9.1796875" style="462"/>
    <col min="5132" max="5132" width="0.1796875" style="462" customWidth="1"/>
    <col min="5133" max="5133" width="27.26953125" style="462" customWidth="1"/>
    <col min="5134" max="5134" width="3.26953125" style="462" bestFit="1" customWidth="1"/>
    <col min="5135" max="5135" width="11.7265625" style="462" bestFit="1" customWidth="1"/>
    <col min="5136" max="5136" width="10.6328125" style="462" bestFit="1" customWidth="1"/>
    <col min="5137" max="5137" width="11.26953125" style="462" bestFit="1" customWidth="1"/>
    <col min="5138" max="5138" width="10.26953125" style="462" bestFit="1" customWidth="1"/>
    <col min="5139" max="5139" width="8.453125" style="462" bestFit="1" customWidth="1"/>
    <col min="5140" max="5140" width="10.7265625" style="462" bestFit="1" customWidth="1"/>
    <col min="5141" max="5141" width="8.453125" style="462" bestFit="1" customWidth="1"/>
    <col min="5142" max="5142" width="10.7265625" style="462" bestFit="1" customWidth="1"/>
    <col min="5143" max="5143" width="9" style="462" bestFit="1" customWidth="1"/>
    <col min="5144" max="5144" width="11.7265625" style="462" bestFit="1" customWidth="1"/>
    <col min="5145" max="5145" width="9" style="462" bestFit="1" customWidth="1"/>
    <col min="5146" max="5146" width="10.7265625" style="462" bestFit="1" customWidth="1"/>
    <col min="5147" max="5147" width="9.453125" style="462" bestFit="1" customWidth="1"/>
    <col min="5148" max="5148" width="10.7265625" style="462" bestFit="1" customWidth="1"/>
    <col min="5149" max="5149" width="9.453125" style="462" bestFit="1" customWidth="1"/>
    <col min="5150" max="5150" width="10.7265625" style="462" bestFit="1" customWidth="1"/>
    <col min="5151" max="5151" width="9.453125" style="462" bestFit="1" customWidth="1"/>
    <col min="5152" max="5152" width="10.7265625" style="462" bestFit="1" customWidth="1"/>
    <col min="5153" max="5153" width="9.453125" style="462" bestFit="1" customWidth="1"/>
    <col min="5154" max="5154" width="10.7265625" style="462" bestFit="1" customWidth="1"/>
    <col min="5155" max="5155" width="9.453125" style="462" bestFit="1" customWidth="1"/>
    <col min="5156" max="5156" width="10.7265625" style="462" bestFit="1" customWidth="1"/>
    <col min="5157" max="5157" width="9.453125" style="462" bestFit="1" customWidth="1"/>
    <col min="5158" max="5387" width="9.1796875" style="462"/>
    <col min="5388" max="5388" width="0.1796875" style="462" customWidth="1"/>
    <col min="5389" max="5389" width="27.26953125" style="462" customWidth="1"/>
    <col min="5390" max="5390" width="3.26953125" style="462" bestFit="1" customWidth="1"/>
    <col min="5391" max="5391" width="11.7265625" style="462" bestFit="1" customWidth="1"/>
    <col min="5392" max="5392" width="10.6328125" style="462" bestFit="1" customWidth="1"/>
    <col min="5393" max="5393" width="11.26953125" style="462" bestFit="1" customWidth="1"/>
    <col min="5394" max="5394" width="10.26953125" style="462" bestFit="1" customWidth="1"/>
    <col min="5395" max="5395" width="8.453125" style="462" bestFit="1" customWidth="1"/>
    <col min="5396" max="5396" width="10.7265625" style="462" bestFit="1" customWidth="1"/>
    <col min="5397" max="5397" width="8.453125" style="462" bestFit="1" customWidth="1"/>
    <col min="5398" max="5398" width="10.7265625" style="462" bestFit="1" customWidth="1"/>
    <col min="5399" max="5399" width="9" style="462" bestFit="1" customWidth="1"/>
    <col min="5400" max="5400" width="11.7265625" style="462" bestFit="1" customWidth="1"/>
    <col min="5401" max="5401" width="9" style="462" bestFit="1" customWidth="1"/>
    <col min="5402" max="5402" width="10.7265625" style="462" bestFit="1" customWidth="1"/>
    <col min="5403" max="5403" width="9.453125" style="462" bestFit="1" customWidth="1"/>
    <col min="5404" max="5404" width="10.7265625" style="462" bestFit="1" customWidth="1"/>
    <col min="5405" max="5405" width="9.453125" style="462" bestFit="1" customWidth="1"/>
    <col min="5406" max="5406" width="10.7265625" style="462" bestFit="1" customWidth="1"/>
    <col min="5407" max="5407" width="9.453125" style="462" bestFit="1" customWidth="1"/>
    <col min="5408" max="5408" width="10.7265625" style="462" bestFit="1" customWidth="1"/>
    <col min="5409" max="5409" width="9.453125" style="462" bestFit="1" customWidth="1"/>
    <col min="5410" max="5410" width="10.7265625" style="462" bestFit="1" customWidth="1"/>
    <col min="5411" max="5411" width="9.453125" style="462" bestFit="1" customWidth="1"/>
    <col min="5412" max="5412" width="10.7265625" style="462" bestFit="1" customWidth="1"/>
    <col min="5413" max="5413" width="9.453125" style="462" bestFit="1" customWidth="1"/>
    <col min="5414" max="5643" width="9.1796875" style="462"/>
    <col min="5644" max="5644" width="0.1796875" style="462" customWidth="1"/>
    <col min="5645" max="5645" width="27.26953125" style="462" customWidth="1"/>
    <col min="5646" max="5646" width="3.26953125" style="462" bestFit="1" customWidth="1"/>
    <col min="5647" max="5647" width="11.7265625" style="462" bestFit="1" customWidth="1"/>
    <col min="5648" max="5648" width="10.6328125" style="462" bestFit="1" customWidth="1"/>
    <col min="5649" max="5649" width="11.26953125" style="462" bestFit="1" customWidth="1"/>
    <col min="5650" max="5650" width="10.26953125" style="462" bestFit="1" customWidth="1"/>
    <col min="5651" max="5651" width="8.453125" style="462" bestFit="1" customWidth="1"/>
    <col min="5652" max="5652" width="10.7265625" style="462" bestFit="1" customWidth="1"/>
    <col min="5653" max="5653" width="8.453125" style="462" bestFit="1" customWidth="1"/>
    <col min="5654" max="5654" width="10.7265625" style="462" bestFit="1" customWidth="1"/>
    <col min="5655" max="5655" width="9" style="462" bestFit="1" customWidth="1"/>
    <col min="5656" max="5656" width="11.7265625" style="462" bestFit="1" customWidth="1"/>
    <col min="5657" max="5657" width="9" style="462" bestFit="1" customWidth="1"/>
    <col min="5658" max="5658" width="10.7265625" style="462" bestFit="1" customWidth="1"/>
    <col min="5659" max="5659" width="9.453125" style="462" bestFit="1" customWidth="1"/>
    <col min="5660" max="5660" width="10.7265625" style="462" bestFit="1" customWidth="1"/>
    <col min="5661" max="5661" width="9.453125" style="462" bestFit="1" customWidth="1"/>
    <col min="5662" max="5662" width="10.7265625" style="462" bestFit="1" customWidth="1"/>
    <col min="5663" max="5663" width="9.453125" style="462" bestFit="1" customWidth="1"/>
    <col min="5664" max="5664" width="10.7265625" style="462" bestFit="1" customWidth="1"/>
    <col min="5665" max="5665" width="9.453125" style="462" bestFit="1" customWidth="1"/>
    <col min="5666" max="5666" width="10.7265625" style="462" bestFit="1" customWidth="1"/>
    <col min="5667" max="5667" width="9.453125" style="462" bestFit="1" customWidth="1"/>
    <col min="5668" max="5668" width="10.7265625" style="462" bestFit="1" customWidth="1"/>
    <col min="5669" max="5669" width="9.453125" style="462" bestFit="1" customWidth="1"/>
    <col min="5670" max="5899" width="9.1796875" style="462"/>
    <col min="5900" max="5900" width="0.1796875" style="462" customWidth="1"/>
    <col min="5901" max="5901" width="27.26953125" style="462" customWidth="1"/>
    <col min="5902" max="5902" width="3.26953125" style="462" bestFit="1" customWidth="1"/>
    <col min="5903" max="5903" width="11.7265625" style="462" bestFit="1" customWidth="1"/>
    <col min="5904" max="5904" width="10.6328125" style="462" bestFit="1" customWidth="1"/>
    <col min="5905" max="5905" width="11.26953125" style="462" bestFit="1" customWidth="1"/>
    <col min="5906" max="5906" width="10.26953125" style="462" bestFit="1" customWidth="1"/>
    <col min="5907" max="5907" width="8.453125" style="462" bestFit="1" customWidth="1"/>
    <col min="5908" max="5908" width="10.7265625" style="462" bestFit="1" customWidth="1"/>
    <col min="5909" max="5909" width="8.453125" style="462" bestFit="1" customWidth="1"/>
    <col min="5910" max="5910" width="10.7265625" style="462" bestFit="1" customWidth="1"/>
    <col min="5911" max="5911" width="9" style="462" bestFit="1" customWidth="1"/>
    <col min="5912" max="5912" width="11.7265625" style="462" bestFit="1" customWidth="1"/>
    <col min="5913" max="5913" width="9" style="462" bestFit="1" customWidth="1"/>
    <col min="5914" max="5914" width="10.7265625" style="462" bestFit="1" customWidth="1"/>
    <col min="5915" max="5915" width="9.453125" style="462" bestFit="1" customWidth="1"/>
    <col min="5916" max="5916" width="10.7265625" style="462" bestFit="1" customWidth="1"/>
    <col min="5917" max="5917" width="9.453125" style="462" bestFit="1" customWidth="1"/>
    <col min="5918" max="5918" width="10.7265625" style="462" bestFit="1" customWidth="1"/>
    <col min="5919" max="5919" width="9.453125" style="462" bestFit="1" customWidth="1"/>
    <col min="5920" max="5920" width="10.7265625" style="462" bestFit="1" customWidth="1"/>
    <col min="5921" max="5921" width="9.453125" style="462" bestFit="1" customWidth="1"/>
    <col min="5922" max="5922" width="10.7265625" style="462" bestFit="1" customWidth="1"/>
    <col min="5923" max="5923" width="9.453125" style="462" bestFit="1" customWidth="1"/>
    <col min="5924" max="5924" width="10.7265625" style="462" bestFit="1" customWidth="1"/>
    <col min="5925" max="5925" width="9.453125" style="462" bestFit="1" customWidth="1"/>
    <col min="5926" max="6155" width="9.1796875" style="462"/>
    <col min="6156" max="6156" width="0.1796875" style="462" customWidth="1"/>
    <col min="6157" max="6157" width="27.26953125" style="462" customWidth="1"/>
    <col min="6158" max="6158" width="3.26953125" style="462" bestFit="1" customWidth="1"/>
    <col min="6159" max="6159" width="11.7265625" style="462" bestFit="1" customWidth="1"/>
    <col min="6160" max="6160" width="10.6328125" style="462" bestFit="1" customWidth="1"/>
    <col min="6161" max="6161" width="11.26953125" style="462" bestFit="1" customWidth="1"/>
    <col min="6162" max="6162" width="10.26953125" style="462" bestFit="1" customWidth="1"/>
    <col min="6163" max="6163" width="8.453125" style="462" bestFit="1" customWidth="1"/>
    <col min="6164" max="6164" width="10.7265625" style="462" bestFit="1" customWidth="1"/>
    <col min="6165" max="6165" width="8.453125" style="462" bestFit="1" customWidth="1"/>
    <col min="6166" max="6166" width="10.7265625" style="462" bestFit="1" customWidth="1"/>
    <col min="6167" max="6167" width="9" style="462" bestFit="1" customWidth="1"/>
    <col min="6168" max="6168" width="11.7265625" style="462" bestFit="1" customWidth="1"/>
    <col min="6169" max="6169" width="9" style="462" bestFit="1" customWidth="1"/>
    <col min="6170" max="6170" width="10.7265625" style="462" bestFit="1" customWidth="1"/>
    <col min="6171" max="6171" width="9.453125" style="462" bestFit="1" customWidth="1"/>
    <col min="6172" max="6172" width="10.7265625" style="462" bestFit="1" customWidth="1"/>
    <col min="6173" max="6173" width="9.453125" style="462" bestFit="1" customWidth="1"/>
    <col min="6174" max="6174" width="10.7265625" style="462" bestFit="1" customWidth="1"/>
    <col min="6175" max="6175" width="9.453125" style="462" bestFit="1" customWidth="1"/>
    <col min="6176" max="6176" width="10.7265625" style="462" bestFit="1" customWidth="1"/>
    <col min="6177" max="6177" width="9.453125" style="462" bestFit="1" customWidth="1"/>
    <col min="6178" max="6178" width="10.7265625" style="462" bestFit="1" customWidth="1"/>
    <col min="6179" max="6179" width="9.453125" style="462" bestFit="1" customWidth="1"/>
    <col min="6180" max="6180" width="10.7265625" style="462" bestFit="1" customWidth="1"/>
    <col min="6181" max="6181" width="9.453125" style="462" bestFit="1" customWidth="1"/>
    <col min="6182" max="6411" width="9.1796875" style="462"/>
    <col min="6412" max="6412" width="0.1796875" style="462" customWidth="1"/>
    <col min="6413" max="6413" width="27.26953125" style="462" customWidth="1"/>
    <col min="6414" max="6414" width="3.26953125" style="462" bestFit="1" customWidth="1"/>
    <col min="6415" max="6415" width="11.7265625" style="462" bestFit="1" customWidth="1"/>
    <col min="6416" max="6416" width="10.6328125" style="462" bestFit="1" customWidth="1"/>
    <col min="6417" max="6417" width="11.26953125" style="462" bestFit="1" customWidth="1"/>
    <col min="6418" max="6418" width="10.26953125" style="462" bestFit="1" customWidth="1"/>
    <col min="6419" max="6419" width="8.453125" style="462" bestFit="1" customWidth="1"/>
    <col min="6420" max="6420" width="10.7265625" style="462" bestFit="1" customWidth="1"/>
    <col min="6421" max="6421" width="8.453125" style="462" bestFit="1" customWidth="1"/>
    <col min="6422" max="6422" width="10.7265625" style="462" bestFit="1" customWidth="1"/>
    <col min="6423" max="6423" width="9" style="462" bestFit="1" customWidth="1"/>
    <col min="6424" max="6424" width="11.7265625" style="462" bestFit="1" customWidth="1"/>
    <col min="6425" max="6425" width="9" style="462" bestFit="1" customWidth="1"/>
    <col min="6426" max="6426" width="10.7265625" style="462" bestFit="1" customWidth="1"/>
    <col min="6427" max="6427" width="9.453125" style="462" bestFit="1" customWidth="1"/>
    <col min="6428" max="6428" width="10.7265625" style="462" bestFit="1" customWidth="1"/>
    <col min="6429" max="6429" width="9.453125" style="462" bestFit="1" customWidth="1"/>
    <col min="6430" max="6430" width="10.7265625" style="462" bestFit="1" customWidth="1"/>
    <col min="6431" max="6431" width="9.453125" style="462" bestFit="1" customWidth="1"/>
    <col min="6432" max="6432" width="10.7265625" style="462" bestFit="1" customWidth="1"/>
    <col min="6433" max="6433" width="9.453125" style="462" bestFit="1" customWidth="1"/>
    <col min="6434" max="6434" width="10.7265625" style="462" bestFit="1" customWidth="1"/>
    <col min="6435" max="6435" width="9.453125" style="462" bestFit="1" customWidth="1"/>
    <col min="6436" max="6436" width="10.7265625" style="462" bestFit="1" customWidth="1"/>
    <col min="6437" max="6437" width="9.453125" style="462" bestFit="1" customWidth="1"/>
    <col min="6438" max="6667" width="9.1796875" style="462"/>
    <col min="6668" max="6668" width="0.1796875" style="462" customWidth="1"/>
    <col min="6669" max="6669" width="27.26953125" style="462" customWidth="1"/>
    <col min="6670" max="6670" width="3.26953125" style="462" bestFit="1" customWidth="1"/>
    <col min="6671" max="6671" width="11.7265625" style="462" bestFit="1" customWidth="1"/>
    <col min="6672" max="6672" width="10.6328125" style="462" bestFit="1" customWidth="1"/>
    <col min="6673" max="6673" width="11.26953125" style="462" bestFit="1" customWidth="1"/>
    <col min="6674" max="6674" width="10.26953125" style="462" bestFit="1" customWidth="1"/>
    <col min="6675" max="6675" width="8.453125" style="462" bestFit="1" customWidth="1"/>
    <col min="6676" max="6676" width="10.7265625" style="462" bestFit="1" customWidth="1"/>
    <col min="6677" max="6677" width="8.453125" style="462" bestFit="1" customWidth="1"/>
    <col min="6678" max="6678" width="10.7265625" style="462" bestFit="1" customWidth="1"/>
    <col min="6679" max="6679" width="9" style="462" bestFit="1" customWidth="1"/>
    <col min="6680" max="6680" width="11.7265625" style="462" bestFit="1" customWidth="1"/>
    <col min="6681" max="6681" width="9" style="462" bestFit="1" customWidth="1"/>
    <col min="6682" max="6682" width="10.7265625" style="462" bestFit="1" customWidth="1"/>
    <col min="6683" max="6683" width="9.453125" style="462" bestFit="1" customWidth="1"/>
    <col min="6684" max="6684" width="10.7265625" style="462" bestFit="1" customWidth="1"/>
    <col min="6685" max="6685" width="9.453125" style="462" bestFit="1" customWidth="1"/>
    <col min="6686" max="6686" width="10.7265625" style="462" bestFit="1" customWidth="1"/>
    <col min="6687" max="6687" width="9.453125" style="462" bestFit="1" customWidth="1"/>
    <col min="6688" max="6688" width="10.7265625" style="462" bestFit="1" customWidth="1"/>
    <col min="6689" max="6689" width="9.453125" style="462" bestFit="1" customWidth="1"/>
    <col min="6690" max="6690" width="10.7265625" style="462" bestFit="1" customWidth="1"/>
    <col min="6691" max="6691" width="9.453125" style="462" bestFit="1" customWidth="1"/>
    <col min="6692" max="6692" width="10.7265625" style="462" bestFit="1" customWidth="1"/>
    <col min="6693" max="6693" width="9.453125" style="462" bestFit="1" customWidth="1"/>
    <col min="6694" max="6923" width="9.1796875" style="462"/>
    <col min="6924" max="6924" width="0.1796875" style="462" customWidth="1"/>
    <col min="6925" max="6925" width="27.26953125" style="462" customWidth="1"/>
    <col min="6926" max="6926" width="3.26953125" style="462" bestFit="1" customWidth="1"/>
    <col min="6927" max="6927" width="11.7265625" style="462" bestFit="1" customWidth="1"/>
    <col min="6928" max="6928" width="10.6328125" style="462" bestFit="1" customWidth="1"/>
    <col min="6929" max="6929" width="11.26953125" style="462" bestFit="1" customWidth="1"/>
    <col min="6930" max="6930" width="10.26953125" style="462" bestFit="1" customWidth="1"/>
    <col min="6931" max="6931" width="8.453125" style="462" bestFit="1" customWidth="1"/>
    <col min="6932" max="6932" width="10.7265625" style="462" bestFit="1" customWidth="1"/>
    <col min="6933" max="6933" width="8.453125" style="462" bestFit="1" customWidth="1"/>
    <col min="6934" max="6934" width="10.7265625" style="462" bestFit="1" customWidth="1"/>
    <col min="6935" max="6935" width="9" style="462" bestFit="1" customWidth="1"/>
    <col min="6936" max="6936" width="11.7265625" style="462" bestFit="1" customWidth="1"/>
    <col min="6937" max="6937" width="9" style="462" bestFit="1" customWidth="1"/>
    <col min="6938" max="6938" width="10.7265625" style="462" bestFit="1" customWidth="1"/>
    <col min="6939" max="6939" width="9.453125" style="462" bestFit="1" customWidth="1"/>
    <col min="6940" max="6940" width="10.7265625" style="462" bestFit="1" customWidth="1"/>
    <col min="6941" max="6941" width="9.453125" style="462" bestFit="1" customWidth="1"/>
    <col min="6942" max="6942" width="10.7265625" style="462" bestFit="1" customWidth="1"/>
    <col min="6943" max="6943" width="9.453125" style="462" bestFit="1" customWidth="1"/>
    <col min="6944" max="6944" width="10.7265625" style="462" bestFit="1" customWidth="1"/>
    <col min="6945" max="6945" width="9.453125" style="462" bestFit="1" customWidth="1"/>
    <col min="6946" max="6946" width="10.7265625" style="462" bestFit="1" customWidth="1"/>
    <col min="6947" max="6947" width="9.453125" style="462" bestFit="1" customWidth="1"/>
    <col min="6948" max="6948" width="10.7265625" style="462" bestFit="1" customWidth="1"/>
    <col min="6949" max="6949" width="9.453125" style="462" bestFit="1" customWidth="1"/>
    <col min="6950" max="7179" width="9.1796875" style="462"/>
    <col min="7180" max="7180" width="0.1796875" style="462" customWidth="1"/>
    <col min="7181" max="7181" width="27.26953125" style="462" customWidth="1"/>
    <col min="7182" max="7182" width="3.26953125" style="462" bestFit="1" customWidth="1"/>
    <col min="7183" max="7183" width="11.7265625" style="462" bestFit="1" customWidth="1"/>
    <col min="7184" max="7184" width="10.6328125" style="462" bestFit="1" customWidth="1"/>
    <col min="7185" max="7185" width="11.26953125" style="462" bestFit="1" customWidth="1"/>
    <col min="7186" max="7186" width="10.26953125" style="462" bestFit="1" customWidth="1"/>
    <col min="7187" max="7187" width="8.453125" style="462" bestFit="1" customWidth="1"/>
    <col min="7188" max="7188" width="10.7265625" style="462" bestFit="1" customWidth="1"/>
    <col min="7189" max="7189" width="8.453125" style="462" bestFit="1" customWidth="1"/>
    <col min="7190" max="7190" width="10.7265625" style="462" bestFit="1" customWidth="1"/>
    <col min="7191" max="7191" width="9" style="462" bestFit="1" customWidth="1"/>
    <col min="7192" max="7192" width="11.7265625" style="462" bestFit="1" customWidth="1"/>
    <col min="7193" max="7193" width="9" style="462" bestFit="1" customWidth="1"/>
    <col min="7194" max="7194" width="10.7265625" style="462" bestFit="1" customWidth="1"/>
    <col min="7195" max="7195" width="9.453125" style="462" bestFit="1" customWidth="1"/>
    <col min="7196" max="7196" width="10.7265625" style="462" bestFit="1" customWidth="1"/>
    <col min="7197" max="7197" width="9.453125" style="462" bestFit="1" customWidth="1"/>
    <col min="7198" max="7198" width="10.7265625" style="462" bestFit="1" customWidth="1"/>
    <col min="7199" max="7199" width="9.453125" style="462" bestFit="1" customWidth="1"/>
    <col min="7200" max="7200" width="10.7265625" style="462" bestFit="1" customWidth="1"/>
    <col min="7201" max="7201" width="9.453125" style="462" bestFit="1" customWidth="1"/>
    <col min="7202" max="7202" width="10.7265625" style="462" bestFit="1" customWidth="1"/>
    <col min="7203" max="7203" width="9.453125" style="462" bestFit="1" customWidth="1"/>
    <col min="7204" max="7204" width="10.7265625" style="462" bestFit="1" customWidth="1"/>
    <col min="7205" max="7205" width="9.453125" style="462" bestFit="1" customWidth="1"/>
    <col min="7206" max="7435" width="9.1796875" style="462"/>
    <col min="7436" max="7436" width="0.1796875" style="462" customWidth="1"/>
    <col min="7437" max="7437" width="27.26953125" style="462" customWidth="1"/>
    <col min="7438" max="7438" width="3.26953125" style="462" bestFit="1" customWidth="1"/>
    <col min="7439" max="7439" width="11.7265625" style="462" bestFit="1" customWidth="1"/>
    <col min="7440" max="7440" width="10.6328125" style="462" bestFit="1" customWidth="1"/>
    <col min="7441" max="7441" width="11.26953125" style="462" bestFit="1" customWidth="1"/>
    <col min="7442" max="7442" width="10.26953125" style="462" bestFit="1" customWidth="1"/>
    <col min="7443" max="7443" width="8.453125" style="462" bestFit="1" customWidth="1"/>
    <col min="7444" max="7444" width="10.7265625" style="462" bestFit="1" customWidth="1"/>
    <col min="7445" max="7445" width="8.453125" style="462" bestFit="1" customWidth="1"/>
    <col min="7446" max="7446" width="10.7265625" style="462" bestFit="1" customWidth="1"/>
    <col min="7447" max="7447" width="9" style="462" bestFit="1" customWidth="1"/>
    <col min="7448" max="7448" width="11.7265625" style="462" bestFit="1" customWidth="1"/>
    <col min="7449" max="7449" width="9" style="462" bestFit="1" customWidth="1"/>
    <col min="7450" max="7450" width="10.7265625" style="462" bestFit="1" customWidth="1"/>
    <col min="7451" max="7451" width="9.453125" style="462" bestFit="1" customWidth="1"/>
    <col min="7452" max="7452" width="10.7265625" style="462" bestFit="1" customWidth="1"/>
    <col min="7453" max="7453" width="9.453125" style="462" bestFit="1" customWidth="1"/>
    <col min="7454" max="7454" width="10.7265625" style="462" bestFit="1" customWidth="1"/>
    <col min="7455" max="7455" width="9.453125" style="462" bestFit="1" customWidth="1"/>
    <col min="7456" max="7456" width="10.7265625" style="462" bestFit="1" customWidth="1"/>
    <col min="7457" max="7457" width="9.453125" style="462" bestFit="1" customWidth="1"/>
    <col min="7458" max="7458" width="10.7265625" style="462" bestFit="1" customWidth="1"/>
    <col min="7459" max="7459" width="9.453125" style="462" bestFit="1" customWidth="1"/>
    <col min="7460" max="7460" width="10.7265625" style="462" bestFit="1" customWidth="1"/>
    <col min="7461" max="7461" width="9.453125" style="462" bestFit="1" customWidth="1"/>
    <col min="7462" max="7691" width="9.1796875" style="462"/>
    <col min="7692" max="7692" width="0.1796875" style="462" customWidth="1"/>
    <col min="7693" max="7693" width="27.26953125" style="462" customWidth="1"/>
    <col min="7694" max="7694" width="3.26953125" style="462" bestFit="1" customWidth="1"/>
    <col min="7695" max="7695" width="11.7265625" style="462" bestFit="1" customWidth="1"/>
    <col min="7696" max="7696" width="10.6328125" style="462" bestFit="1" customWidth="1"/>
    <col min="7697" max="7697" width="11.26953125" style="462" bestFit="1" customWidth="1"/>
    <col min="7698" max="7698" width="10.26953125" style="462" bestFit="1" customWidth="1"/>
    <col min="7699" max="7699" width="8.453125" style="462" bestFit="1" customWidth="1"/>
    <col min="7700" max="7700" width="10.7265625" style="462" bestFit="1" customWidth="1"/>
    <col min="7701" max="7701" width="8.453125" style="462" bestFit="1" customWidth="1"/>
    <col min="7702" max="7702" width="10.7265625" style="462" bestFit="1" customWidth="1"/>
    <col min="7703" max="7703" width="9" style="462" bestFit="1" customWidth="1"/>
    <col min="7704" max="7704" width="11.7265625" style="462" bestFit="1" customWidth="1"/>
    <col min="7705" max="7705" width="9" style="462" bestFit="1" customWidth="1"/>
    <col min="7706" max="7706" width="10.7265625" style="462" bestFit="1" customWidth="1"/>
    <col min="7707" max="7707" width="9.453125" style="462" bestFit="1" customWidth="1"/>
    <col min="7708" max="7708" width="10.7265625" style="462" bestFit="1" customWidth="1"/>
    <col min="7709" max="7709" width="9.453125" style="462" bestFit="1" customWidth="1"/>
    <col min="7710" max="7710" width="10.7265625" style="462" bestFit="1" customWidth="1"/>
    <col min="7711" max="7711" width="9.453125" style="462" bestFit="1" customWidth="1"/>
    <col min="7712" max="7712" width="10.7265625" style="462" bestFit="1" customWidth="1"/>
    <col min="7713" max="7713" width="9.453125" style="462" bestFit="1" customWidth="1"/>
    <col min="7714" max="7714" width="10.7265625" style="462" bestFit="1" customWidth="1"/>
    <col min="7715" max="7715" width="9.453125" style="462" bestFit="1" customWidth="1"/>
    <col min="7716" max="7716" width="10.7265625" style="462" bestFit="1" customWidth="1"/>
    <col min="7717" max="7717" width="9.453125" style="462" bestFit="1" customWidth="1"/>
    <col min="7718" max="7947" width="9.1796875" style="462"/>
    <col min="7948" max="7948" width="0.1796875" style="462" customWidth="1"/>
    <col min="7949" max="7949" width="27.26953125" style="462" customWidth="1"/>
    <col min="7950" max="7950" width="3.26953125" style="462" bestFit="1" customWidth="1"/>
    <col min="7951" max="7951" width="11.7265625" style="462" bestFit="1" customWidth="1"/>
    <col min="7952" max="7952" width="10.6328125" style="462" bestFit="1" customWidth="1"/>
    <col min="7953" max="7953" width="11.26953125" style="462" bestFit="1" customWidth="1"/>
    <col min="7954" max="7954" width="10.26953125" style="462" bestFit="1" customWidth="1"/>
    <col min="7955" max="7955" width="8.453125" style="462" bestFit="1" customWidth="1"/>
    <col min="7956" max="7956" width="10.7265625" style="462" bestFit="1" customWidth="1"/>
    <col min="7957" max="7957" width="8.453125" style="462" bestFit="1" customWidth="1"/>
    <col min="7958" max="7958" width="10.7265625" style="462" bestFit="1" customWidth="1"/>
    <col min="7959" max="7959" width="9" style="462" bestFit="1" customWidth="1"/>
    <col min="7960" max="7960" width="11.7265625" style="462" bestFit="1" customWidth="1"/>
    <col min="7961" max="7961" width="9" style="462" bestFit="1" customWidth="1"/>
    <col min="7962" max="7962" width="10.7265625" style="462" bestFit="1" customWidth="1"/>
    <col min="7963" max="7963" width="9.453125" style="462" bestFit="1" customWidth="1"/>
    <col min="7964" max="7964" width="10.7265625" style="462" bestFit="1" customWidth="1"/>
    <col min="7965" max="7965" width="9.453125" style="462" bestFit="1" customWidth="1"/>
    <col min="7966" max="7966" width="10.7265625" style="462" bestFit="1" customWidth="1"/>
    <col min="7967" max="7967" width="9.453125" style="462" bestFit="1" customWidth="1"/>
    <col min="7968" max="7968" width="10.7265625" style="462" bestFit="1" customWidth="1"/>
    <col min="7969" max="7969" width="9.453125" style="462" bestFit="1" customWidth="1"/>
    <col min="7970" max="7970" width="10.7265625" style="462" bestFit="1" customWidth="1"/>
    <col min="7971" max="7971" width="9.453125" style="462" bestFit="1" customWidth="1"/>
    <col min="7972" max="7972" width="10.7265625" style="462" bestFit="1" customWidth="1"/>
    <col min="7973" max="7973" width="9.453125" style="462" bestFit="1" customWidth="1"/>
    <col min="7974" max="8203" width="9.1796875" style="462"/>
    <col min="8204" max="8204" width="0.1796875" style="462" customWidth="1"/>
    <col min="8205" max="8205" width="27.26953125" style="462" customWidth="1"/>
    <col min="8206" max="8206" width="3.26953125" style="462" bestFit="1" customWidth="1"/>
    <col min="8207" max="8207" width="11.7265625" style="462" bestFit="1" customWidth="1"/>
    <col min="8208" max="8208" width="10.6328125" style="462" bestFit="1" customWidth="1"/>
    <col min="8209" max="8209" width="11.26953125" style="462" bestFit="1" customWidth="1"/>
    <col min="8210" max="8210" width="10.26953125" style="462" bestFit="1" customWidth="1"/>
    <col min="8211" max="8211" width="8.453125" style="462" bestFit="1" customWidth="1"/>
    <col min="8212" max="8212" width="10.7265625" style="462" bestFit="1" customWidth="1"/>
    <col min="8213" max="8213" width="8.453125" style="462" bestFit="1" customWidth="1"/>
    <col min="8214" max="8214" width="10.7265625" style="462" bestFit="1" customWidth="1"/>
    <col min="8215" max="8215" width="9" style="462" bestFit="1" customWidth="1"/>
    <col min="8216" max="8216" width="11.7265625" style="462" bestFit="1" customWidth="1"/>
    <col min="8217" max="8217" width="9" style="462" bestFit="1" customWidth="1"/>
    <col min="8218" max="8218" width="10.7265625" style="462" bestFit="1" customWidth="1"/>
    <col min="8219" max="8219" width="9.453125" style="462" bestFit="1" customWidth="1"/>
    <col min="8220" max="8220" width="10.7265625" style="462" bestFit="1" customWidth="1"/>
    <col min="8221" max="8221" width="9.453125" style="462" bestFit="1" customWidth="1"/>
    <col min="8222" max="8222" width="10.7265625" style="462" bestFit="1" customWidth="1"/>
    <col min="8223" max="8223" width="9.453125" style="462" bestFit="1" customWidth="1"/>
    <col min="8224" max="8224" width="10.7265625" style="462" bestFit="1" customWidth="1"/>
    <col min="8225" max="8225" width="9.453125" style="462" bestFit="1" customWidth="1"/>
    <col min="8226" max="8226" width="10.7265625" style="462" bestFit="1" customWidth="1"/>
    <col min="8227" max="8227" width="9.453125" style="462" bestFit="1" customWidth="1"/>
    <col min="8228" max="8228" width="10.7265625" style="462" bestFit="1" customWidth="1"/>
    <col min="8229" max="8229" width="9.453125" style="462" bestFit="1" customWidth="1"/>
    <col min="8230" max="8459" width="9.1796875" style="462"/>
    <col min="8460" max="8460" width="0.1796875" style="462" customWidth="1"/>
    <col min="8461" max="8461" width="27.26953125" style="462" customWidth="1"/>
    <col min="8462" max="8462" width="3.26953125" style="462" bestFit="1" customWidth="1"/>
    <col min="8463" max="8463" width="11.7265625" style="462" bestFit="1" customWidth="1"/>
    <col min="8464" max="8464" width="10.6328125" style="462" bestFit="1" customWidth="1"/>
    <col min="8465" max="8465" width="11.26953125" style="462" bestFit="1" customWidth="1"/>
    <col min="8466" max="8466" width="10.26953125" style="462" bestFit="1" customWidth="1"/>
    <col min="8467" max="8467" width="8.453125" style="462" bestFit="1" customWidth="1"/>
    <col min="8468" max="8468" width="10.7265625" style="462" bestFit="1" customWidth="1"/>
    <col min="8469" max="8469" width="8.453125" style="462" bestFit="1" customWidth="1"/>
    <col min="8470" max="8470" width="10.7265625" style="462" bestFit="1" customWidth="1"/>
    <col min="8471" max="8471" width="9" style="462" bestFit="1" customWidth="1"/>
    <col min="8472" max="8472" width="11.7265625" style="462" bestFit="1" customWidth="1"/>
    <col min="8473" max="8473" width="9" style="462" bestFit="1" customWidth="1"/>
    <col min="8474" max="8474" width="10.7265625" style="462" bestFit="1" customWidth="1"/>
    <col min="8475" max="8475" width="9.453125" style="462" bestFit="1" customWidth="1"/>
    <col min="8476" max="8476" width="10.7265625" style="462" bestFit="1" customWidth="1"/>
    <col min="8477" max="8477" width="9.453125" style="462" bestFit="1" customWidth="1"/>
    <col min="8478" max="8478" width="10.7265625" style="462" bestFit="1" customWidth="1"/>
    <col min="8479" max="8479" width="9.453125" style="462" bestFit="1" customWidth="1"/>
    <col min="8480" max="8480" width="10.7265625" style="462" bestFit="1" customWidth="1"/>
    <col min="8481" max="8481" width="9.453125" style="462" bestFit="1" customWidth="1"/>
    <col min="8482" max="8482" width="10.7265625" style="462" bestFit="1" customWidth="1"/>
    <col min="8483" max="8483" width="9.453125" style="462" bestFit="1" customWidth="1"/>
    <col min="8484" max="8484" width="10.7265625" style="462" bestFit="1" customWidth="1"/>
    <col min="8485" max="8485" width="9.453125" style="462" bestFit="1" customWidth="1"/>
    <col min="8486" max="8715" width="9.1796875" style="462"/>
    <col min="8716" max="8716" width="0.1796875" style="462" customWidth="1"/>
    <col min="8717" max="8717" width="27.26953125" style="462" customWidth="1"/>
    <col min="8718" max="8718" width="3.26953125" style="462" bestFit="1" customWidth="1"/>
    <col min="8719" max="8719" width="11.7265625" style="462" bestFit="1" customWidth="1"/>
    <col min="8720" max="8720" width="10.6328125" style="462" bestFit="1" customWidth="1"/>
    <col min="8721" max="8721" width="11.26953125" style="462" bestFit="1" customWidth="1"/>
    <col min="8722" max="8722" width="10.26953125" style="462" bestFit="1" customWidth="1"/>
    <col min="8723" max="8723" width="8.453125" style="462" bestFit="1" customWidth="1"/>
    <col min="8724" max="8724" width="10.7265625" style="462" bestFit="1" customWidth="1"/>
    <col min="8725" max="8725" width="8.453125" style="462" bestFit="1" customWidth="1"/>
    <col min="8726" max="8726" width="10.7265625" style="462" bestFit="1" customWidth="1"/>
    <col min="8727" max="8727" width="9" style="462" bestFit="1" customWidth="1"/>
    <col min="8728" max="8728" width="11.7265625" style="462" bestFit="1" customWidth="1"/>
    <col min="8729" max="8729" width="9" style="462" bestFit="1" customWidth="1"/>
    <col min="8730" max="8730" width="10.7265625" style="462" bestFit="1" customWidth="1"/>
    <col min="8731" max="8731" width="9.453125" style="462" bestFit="1" customWidth="1"/>
    <col min="8732" max="8732" width="10.7265625" style="462" bestFit="1" customWidth="1"/>
    <col min="8733" max="8733" width="9.453125" style="462" bestFit="1" customWidth="1"/>
    <col min="8734" max="8734" width="10.7265625" style="462" bestFit="1" customWidth="1"/>
    <col min="8735" max="8735" width="9.453125" style="462" bestFit="1" customWidth="1"/>
    <col min="8736" max="8736" width="10.7265625" style="462" bestFit="1" customWidth="1"/>
    <col min="8737" max="8737" width="9.453125" style="462" bestFit="1" customWidth="1"/>
    <col min="8738" max="8738" width="10.7265625" style="462" bestFit="1" customWidth="1"/>
    <col min="8739" max="8739" width="9.453125" style="462" bestFit="1" customWidth="1"/>
    <col min="8740" max="8740" width="10.7265625" style="462" bestFit="1" customWidth="1"/>
    <col min="8741" max="8741" width="9.453125" style="462" bestFit="1" customWidth="1"/>
    <col min="8742" max="8971" width="9.1796875" style="462"/>
    <col min="8972" max="8972" width="0.1796875" style="462" customWidth="1"/>
    <col min="8973" max="8973" width="27.26953125" style="462" customWidth="1"/>
    <col min="8974" max="8974" width="3.26953125" style="462" bestFit="1" customWidth="1"/>
    <col min="8975" max="8975" width="11.7265625" style="462" bestFit="1" customWidth="1"/>
    <col min="8976" max="8976" width="10.6328125" style="462" bestFit="1" customWidth="1"/>
    <col min="8977" max="8977" width="11.26953125" style="462" bestFit="1" customWidth="1"/>
    <col min="8978" max="8978" width="10.26953125" style="462" bestFit="1" customWidth="1"/>
    <col min="8979" max="8979" width="8.453125" style="462" bestFit="1" customWidth="1"/>
    <col min="8980" max="8980" width="10.7265625" style="462" bestFit="1" customWidth="1"/>
    <col min="8981" max="8981" width="8.453125" style="462" bestFit="1" customWidth="1"/>
    <col min="8982" max="8982" width="10.7265625" style="462" bestFit="1" customWidth="1"/>
    <col min="8983" max="8983" width="9" style="462" bestFit="1" customWidth="1"/>
    <col min="8984" max="8984" width="11.7265625" style="462" bestFit="1" customWidth="1"/>
    <col min="8985" max="8985" width="9" style="462" bestFit="1" customWidth="1"/>
    <col min="8986" max="8986" width="10.7265625" style="462" bestFit="1" customWidth="1"/>
    <col min="8987" max="8987" width="9.453125" style="462" bestFit="1" customWidth="1"/>
    <col min="8988" max="8988" width="10.7265625" style="462" bestFit="1" customWidth="1"/>
    <col min="8989" max="8989" width="9.453125" style="462" bestFit="1" customWidth="1"/>
    <col min="8990" max="8990" width="10.7265625" style="462" bestFit="1" customWidth="1"/>
    <col min="8991" max="8991" width="9.453125" style="462" bestFit="1" customWidth="1"/>
    <col min="8992" max="8992" width="10.7265625" style="462" bestFit="1" customWidth="1"/>
    <col min="8993" max="8993" width="9.453125" style="462" bestFit="1" customWidth="1"/>
    <col min="8994" max="8994" width="10.7265625" style="462" bestFit="1" customWidth="1"/>
    <col min="8995" max="8995" width="9.453125" style="462" bestFit="1" customWidth="1"/>
    <col min="8996" max="8996" width="10.7265625" style="462" bestFit="1" customWidth="1"/>
    <col min="8997" max="8997" width="9.453125" style="462" bestFit="1" customWidth="1"/>
    <col min="8998" max="9227" width="9.1796875" style="462"/>
    <col min="9228" max="9228" width="0.1796875" style="462" customWidth="1"/>
    <col min="9229" max="9229" width="27.26953125" style="462" customWidth="1"/>
    <col min="9230" max="9230" width="3.26953125" style="462" bestFit="1" customWidth="1"/>
    <col min="9231" max="9231" width="11.7265625" style="462" bestFit="1" customWidth="1"/>
    <col min="9232" max="9232" width="10.6328125" style="462" bestFit="1" customWidth="1"/>
    <col min="9233" max="9233" width="11.26953125" style="462" bestFit="1" customWidth="1"/>
    <col min="9234" max="9234" width="10.26953125" style="462" bestFit="1" customWidth="1"/>
    <col min="9235" max="9235" width="8.453125" style="462" bestFit="1" customWidth="1"/>
    <col min="9236" max="9236" width="10.7265625" style="462" bestFit="1" customWidth="1"/>
    <col min="9237" max="9237" width="8.453125" style="462" bestFit="1" customWidth="1"/>
    <col min="9238" max="9238" width="10.7265625" style="462" bestFit="1" customWidth="1"/>
    <col min="9239" max="9239" width="9" style="462" bestFit="1" customWidth="1"/>
    <col min="9240" max="9240" width="11.7265625" style="462" bestFit="1" customWidth="1"/>
    <col min="9241" max="9241" width="9" style="462" bestFit="1" customWidth="1"/>
    <col min="9242" max="9242" width="10.7265625" style="462" bestFit="1" customWidth="1"/>
    <col min="9243" max="9243" width="9.453125" style="462" bestFit="1" customWidth="1"/>
    <col min="9244" max="9244" width="10.7265625" style="462" bestFit="1" customWidth="1"/>
    <col min="9245" max="9245" width="9.453125" style="462" bestFit="1" customWidth="1"/>
    <col min="9246" max="9246" width="10.7265625" style="462" bestFit="1" customWidth="1"/>
    <col min="9247" max="9247" width="9.453125" style="462" bestFit="1" customWidth="1"/>
    <col min="9248" max="9248" width="10.7265625" style="462" bestFit="1" customWidth="1"/>
    <col min="9249" max="9249" width="9.453125" style="462" bestFit="1" customWidth="1"/>
    <col min="9250" max="9250" width="10.7265625" style="462" bestFit="1" customWidth="1"/>
    <col min="9251" max="9251" width="9.453125" style="462" bestFit="1" customWidth="1"/>
    <col min="9252" max="9252" width="10.7265625" style="462" bestFit="1" customWidth="1"/>
    <col min="9253" max="9253" width="9.453125" style="462" bestFit="1" customWidth="1"/>
    <col min="9254" max="9483" width="9.1796875" style="462"/>
    <col min="9484" max="9484" width="0.1796875" style="462" customWidth="1"/>
    <col min="9485" max="9485" width="27.26953125" style="462" customWidth="1"/>
    <col min="9486" max="9486" width="3.26953125" style="462" bestFit="1" customWidth="1"/>
    <col min="9487" max="9487" width="11.7265625" style="462" bestFit="1" customWidth="1"/>
    <col min="9488" max="9488" width="10.6328125" style="462" bestFit="1" customWidth="1"/>
    <col min="9489" max="9489" width="11.26953125" style="462" bestFit="1" customWidth="1"/>
    <col min="9490" max="9490" width="10.26953125" style="462" bestFit="1" customWidth="1"/>
    <col min="9491" max="9491" width="8.453125" style="462" bestFit="1" customWidth="1"/>
    <col min="9492" max="9492" width="10.7265625" style="462" bestFit="1" customWidth="1"/>
    <col min="9493" max="9493" width="8.453125" style="462" bestFit="1" customWidth="1"/>
    <col min="9494" max="9494" width="10.7265625" style="462" bestFit="1" customWidth="1"/>
    <col min="9495" max="9495" width="9" style="462" bestFit="1" customWidth="1"/>
    <col min="9496" max="9496" width="11.7265625" style="462" bestFit="1" customWidth="1"/>
    <col min="9497" max="9497" width="9" style="462" bestFit="1" customWidth="1"/>
    <col min="9498" max="9498" width="10.7265625" style="462" bestFit="1" customWidth="1"/>
    <col min="9499" max="9499" width="9.453125" style="462" bestFit="1" customWidth="1"/>
    <col min="9500" max="9500" width="10.7265625" style="462" bestFit="1" customWidth="1"/>
    <col min="9501" max="9501" width="9.453125" style="462" bestFit="1" customWidth="1"/>
    <col min="9502" max="9502" width="10.7265625" style="462" bestFit="1" customWidth="1"/>
    <col min="9503" max="9503" width="9.453125" style="462" bestFit="1" customWidth="1"/>
    <col min="9504" max="9504" width="10.7265625" style="462" bestFit="1" customWidth="1"/>
    <col min="9505" max="9505" width="9.453125" style="462" bestFit="1" customWidth="1"/>
    <col min="9506" max="9506" width="10.7265625" style="462" bestFit="1" customWidth="1"/>
    <col min="9507" max="9507" width="9.453125" style="462" bestFit="1" customWidth="1"/>
    <col min="9508" max="9508" width="10.7265625" style="462" bestFit="1" customWidth="1"/>
    <col min="9509" max="9509" width="9.453125" style="462" bestFit="1" customWidth="1"/>
    <col min="9510" max="9739" width="9.1796875" style="462"/>
    <col min="9740" max="9740" width="0.1796875" style="462" customWidth="1"/>
    <col min="9741" max="9741" width="27.26953125" style="462" customWidth="1"/>
    <col min="9742" max="9742" width="3.26953125" style="462" bestFit="1" customWidth="1"/>
    <col min="9743" max="9743" width="11.7265625" style="462" bestFit="1" customWidth="1"/>
    <col min="9744" max="9744" width="10.6328125" style="462" bestFit="1" customWidth="1"/>
    <col min="9745" max="9745" width="11.26953125" style="462" bestFit="1" customWidth="1"/>
    <col min="9746" max="9746" width="10.26953125" style="462" bestFit="1" customWidth="1"/>
    <col min="9747" max="9747" width="8.453125" style="462" bestFit="1" customWidth="1"/>
    <col min="9748" max="9748" width="10.7265625" style="462" bestFit="1" customWidth="1"/>
    <col min="9749" max="9749" width="8.453125" style="462" bestFit="1" customWidth="1"/>
    <col min="9750" max="9750" width="10.7265625" style="462" bestFit="1" customWidth="1"/>
    <col min="9751" max="9751" width="9" style="462" bestFit="1" customWidth="1"/>
    <col min="9752" max="9752" width="11.7265625" style="462" bestFit="1" customWidth="1"/>
    <col min="9753" max="9753" width="9" style="462" bestFit="1" customWidth="1"/>
    <col min="9754" max="9754" width="10.7265625" style="462" bestFit="1" customWidth="1"/>
    <col min="9755" max="9755" width="9.453125" style="462" bestFit="1" customWidth="1"/>
    <col min="9756" max="9756" width="10.7265625" style="462" bestFit="1" customWidth="1"/>
    <col min="9757" max="9757" width="9.453125" style="462" bestFit="1" customWidth="1"/>
    <col min="9758" max="9758" width="10.7265625" style="462" bestFit="1" customWidth="1"/>
    <col min="9759" max="9759" width="9.453125" style="462" bestFit="1" customWidth="1"/>
    <col min="9760" max="9760" width="10.7265625" style="462" bestFit="1" customWidth="1"/>
    <col min="9761" max="9761" width="9.453125" style="462" bestFit="1" customWidth="1"/>
    <col min="9762" max="9762" width="10.7265625" style="462" bestFit="1" customWidth="1"/>
    <col min="9763" max="9763" width="9.453125" style="462" bestFit="1" customWidth="1"/>
    <col min="9764" max="9764" width="10.7265625" style="462" bestFit="1" customWidth="1"/>
    <col min="9765" max="9765" width="9.453125" style="462" bestFit="1" customWidth="1"/>
    <col min="9766" max="9995" width="9.1796875" style="462"/>
    <col min="9996" max="9996" width="0.1796875" style="462" customWidth="1"/>
    <col min="9997" max="9997" width="27.26953125" style="462" customWidth="1"/>
    <col min="9998" max="9998" width="3.26953125" style="462" bestFit="1" customWidth="1"/>
    <col min="9999" max="9999" width="11.7265625" style="462" bestFit="1" customWidth="1"/>
    <col min="10000" max="10000" width="10.6328125" style="462" bestFit="1" customWidth="1"/>
    <col min="10001" max="10001" width="11.26953125" style="462" bestFit="1" customWidth="1"/>
    <col min="10002" max="10002" width="10.26953125" style="462" bestFit="1" customWidth="1"/>
    <col min="10003" max="10003" width="8.453125" style="462" bestFit="1" customWidth="1"/>
    <col min="10004" max="10004" width="10.7265625" style="462" bestFit="1" customWidth="1"/>
    <col min="10005" max="10005" width="8.453125" style="462" bestFit="1" customWidth="1"/>
    <col min="10006" max="10006" width="10.7265625" style="462" bestFit="1" customWidth="1"/>
    <col min="10007" max="10007" width="9" style="462" bestFit="1" customWidth="1"/>
    <col min="10008" max="10008" width="11.7265625" style="462" bestFit="1" customWidth="1"/>
    <col min="10009" max="10009" width="9" style="462" bestFit="1" customWidth="1"/>
    <col min="10010" max="10010" width="10.7265625" style="462" bestFit="1" customWidth="1"/>
    <col min="10011" max="10011" width="9.453125" style="462" bestFit="1" customWidth="1"/>
    <col min="10012" max="10012" width="10.7265625" style="462" bestFit="1" customWidth="1"/>
    <col min="10013" max="10013" width="9.453125" style="462" bestFit="1" customWidth="1"/>
    <col min="10014" max="10014" width="10.7265625" style="462" bestFit="1" customWidth="1"/>
    <col min="10015" max="10015" width="9.453125" style="462" bestFit="1" customWidth="1"/>
    <col min="10016" max="10016" width="10.7265625" style="462" bestFit="1" customWidth="1"/>
    <col min="10017" max="10017" width="9.453125" style="462" bestFit="1" customWidth="1"/>
    <col min="10018" max="10018" width="10.7265625" style="462" bestFit="1" customWidth="1"/>
    <col min="10019" max="10019" width="9.453125" style="462" bestFit="1" customWidth="1"/>
    <col min="10020" max="10020" width="10.7265625" style="462" bestFit="1" customWidth="1"/>
    <col min="10021" max="10021" width="9.453125" style="462" bestFit="1" customWidth="1"/>
    <col min="10022" max="10251" width="9.1796875" style="462"/>
    <col min="10252" max="10252" width="0.1796875" style="462" customWidth="1"/>
    <col min="10253" max="10253" width="27.26953125" style="462" customWidth="1"/>
    <col min="10254" max="10254" width="3.26953125" style="462" bestFit="1" customWidth="1"/>
    <col min="10255" max="10255" width="11.7265625" style="462" bestFit="1" customWidth="1"/>
    <col min="10256" max="10256" width="10.6328125" style="462" bestFit="1" customWidth="1"/>
    <col min="10257" max="10257" width="11.26953125" style="462" bestFit="1" customWidth="1"/>
    <col min="10258" max="10258" width="10.26953125" style="462" bestFit="1" customWidth="1"/>
    <col min="10259" max="10259" width="8.453125" style="462" bestFit="1" customWidth="1"/>
    <col min="10260" max="10260" width="10.7265625" style="462" bestFit="1" customWidth="1"/>
    <col min="10261" max="10261" width="8.453125" style="462" bestFit="1" customWidth="1"/>
    <col min="10262" max="10262" width="10.7265625" style="462" bestFit="1" customWidth="1"/>
    <col min="10263" max="10263" width="9" style="462" bestFit="1" customWidth="1"/>
    <col min="10264" max="10264" width="11.7265625" style="462" bestFit="1" customWidth="1"/>
    <col min="10265" max="10265" width="9" style="462" bestFit="1" customWidth="1"/>
    <col min="10266" max="10266" width="10.7265625" style="462" bestFit="1" customWidth="1"/>
    <col min="10267" max="10267" width="9.453125" style="462" bestFit="1" customWidth="1"/>
    <col min="10268" max="10268" width="10.7265625" style="462" bestFit="1" customWidth="1"/>
    <col min="10269" max="10269" width="9.453125" style="462" bestFit="1" customWidth="1"/>
    <col min="10270" max="10270" width="10.7265625" style="462" bestFit="1" customWidth="1"/>
    <col min="10271" max="10271" width="9.453125" style="462" bestFit="1" customWidth="1"/>
    <col min="10272" max="10272" width="10.7265625" style="462" bestFit="1" customWidth="1"/>
    <col min="10273" max="10273" width="9.453125" style="462" bestFit="1" customWidth="1"/>
    <col min="10274" max="10274" width="10.7265625" style="462" bestFit="1" customWidth="1"/>
    <col min="10275" max="10275" width="9.453125" style="462" bestFit="1" customWidth="1"/>
    <col min="10276" max="10276" width="10.7265625" style="462" bestFit="1" customWidth="1"/>
    <col min="10277" max="10277" width="9.453125" style="462" bestFit="1" customWidth="1"/>
    <col min="10278" max="10507" width="9.1796875" style="462"/>
    <col min="10508" max="10508" width="0.1796875" style="462" customWidth="1"/>
    <col min="10509" max="10509" width="27.26953125" style="462" customWidth="1"/>
    <col min="10510" max="10510" width="3.26953125" style="462" bestFit="1" customWidth="1"/>
    <col min="10511" max="10511" width="11.7265625" style="462" bestFit="1" customWidth="1"/>
    <col min="10512" max="10512" width="10.6328125" style="462" bestFit="1" customWidth="1"/>
    <col min="10513" max="10513" width="11.26953125" style="462" bestFit="1" customWidth="1"/>
    <col min="10514" max="10514" width="10.26953125" style="462" bestFit="1" customWidth="1"/>
    <col min="10515" max="10515" width="8.453125" style="462" bestFit="1" customWidth="1"/>
    <col min="10516" max="10516" width="10.7265625" style="462" bestFit="1" customWidth="1"/>
    <col min="10517" max="10517" width="8.453125" style="462" bestFit="1" customWidth="1"/>
    <col min="10518" max="10518" width="10.7265625" style="462" bestFit="1" customWidth="1"/>
    <col min="10519" max="10519" width="9" style="462" bestFit="1" customWidth="1"/>
    <col min="10520" max="10520" width="11.7265625" style="462" bestFit="1" customWidth="1"/>
    <col min="10521" max="10521" width="9" style="462" bestFit="1" customWidth="1"/>
    <col min="10522" max="10522" width="10.7265625" style="462" bestFit="1" customWidth="1"/>
    <col min="10523" max="10523" width="9.453125" style="462" bestFit="1" customWidth="1"/>
    <col min="10524" max="10524" width="10.7265625" style="462" bestFit="1" customWidth="1"/>
    <col min="10525" max="10525" width="9.453125" style="462" bestFit="1" customWidth="1"/>
    <col min="10526" max="10526" width="10.7265625" style="462" bestFit="1" customWidth="1"/>
    <col min="10527" max="10527" width="9.453125" style="462" bestFit="1" customWidth="1"/>
    <col min="10528" max="10528" width="10.7265625" style="462" bestFit="1" customWidth="1"/>
    <col min="10529" max="10529" width="9.453125" style="462" bestFit="1" customWidth="1"/>
    <col min="10530" max="10530" width="10.7265625" style="462" bestFit="1" customWidth="1"/>
    <col min="10531" max="10531" width="9.453125" style="462" bestFit="1" customWidth="1"/>
    <col min="10532" max="10532" width="10.7265625" style="462" bestFit="1" customWidth="1"/>
    <col min="10533" max="10533" width="9.453125" style="462" bestFit="1" customWidth="1"/>
    <col min="10534" max="10763" width="9.1796875" style="462"/>
    <col min="10764" max="10764" width="0.1796875" style="462" customWidth="1"/>
    <col min="10765" max="10765" width="27.26953125" style="462" customWidth="1"/>
    <col min="10766" max="10766" width="3.26953125" style="462" bestFit="1" customWidth="1"/>
    <col min="10767" max="10767" width="11.7265625" style="462" bestFit="1" customWidth="1"/>
    <col min="10768" max="10768" width="10.6328125" style="462" bestFit="1" customWidth="1"/>
    <col min="10769" max="10769" width="11.26953125" style="462" bestFit="1" customWidth="1"/>
    <col min="10770" max="10770" width="10.26953125" style="462" bestFit="1" customWidth="1"/>
    <col min="10771" max="10771" width="8.453125" style="462" bestFit="1" customWidth="1"/>
    <col min="10772" max="10772" width="10.7265625" style="462" bestFit="1" customWidth="1"/>
    <col min="10773" max="10773" width="8.453125" style="462" bestFit="1" customWidth="1"/>
    <col min="10774" max="10774" width="10.7265625" style="462" bestFit="1" customWidth="1"/>
    <col min="10775" max="10775" width="9" style="462" bestFit="1" customWidth="1"/>
    <col min="10776" max="10776" width="11.7265625" style="462" bestFit="1" customWidth="1"/>
    <col min="10777" max="10777" width="9" style="462" bestFit="1" customWidth="1"/>
    <col min="10778" max="10778" width="10.7265625" style="462" bestFit="1" customWidth="1"/>
    <col min="10779" max="10779" width="9.453125" style="462" bestFit="1" customWidth="1"/>
    <col min="10780" max="10780" width="10.7265625" style="462" bestFit="1" customWidth="1"/>
    <col min="10781" max="10781" width="9.453125" style="462" bestFit="1" customWidth="1"/>
    <col min="10782" max="10782" width="10.7265625" style="462" bestFit="1" customWidth="1"/>
    <col min="10783" max="10783" width="9.453125" style="462" bestFit="1" customWidth="1"/>
    <col min="10784" max="10784" width="10.7265625" style="462" bestFit="1" customWidth="1"/>
    <col min="10785" max="10785" width="9.453125" style="462" bestFit="1" customWidth="1"/>
    <col min="10786" max="10786" width="10.7265625" style="462" bestFit="1" customWidth="1"/>
    <col min="10787" max="10787" width="9.453125" style="462" bestFit="1" customWidth="1"/>
    <col min="10788" max="10788" width="10.7265625" style="462" bestFit="1" customWidth="1"/>
    <col min="10789" max="10789" width="9.453125" style="462" bestFit="1" customWidth="1"/>
    <col min="10790" max="11019" width="9.1796875" style="462"/>
    <col min="11020" max="11020" width="0.1796875" style="462" customWidth="1"/>
    <col min="11021" max="11021" width="27.26953125" style="462" customWidth="1"/>
    <col min="11022" max="11022" width="3.26953125" style="462" bestFit="1" customWidth="1"/>
    <col min="11023" max="11023" width="11.7265625" style="462" bestFit="1" customWidth="1"/>
    <col min="11024" max="11024" width="10.6328125" style="462" bestFit="1" customWidth="1"/>
    <col min="11025" max="11025" width="11.26953125" style="462" bestFit="1" customWidth="1"/>
    <col min="11026" max="11026" width="10.26953125" style="462" bestFit="1" customWidth="1"/>
    <col min="11027" max="11027" width="8.453125" style="462" bestFit="1" customWidth="1"/>
    <col min="11028" max="11028" width="10.7265625" style="462" bestFit="1" customWidth="1"/>
    <col min="11029" max="11029" width="8.453125" style="462" bestFit="1" customWidth="1"/>
    <col min="11030" max="11030" width="10.7265625" style="462" bestFit="1" customWidth="1"/>
    <col min="11031" max="11031" width="9" style="462" bestFit="1" customWidth="1"/>
    <col min="11032" max="11032" width="11.7265625" style="462" bestFit="1" customWidth="1"/>
    <col min="11033" max="11033" width="9" style="462" bestFit="1" customWidth="1"/>
    <col min="11034" max="11034" width="10.7265625" style="462" bestFit="1" customWidth="1"/>
    <col min="11035" max="11035" width="9.453125" style="462" bestFit="1" customWidth="1"/>
    <col min="11036" max="11036" width="10.7265625" style="462" bestFit="1" customWidth="1"/>
    <col min="11037" max="11037" width="9.453125" style="462" bestFit="1" customWidth="1"/>
    <col min="11038" max="11038" width="10.7265625" style="462" bestFit="1" customWidth="1"/>
    <col min="11039" max="11039" width="9.453125" style="462" bestFit="1" customWidth="1"/>
    <col min="11040" max="11040" width="10.7265625" style="462" bestFit="1" customWidth="1"/>
    <col min="11041" max="11041" width="9.453125" style="462" bestFit="1" customWidth="1"/>
    <col min="11042" max="11042" width="10.7265625" style="462" bestFit="1" customWidth="1"/>
    <col min="11043" max="11043" width="9.453125" style="462" bestFit="1" customWidth="1"/>
    <col min="11044" max="11044" width="10.7265625" style="462" bestFit="1" customWidth="1"/>
    <col min="11045" max="11045" width="9.453125" style="462" bestFit="1" customWidth="1"/>
    <col min="11046" max="11275" width="9.1796875" style="462"/>
    <col min="11276" max="11276" width="0.1796875" style="462" customWidth="1"/>
    <col min="11277" max="11277" width="27.26953125" style="462" customWidth="1"/>
    <col min="11278" max="11278" width="3.26953125" style="462" bestFit="1" customWidth="1"/>
    <col min="11279" max="11279" width="11.7265625" style="462" bestFit="1" customWidth="1"/>
    <col min="11280" max="11280" width="10.6328125" style="462" bestFit="1" customWidth="1"/>
    <col min="11281" max="11281" width="11.26953125" style="462" bestFit="1" customWidth="1"/>
    <col min="11282" max="11282" width="10.26953125" style="462" bestFit="1" customWidth="1"/>
    <col min="11283" max="11283" width="8.453125" style="462" bestFit="1" customWidth="1"/>
    <col min="11284" max="11284" width="10.7265625" style="462" bestFit="1" customWidth="1"/>
    <col min="11285" max="11285" width="8.453125" style="462" bestFit="1" customWidth="1"/>
    <col min="11286" max="11286" width="10.7265625" style="462" bestFit="1" customWidth="1"/>
    <col min="11287" max="11287" width="9" style="462" bestFit="1" customWidth="1"/>
    <col min="11288" max="11288" width="11.7265625" style="462" bestFit="1" customWidth="1"/>
    <col min="11289" max="11289" width="9" style="462" bestFit="1" customWidth="1"/>
    <col min="11290" max="11290" width="10.7265625" style="462" bestFit="1" customWidth="1"/>
    <col min="11291" max="11291" width="9.453125" style="462" bestFit="1" customWidth="1"/>
    <col min="11292" max="11292" width="10.7265625" style="462" bestFit="1" customWidth="1"/>
    <col min="11293" max="11293" width="9.453125" style="462" bestFit="1" customWidth="1"/>
    <col min="11294" max="11294" width="10.7265625" style="462" bestFit="1" customWidth="1"/>
    <col min="11295" max="11295" width="9.453125" style="462" bestFit="1" customWidth="1"/>
    <col min="11296" max="11296" width="10.7265625" style="462" bestFit="1" customWidth="1"/>
    <col min="11297" max="11297" width="9.453125" style="462" bestFit="1" customWidth="1"/>
    <col min="11298" max="11298" width="10.7265625" style="462" bestFit="1" customWidth="1"/>
    <col min="11299" max="11299" width="9.453125" style="462" bestFit="1" customWidth="1"/>
    <col min="11300" max="11300" width="10.7265625" style="462" bestFit="1" customWidth="1"/>
    <col min="11301" max="11301" width="9.453125" style="462" bestFit="1" customWidth="1"/>
    <col min="11302" max="11531" width="9.1796875" style="462"/>
    <col min="11532" max="11532" width="0.1796875" style="462" customWidth="1"/>
    <col min="11533" max="11533" width="27.26953125" style="462" customWidth="1"/>
    <col min="11534" max="11534" width="3.26953125" style="462" bestFit="1" customWidth="1"/>
    <col min="11535" max="11535" width="11.7265625" style="462" bestFit="1" customWidth="1"/>
    <col min="11536" max="11536" width="10.6328125" style="462" bestFit="1" customWidth="1"/>
    <col min="11537" max="11537" width="11.26953125" style="462" bestFit="1" customWidth="1"/>
    <col min="11538" max="11538" width="10.26953125" style="462" bestFit="1" customWidth="1"/>
    <col min="11539" max="11539" width="8.453125" style="462" bestFit="1" customWidth="1"/>
    <col min="11540" max="11540" width="10.7265625" style="462" bestFit="1" customWidth="1"/>
    <col min="11541" max="11541" width="8.453125" style="462" bestFit="1" customWidth="1"/>
    <col min="11542" max="11542" width="10.7265625" style="462" bestFit="1" customWidth="1"/>
    <col min="11543" max="11543" width="9" style="462" bestFit="1" customWidth="1"/>
    <col min="11544" max="11544" width="11.7265625" style="462" bestFit="1" customWidth="1"/>
    <col min="11545" max="11545" width="9" style="462" bestFit="1" customWidth="1"/>
    <col min="11546" max="11546" width="10.7265625" style="462" bestFit="1" customWidth="1"/>
    <col min="11547" max="11547" width="9.453125" style="462" bestFit="1" customWidth="1"/>
    <col min="11548" max="11548" width="10.7265625" style="462" bestFit="1" customWidth="1"/>
    <col min="11549" max="11549" width="9.453125" style="462" bestFit="1" customWidth="1"/>
    <col min="11550" max="11550" width="10.7265625" style="462" bestFit="1" customWidth="1"/>
    <col min="11551" max="11551" width="9.453125" style="462" bestFit="1" customWidth="1"/>
    <col min="11552" max="11552" width="10.7265625" style="462" bestFit="1" customWidth="1"/>
    <col min="11553" max="11553" width="9.453125" style="462" bestFit="1" customWidth="1"/>
    <col min="11554" max="11554" width="10.7265625" style="462" bestFit="1" customWidth="1"/>
    <col min="11555" max="11555" width="9.453125" style="462" bestFit="1" customWidth="1"/>
    <col min="11556" max="11556" width="10.7265625" style="462" bestFit="1" customWidth="1"/>
    <col min="11557" max="11557" width="9.453125" style="462" bestFit="1" customWidth="1"/>
    <col min="11558" max="11787" width="9.1796875" style="462"/>
    <col min="11788" max="11788" width="0.1796875" style="462" customWidth="1"/>
    <col min="11789" max="11789" width="27.26953125" style="462" customWidth="1"/>
    <col min="11790" max="11790" width="3.26953125" style="462" bestFit="1" customWidth="1"/>
    <col min="11791" max="11791" width="11.7265625" style="462" bestFit="1" customWidth="1"/>
    <col min="11792" max="11792" width="10.6328125" style="462" bestFit="1" customWidth="1"/>
    <col min="11793" max="11793" width="11.26953125" style="462" bestFit="1" customWidth="1"/>
    <col min="11794" max="11794" width="10.26953125" style="462" bestFit="1" customWidth="1"/>
    <col min="11795" max="11795" width="8.453125" style="462" bestFit="1" customWidth="1"/>
    <col min="11796" max="11796" width="10.7265625" style="462" bestFit="1" customWidth="1"/>
    <col min="11797" max="11797" width="8.453125" style="462" bestFit="1" customWidth="1"/>
    <col min="11798" max="11798" width="10.7265625" style="462" bestFit="1" customWidth="1"/>
    <col min="11799" max="11799" width="9" style="462" bestFit="1" customWidth="1"/>
    <col min="11800" max="11800" width="11.7265625" style="462" bestFit="1" customWidth="1"/>
    <col min="11801" max="11801" width="9" style="462" bestFit="1" customWidth="1"/>
    <col min="11802" max="11802" width="10.7265625" style="462" bestFit="1" customWidth="1"/>
    <col min="11803" max="11803" width="9.453125" style="462" bestFit="1" customWidth="1"/>
    <col min="11804" max="11804" width="10.7265625" style="462" bestFit="1" customWidth="1"/>
    <col min="11805" max="11805" width="9.453125" style="462" bestFit="1" customWidth="1"/>
    <col min="11806" max="11806" width="10.7265625" style="462" bestFit="1" customWidth="1"/>
    <col min="11807" max="11807" width="9.453125" style="462" bestFit="1" customWidth="1"/>
    <col min="11808" max="11808" width="10.7265625" style="462" bestFit="1" customWidth="1"/>
    <col min="11809" max="11809" width="9.453125" style="462" bestFit="1" customWidth="1"/>
    <col min="11810" max="11810" width="10.7265625" style="462" bestFit="1" customWidth="1"/>
    <col min="11811" max="11811" width="9.453125" style="462" bestFit="1" customWidth="1"/>
    <col min="11812" max="11812" width="10.7265625" style="462" bestFit="1" customWidth="1"/>
    <col min="11813" max="11813" width="9.453125" style="462" bestFit="1" customWidth="1"/>
    <col min="11814" max="12043" width="9.1796875" style="462"/>
    <col min="12044" max="12044" width="0.1796875" style="462" customWidth="1"/>
    <col min="12045" max="12045" width="27.26953125" style="462" customWidth="1"/>
    <col min="12046" max="12046" width="3.26953125" style="462" bestFit="1" customWidth="1"/>
    <col min="12047" max="12047" width="11.7265625" style="462" bestFit="1" customWidth="1"/>
    <col min="12048" max="12048" width="10.6328125" style="462" bestFit="1" customWidth="1"/>
    <col min="12049" max="12049" width="11.26953125" style="462" bestFit="1" customWidth="1"/>
    <col min="12050" max="12050" width="10.26953125" style="462" bestFit="1" customWidth="1"/>
    <col min="12051" max="12051" width="8.453125" style="462" bestFit="1" customWidth="1"/>
    <col min="12052" max="12052" width="10.7265625" style="462" bestFit="1" customWidth="1"/>
    <col min="12053" max="12053" width="8.453125" style="462" bestFit="1" customWidth="1"/>
    <col min="12054" max="12054" width="10.7265625" style="462" bestFit="1" customWidth="1"/>
    <col min="12055" max="12055" width="9" style="462" bestFit="1" customWidth="1"/>
    <col min="12056" max="12056" width="11.7265625" style="462" bestFit="1" customWidth="1"/>
    <col min="12057" max="12057" width="9" style="462" bestFit="1" customWidth="1"/>
    <col min="12058" max="12058" width="10.7265625" style="462" bestFit="1" customWidth="1"/>
    <col min="12059" max="12059" width="9.453125" style="462" bestFit="1" customWidth="1"/>
    <col min="12060" max="12060" width="10.7265625" style="462" bestFit="1" customWidth="1"/>
    <col min="12061" max="12061" width="9.453125" style="462" bestFit="1" customWidth="1"/>
    <col min="12062" max="12062" width="10.7265625" style="462" bestFit="1" customWidth="1"/>
    <col min="12063" max="12063" width="9.453125" style="462" bestFit="1" customWidth="1"/>
    <col min="12064" max="12064" width="10.7265625" style="462" bestFit="1" customWidth="1"/>
    <col min="12065" max="12065" width="9.453125" style="462" bestFit="1" customWidth="1"/>
    <col min="12066" max="12066" width="10.7265625" style="462" bestFit="1" customWidth="1"/>
    <col min="12067" max="12067" width="9.453125" style="462" bestFit="1" customWidth="1"/>
    <col min="12068" max="12068" width="10.7265625" style="462" bestFit="1" customWidth="1"/>
    <col min="12069" max="12069" width="9.453125" style="462" bestFit="1" customWidth="1"/>
    <col min="12070" max="12299" width="9.1796875" style="462"/>
    <col min="12300" max="12300" width="0.1796875" style="462" customWidth="1"/>
    <col min="12301" max="12301" width="27.26953125" style="462" customWidth="1"/>
    <col min="12302" max="12302" width="3.26953125" style="462" bestFit="1" customWidth="1"/>
    <col min="12303" max="12303" width="11.7265625" style="462" bestFit="1" customWidth="1"/>
    <col min="12304" max="12304" width="10.6328125" style="462" bestFit="1" customWidth="1"/>
    <col min="12305" max="12305" width="11.26953125" style="462" bestFit="1" customWidth="1"/>
    <col min="12306" max="12306" width="10.26953125" style="462" bestFit="1" customWidth="1"/>
    <col min="12307" max="12307" width="8.453125" style="462" bestFit="1" customWidth="1"/>
    <col min="12308" max="12308" width="10.7265625" style="462" bestFit="1" customWidth="1"/>
    <col min="12309" max="12309" width="8.453125" style="462" bestFit="1" customWidth="1"/>
    <col min="12310" max="12310" width="10.7265625" style="462" bestFit="1" customWidth="1"/>
    <col min="12311" max="12311" width="9" style="462" bestFit="1" customWidth="1"/>
    <col min="12312" max="12312" width="11.7265625" style="462" bestFit="1" customWidth="1"/>
    <col min="12313" max="12313" width="9" style="462" bestFit="1" customWidth="1"/>
    <col min="12314" max="12314" width="10.7265625" style="462" bestFit="1" customWidth="1"/>
    <col min="12315" max="12315" width="9.453125" style="462" bestFit="1" customWidth="1"/>
    <col min="12316" max="12316" width="10.7265625" style="462" bestFit="1" customWidth="1"/>
    <col min="12317" max="12317" width="9.453125" style="462" bestFit="1" customWidth="1"/>
    <col min="12318" max="12318" width="10.7265625" style="462" bestFit="1" customWidth="1"/>
    <col min="12319" max="12319" width="9.453125" style="462" bestFit="1" customWidth="1"/>
    <col min="12320" max="12320" width="10.7265625" style="462" bestFit="1" customWidth="1"/>
    <col min="12321" max="12321" width="9.453125" style="462" bestFit="1" customWidth="1"/>
    <col min="12322" max="12322" width="10.7265625" style="462" bestFit="1" customWidth="1"/>
    <col min="12323" max="12323" width="9.453125" style="462" bestFit="1" customWidth="1"/>
    <col min="12324" max="12324" width="10.7265625" style="462" bestFit="1" customWidth="1"/>
    <col min="12325" max="12325" width="9.453125" style="462" bestFit="1" customWidth="1"/>
    <col min="12326" max="12555" width="9.1796875" style="462"/>
    <col min="12556" max="12556" width="0.1796875" style="462" customWidth="1"/>
    <col min="12557" max="12557" width="27.26953125" style="462" customWidth="1"/>
    <col min="12558" max="12558" width="3.26953125" style="462" bestFit="1" customWidth="1"/>
    <col min="12559" max="12559" width="11.7265625" style="462" bestFit="1" customWidth="1"/>
    <col min="12560" max="12560" width="10.6328125" style="462" bestFit="1" customWidth="1"/>
    <col min="12561" max="12561" width="11.26953125" style="462" bestFit="1" customWidth="1"/>
    <col min="12562" max="12562" width="10.26953125" style="462" bestFit="1" customWidth="1"/>
    <col min="12563" max="12563" width="8.453125" style="462" bestFit="1" customWidth="1"/>
    <col min="12564" max="12564" width="10.7265625" style="462" bestFit="1" customWidth="1"/>
    <col min="12565" max="12565" width="8.453125" style="462" bestFit="1" customWidth="1"/>
    <col min="12566" max="12566" width="10.7265625" style="462" bestFit="1" customWidth="1"/>
    <col min="12567" max="12567" width="9" style="462" bestFit="1" customWidth="1"/>
    <col min="12568" max="12568" width="11.7265625" style="462" bestFit="1" customWidth="1"/>
    <col min="12569" max="12569" width="9" style="462" bestFit="1" customWidth="1"/>
    <col min="12570" max="12570" width="10.7265625" style="462" bestFit="1" customWidth="1"/>
    <col min="12571" max="12571" width="9.453125" style="462" bestFit="1" customWidth="1"/>
    <col min="12572" max="12572" width="10.7265625" style="462" bestFit="1" customWidth="1"/>
    <col min="12573" max="12573" width="9.453125" style="462" bestFit="1" customWidth="1"/>
    <col min="12574" max="12574" width="10.7265625" style="462" bestFit="1" customWidth="1"/>
    <col min="12575" max="12575" width="9.453125" style="462" bestFit="1" customWidth="1"/>
    <col min="12576" max="12576" width="10.7265625" style="462" bestFit="1" customWidth="1"/>
    <col min="12577" max="12577" width="9.453125" style="462" bestFit="1" customWidth="1"/>
    <col min="12578" max="12578" width="10.7265625" style="462" bestFit="1" customWidth="1"/>
    <col min="12579" max="12579" width="9.453125" style="462" bestFit="1" customWidth="1"/>
    <col min="12580" max="12580" width="10.7265625" style="462" bestFit="1" customWidth="1"/>
    <col min="12581" max="12581" width="9.453125" style="462" bestFit="1" customWidth="1"/>
    <col min="12582" max="12811" width="9.1796875" style="462"/>
    <col min="12812" max="12812" width="0.1796875" style="462" customWidth="1"/>
    <col min="12813" max="12813" width="27.26953125" style="462" customWidth="1"/>
    <col min="12814" max="12814" width="3.26953125" style="462" bestFit="1" customWidth="1"/>
    <col min="12815" max="12815" width="11.7265625" style="462" bestFit="1" customWidth="1"/>
    <col min="12816" max="12816" width="10.6328125" style="462" bestFit="1" customWidth="1"/>
    <col min="12817" max="12817" width="11.26953125" style="462" bestFit="1" customWidth="1"/>
    <col min="12818" max="12818" width="10.26953125" style="462" bestFit="1" customWidth="1"/>
    <col min="12819" max="12819" width="8.453125" style="462" bestFit="1" customWidth="1"/>
    <col min="12820" max="12820" width="10.7265625" style="462" bestFit="1" customWidth="1"/>
    <col min="12821" max="12821" width="8.453125" style="462" bestFit="1" customWidth="1"/>
    <col min="12822" max="12822" width="10.7265625" style="462" bestFit="1" customWidth="1"/>
    <col min="12823" max="12823" width="9" style="462" bestFit="1" customWidth="1"/>
    <col min="12824" max="12824" width="11.7265625" style="462" bestFit="1" customWidth="1"/>
    <col min="12825" max="12825" width="9" style="462" bestFit="1" customWidth="1"/>
    <col min="12826" max="12826" width="10.7265625" style="462" bestFit="1" customWidth="1"/>
    <col min="12827" max="12827" width="9.453125" style="462" bestFit="1" customWidth="1"/>
    <col min="12828" max="12828" width="10.7265625" style="462" bestFit="1" customWidth="1"/>
    <col min="12829" max="12829" width="9.453125" style="462" bestFit="1" customWidth="1"/>
    <col min="12830" max="12830" width="10.7265625" style="462" bestFit="1" customWidth="1"/>
    <col min="12831" max="12831" width="9.453125" style="462" bestFit="1" customWidth="1"/>
    <col min="12832" max="12832" width="10.7265625" style="462" bestFit="1" customWidth="1"/>
    <col min="12833" max="12833" width="9.453125" style="462" bestFit="1" customWidth="1"/>
    <col min="12834" max="12834" width="10.7265625" style="462" bestFit="1" customWidth="1"/>
    <col min="12835" max="12835" width="9.453125" style="462" bestFit="1" customWidth="1"/>
    <col min="12836" max="12836" width="10.7265625" style="462" bestFit="1" customWidth="1"/>
    <col min="12837" max="12837" width="9.453125" style="462" bestFit="1" customWidth="1"/>
    <col min="12838" max="13067" width="9.1796875" style="462"/>
    <col min="13068" max="13068" width="0.1796875" style="462" customWidth="1"/>
    <col min="13069" max="13069" width="27.26953125" style="462" customWidth="1"/>
    <col min="13070" max="13070" width="3.26953125" style="462" bestFit="1" customWidth="1"/>
    <col min="13071" max="13071" width="11.7265625" style="462" bestFit="1" customWidth="1"/>
    <col min="13072" max="13072" width="10.6328125" style="462" bestFit="1" customWidth="1"/>
    <col min="13073" max="13073" width="11.26953125" style="462" bestFit="1" customWidth="1"/>
    <col min="13074" max="13074" width="10.26953125" style="462" bestFit="1" customWidth="1"/>
    <col min="13075" max="13075" width="8.453125" style="462" bestFit="1" customWidth="1"/>
    <col min="13076" max="13076" width="10.7265625" style="462" bestFit="1" customWidth="1"/>
    <col min="13077" max="13077" width="8.453125" style="462" bestFit="1" customWidth="1"/>
    <col min="13078" max="13078" width="10.7265625" style="462" bestFit="1" customWidth="1"/>
    <col min="13079" max="13079" width="9" style="462" bestFit="1" customWidth="1"/>
    <col min="13080" max="13080" width="11.7265625" style="462" bestFit="1" customWidth="1"/>
    <col min="13081" max="13081" width="9" style="462" bestFit="1" customWidth="1"/>
    <col min="13082" max="13082" width="10.7265625" style="462" bestFit="1" customWidth="1"/>
    <col min="13083" max="13083" width="9.453125" style="462" bestFit="1" customWidth="1"/>
    <col min="13084" max="13084" width="10.7265625" style="462" bestFit="1" customWidth="1"/>
    <col min="13085" max="13085" width="9.453125" style="462" bestFit="1" customWidth="1"/>
    <col min="13086" max="13086" width="10.7265625" style="462" bestFit="1" customWidth="1"/>
    <col min="13087" max="13087" width="9.453125" style="462" bestFit="1" customWidth="1"/>
    <col min="13088" max="13088" width="10.7265625" style="462" bestFit="1" customWidth="1"/>
    <col min="13089" max="13089" width="9.453125" style="462" bestFit="1" customWidth="1"/>
    <col min="13090" max="13090" width="10.7265625" style="462" bestFit="1" customWidth="1"/>
    <col min="13091" max="13091" width="9.453125" style="462" bestFit="1" customWidth="1"/>
    <col min="13092" max="13092" width="10.7265625" style="462" bestFit="1" customWidth="1"/>
    <col min="13093" max="13093" width="9.453125" style="462" bestFit="1" customWidth="1"/>
    <col min="13094" max="13323" width="9.1796875" style="462"/>
    <col min="13324" max="13324" width="0.1796875" style="462" customWidth="1"/>
    <col min="13325" max="13325" width="27.26953125" style="462" customWidth="1"/>
    <col min="13326" max="13326" width="3.26953125" style="462" bestFit="1" customWidth="1"/>
    <col min="13327" max="13327" width="11.7265625" style="462" bestFit="1" customWidth="1"/>
    <col min="13328" max="13328" width="10.6328125" style="462" bestFit="1" customWidth="1"/>
    <col min="13329" max="13329" width="11.26953125" style="462" bestFit="1" customWidth="1"/>
    <col min="13330" max="13330" width="10.26953125" style="462" bestFit="1" customWidth="1"/>
    <col min="13331" max="13331" width="8.453125" style="462" bestFit="1" customWidth="1"/>
    <col min="13332" max="13332" width="10.7265625" style="462" bestFit="1" customWidth="1"/>
    <col min="13333" max="13333" width="8.453125" style="462" bestFit="1" customWidth="1"/>
    <col min="13334" max="13334" width="10.7265625" style="462" bestFit="1" customWidth="1"/>
    <col min="13335" max="13335" width="9" style="462" bestFit="1" customWidth="1"/>
    <col min="13336" max="13336" width="11.7265625" style="462" bestFit="1" customWidth="1"/>
    <col min="13337" max="13337" width="9" style="462" bestFit="1" customWidth="1"/>
    <col min="13338" max="13338" width="10.7265625" style="462" bestFit="1" customWidth="1"/>
    <col min="13339" max="13339" width="9.453125" style="462" bestFit="1" customWidth="1"/>
    <col min="13340" max="13340" width="10.7265625" style="462" bestFit="1" customWidth="1"/>
    <col min="13341" max="13341" width="9.453125" style="462" bestFit="1" customWidth="1"/>
    <col min="13342" max="13342" width="10.7265625" style="462" bestFit="1" customWidth="1"/>
    <col min="13343" max="13343" width="9.453125" style="462" bestFit="1" customWidth="1"/>
    <col min="13344" max="13344" width="10.7265625" style="462" bestFit="1" customWidth="1"/>
    <col min="13345" max="13345" width="9.453125" style="462" bestFit="1" customWidth="1"/>
    <col min="13346" max="13346" width="10.7265625" style="462" bestFit="1" customWidth="1"/>
    <col min="13347" max="13347" width="9.453125" style="462" bestFit="1" customWidth="1"/>
    <col min="13348" max="13348" width="10.7265625" style="462" bestFit="1" customWidth="1"/>
    <col min="13349" max="13349" width="9.453125" style="462" bestFit="1" customWidth="1"/>
    <col min="13350" max="13579" width="9.1796875" style="462"/>
    <col min="13580" max="13580" width="0.1796875" style="462" customWidth="1"/>
    <col min="13581" max="13581" width="27.26953125" style="462" customWidth="1"/>
    <col min="13582" max="13582" width="3.26953125" style="462" bestFit="1" customWidth="1"/>
    <col min="13583" max="13583" width="11.7265625" style="462" bestFit="1" customWidth="1"/>
    <col min="13584" max="13584" width="10.6328125" style="462" bestFit="1" customWidth="1"/>
    <col min="13585" max="13585" width="11.26953125" style="462" bestFit="1" customWidth="1"/>
    <col min="13586" max="13586" width="10.26953125" style="462" bestFit="1" customWidth="1"/>
    <col min="13587" max="13587" width="8.453125" style="462" bestFit="1" customWidth="1"/>
    <col min="13588" max="13588" width="10.7265625" style="462" bestFit="1" customWidth="1"/>
    <col min="13589" max="13589" width="8.453125" style="462" bestFit="1" customWidth="1"/>
    <col min="13590" max="13590" width="10.7265625" style="462" bestFit="1" customWidth="1"/>
    <col min="13591" max="13591" width="9" style="462" bestFit="1" customWidth="1"/>
    <col min="13592" max="13592" width="11.7265625" style="462" bestFit="1" customWidth="1"/>
    <col min="13593" max="13593" width="9" style="462" bestFit="1" customWidth="1"/>
    <col min="13594" max="13594" width="10.7265625" style="462" bestFit="1" customWidth="1"/>
    <col min="13595" max="13595" width="9.453125" style="462" bestFit="1" customWidth="1"/>
    <col min="13596" max="13596" width="10.7265625" style="462" bestFit="1" customWidth="1"/>
    <col min="13597" max="13597" width="9.453125" style="462" bestFit="1" customWidth="1"/>
    <col min="13598" max="13598" width="10.7265625" style="462" bestFit="1" customWidth="1"/>
    <col min="13599" max="13599" width="9.453125" style="462" bestFit="1" customWidth="1"/>
    <col min="13600" max="13600" width="10.7265625" style="462" bestFit="1" customWidth="1"/>
    <col min="13601" max="13601" width="9.453125" style="462" bestFit="1" customWidth="1"/>
    <col min="13602" max="13602" width="10.7265625" style="462" bestFit="1" customWidth="1"/>
    <col min="13603" max="13603" width="9.453125" style="462" bestFit="1" customWidth="1"/>
    <col min="13604" max="13604" width="10.7265625" style="462" bestFit="1" customWidth="1"/>
    <col min="13605" max="13605" width="9.453125" style="462" bestFit="1" customWidth="1"/>
    <col min="13606" max="13835" width="9.1796875" style="462"/>
    <col min="13836" max="13836" width="0.1796875" style="462" customWidth="1"/>
    <col min="13837" max="13837" width="27.26953125" style="462" customWidth="1"/>
    <col min="13838" max="13838" width="3.26953125" style="462" bestFit="1" customWidth="1"/>
    <col min="13839" max="13839" width="11.7265625" style="462" bestFit="1" customWidth="1"/>
    <col min="13840" max="13840" width="10.6328125" style="462" bestFit="1" customWidth="1"/>
    <col min="13841" max="13841" width="11.26953125" style="462" bestFit="1" customWidth="1"/>
    <col min="13842" max="13842" width="10.26953125" style="462" bestFit="1" customWidth="1"/>
    <col min="13843" max="13843" width="8.453125" style="462" bestFit="1" customWidth="1"/>
    <col min="13844" max="13844" width="10.7265625" style="462" bestFit="1" customWidth="1"/>
    <col min="13845" max="13845" width="8.453125" style="462" bestFit="1" customWidth="1"/>
    <col min="13846" max="13846" width="10.7265625" style="462" bestFit="1" customWidth="1"/>
    <col min="13847" max="13847" width="9" style="462" bestFit="1" customWidth="1"/>
    <col min="13848" max="13848" width="11.7265625" style="462" bestFit="1" customWidth="1"/>
    <col min="13849" max="13849" width="9" style="462" bestFit="1" customWidth="1"/>
    <col min="13850" max="13850" width="10.7265625" style="462" bestFit="1" customWidth="1"/>
    <col min="13851" max="13851" width="9.453125" style="462" bestFit="1" customWidth="1"/>
    <col min="13852" max="13852" width="10.7265625" style="462" bestFit="1" customWidth="1"/>
    <col min="13853" max="13853" width="9.453125" style="462" bestFit="1" customWidth="1"/>
    <col min="13854" max="13854" width="10.7265625" style="462" bestFit="1" customWidth="1"/>
    <col min="13855" max="13855" width="9.453125" style="462" bestFit="1" customWidth="1"/>
    <col min="13856" max="13856" width="10.7265625" style="462" bestFit="1" customWidth="1"/>
    <col min="13857" max="13857" width="9.453125" style="462" bestFit="1" customWidth="1"/>
    <col min="13858" max="13858" width="10.7265625" style="462" bestFit="1" customWidth="1"/>
    <col min="13859" max="13859" width="9.453125" style="462" bestFit="1" customWidth="1"/>
    <col min="13860" max="13860" width="10.7265625" style="462" bestFit="1" customWidth="1"/>
    <col min="13861" max="13861" width="9.453125" style="462" bestFit="1" customWidth="1"/>
    <col min="13862" max="14091" width="9.1796875" style="462"/>
    <col min="14092" max="14092" width="0.1796875" style="462" customWidth="1"/>
    <col min="14093" max="14093" width="27.26953125" style="462" customWidth="1"/>
    <col min="14094" max="14094" width="3.26953125" style="462" bestFit="1" customWidth="1"/>
    <col min="14095" max="14095" width="11.7265625" style="462" bestFit="1" customWidth="1"/>
    <col min="14096" max="14096" width="10.6328125" style="462" bestFit="1" customWidth="1"/>
    <col min="14097" max="14097" width="11.26953125" style="462" bestFit="1" customWidth="1"/>
    <col min="14098" max="14098" width="10.26953125" style="462" bestFit="1" customWidth="1"/>
    <col min="14099" max="14099" width="8.453125" style="462" bestFit="1" customWidth="1"/>
    <col min="14100" max="14100" width="10.7265625" style="462" bestFit="1" customWidth="1"/>
    <col min="14101" max="14101" width="8.453125" style="462" bestFit="1" customWidth="1"/>
    <col min="14102" max="14102" width="10.7265625" style="462" bestFit="1" customWidth="1"/>
    <col min="14103" max="14103" width="9" style="462" bestFit="1" customWidth="1"/>
    <col min="14104" max="14104" width="11.7265625" style="462" bestFit="1" customWidth="1"/>
    <col min="14105" max="14105" width="9" style="462" bestFit="1" customWidth="1"/>
    <col min="14106" max="14106" width="10.7265625" style="462" bestFit="1" customWidth="1"/>
    <col min="14107" max="14107" width="9.453125" style="462" bestFit="1" customWidth="1"/>
    <col min="14108" max="14108" width="10.7265625" style="462" bestFit="1" customWidth="1"/>
    <col min="14109" max="14109" width="9.453125" style="462" bestFit="1" customWidth="1"/>
    <col min="14110" max="14110" width="10.7265625" style="462" bestFit="1" customWidth="1"/>
    <col min="14111" max="14111" width="9.453125" style="462" bestFit="1" customWidth="1"/>
    <col min="14112" max="14112" width="10.7265625" style="462" bestFit="1" customWidth="1"/>
    <col min="14113" max="14113" width="9.453125" style="462" bestFit="1" customWidth="1"/>
    <col min="14114" max="14114" width="10.7265625" style="462" bestFit="1" customWidth="1"/>
    <col min="14115" max="14115" width="9.453125" style="462" bestFit="1" customWidth="1"/>
    <col min="14116" max="14116" width="10.7265625" style="462" bestFit="1" customWidth="1"/>
    <col min="14117" max="14117" width="9.453125" style="462" bestFit="1" customWidth="1"/>
    <col min="14118" max="14347" width="9.1796875" style="462"/>
    <col min="14348" max="14348" width="0.1796875" style="462" customWidth="1"/>
    <col min="14349" max="14349" width="27.26953125" style="462" customWidth="1"/>
    <col min="14350" max="14350" width="3.26953125" style="462" bestFit="1" customWidth="1"/>
    <col min="14351" max="14351" width="11.7265625" style="462" bestFit="1" customWidth="1"/>
    <col min="14352" max="14352" width="10.6328125" style="462" bestFit="1" customWidth="1"/>
    <col min="14353" max="14353" width="11.26953125" style="462" bestFit="1" customWidth="1"/>
    <col min="14354" max="14354" width="10.26953125" style="462" bestFit="1" customWidth="1"/>
    <col min="14355" max="14355" width="8.453125" style="462" bestFit="1" customWidth="1"/>
    <col min="14356" max="14356" width="10.7265625" style="462" bestFit="1" customWidth="1"/>
    <col min="14357" max="14357" width="8.453125" style="462" bestFit="1" customWidth="1"/>
    <col min="14358" max="14358" width="10.7265625" style="462" bestFit="1" customWidth="1"/>
    <col min="14359" max="14359" width="9" style="462" bestFit="1" customWidth="1"/>
    <col min="14360" max="14360" width="11.7265625" style="462" bestFit="1" customWidth="1"/>
    <col min="14361" max="14361" width="9" style="462" bestFit="1" customWidth="1"/>
    <col min="14362" max="14362" width="10.7265625" style="462" bestFit="1" customWidth="1"/>
    <col min="14363" max="14363" width="9.453125" style="462" bestFit="1" customWidth="1"/>
    <col min="14364" max="14364" width="10.7265625" style="462" bestFit="1" customWidth="1"/>
    <col min="14365" max="14365" width="9.453125" style="462" bestFit="1" customWidth="1"/>
    <col min="14366" max="14366" width="10.7265625" style="462" bestFit="1" customWidth="1"/>
    <col min="14367" max="14367" width="9.453125" style="462" bestFit="1" customWidth="1"/>
    <col min="14368" max="14368" width="10.7265625" style="462" bestFit="1" customWidth="1"/>
    <col min="14369" max="14369" width="9.453125" style="462" bestFit="1" customWidth="1"/>
    <col min="14370" max="14370" width="10.7265625" style="462" bestFit="1" customWidth="1"/>
    <col min="14371" max="14371" width="9.453125" style="462" bestFit="1" customWidth="1"/>
    <col min="14372" max="14372" width="10.7265625" style="462" bestFit="1" customWidth="1"/>
    <col min="14373" max="14373" width="9.453125" style="462" bestFit="1" customWidth="1"/>
    <col min="14374" max="14603" width="9.1796875" style="462"/>
    <col min="14604" max="14604" width="0.1796875" style="462" customWidth="1"/>
    <col min="14605" max="14605" width="27.26953125" style="462" customWidth="1"/>
    <col min="14606" max="14606" width="3.26953125" style="462" bestFit="1" customWidth="1"/>
    <col min="14607" max="14607" width="11.7265625" style="462" bestFit="1" customWidth="1"/>
    <col min="14608" max="14608" width="10.6328125" style="462" bestFit="1" customWidth="1"/>
    <col min="14609" max="14609" width="11.26953125" style="462" bestFit="1" customWidth="1"/>
    <col min="14610" max="14610" width="10.26953125" style="462" bestFit="1" customWidth="1"/>
    <col min="14611" max="14611" width="8.453125" style="462" bestFit="1" customWidth="1"/>
    <col min="14612" max="14612" width="10.7265625" style="462" bestFit="1" customWidth="1"/>
    <col min="14613" max="14613" width="8.453125" style="462" bestFit="1" customWidth="1"/>
    <col min="14614" max="14614" width="10.7265625" style="462" bestFit="1" customWidth="1"/>
    <col min="14615" max="14615" width="9" style="462" bestFit="1" customWidth="1"/>
    <col min="14616" max="14616" width="11.7265625" style="462" bestFit="1" customWidth="1"/>
    <col min="14617" max="14617" width="9" style="462" bestFit="1" customWidth="1"/>
    <col min="14618" max="14618" width="10.7265625" style="462" bestFit="1" customWidth="1"/>
    <col min="14619" max="14619" width="9.453125" style="462" bestFit="1" customWidth="1"/>
    <col min="14620" max="14620" width="10.7265625" style="462" bestFit="1" customWidth="1"/>
    <col min="14621" max="14621" width="9.453125" style="462" bestFit="1" customWidth="1"/>
    <col min="14622" max="14622" width="10.7265625" style="462" bestFit="1" customWidth="1"/>
    <col min="14623" max="14623" width="9.453125" style="462" bestFit="1" customWidth="1"/>
    <col min="14624" max="14624" width="10.7265625" style="462" bestFit="1" customWidth="1"/>
    <col min="14625" max="14625" width="9.453125" style="462" bestFit="1" customWidth="1"/>
    <col min="14626" max="14626" width="10.7265625" style="462" bestFit="1" customWidth="1"/>
    <col min="14627" max="14627" width="9.453125" style="462" bestFit="1" customWidth="1"/>
    <col min="14628" max="14628" width="10.7265625" style="462" bestFit="1" customWidth="1"/>
    <col min="14629" max="14629" width="9.453125" style="462" bestFit="1" customWidth="1"/>
    <col min="14630" max="14859" width="9.1796875" style="462"/>
    <col min="14860" max="14860" width="0.1796875" style="462" customWidth="1"/>
    <col min="14861" max="14861" width="27.26953125" style="462" customWidth="1"/>
    <col min="14862" max="14862" width="3.26953125" style="462" bestFit="1" customWidth="1"/>
    <col min="14863" max="14863" width="11.7265625" style="462" bestFit="1" customWidth="1"/>
    <col min="14864" max="14864" width="10.6328125" style="462" bestFit="1" customWidth="1"/>
    <col min="14865" max="14865" width="11.26953125" style="462" bestFit="1" customWidth="1"/>
    <col min="14866" max="14866" width="10.26953125" style="462" bestFit="1" customWidth="1"/>
    <col min="14867" max="14867" width="8.453125" style="462" bestFit="1" customWidth="1"/>
    <col min="14868" max="14868" width="10.7265625" style="462" bestFit="1" customWidth="1"/>
    <col min="14869" max="14869" width="8.453125" style="462" bestFit="1" customWidth="1"/>
    <col min="14870" max="14870" width="10.7265625" style="462" bestFit="1" customWidth="1"/>
    <col min="14871" max="14871" width="9" style="462" bestFit="1" customWidth="1"/>
    <col min="14872" max="14872" width="11.7265625" style="462" bestFit="1" customWidth="1"/>
    <col min="14873" max="14873" width="9" style="462" bestFit="1" customWidth="1"/>
    <col min="14874" max="14874" width="10.7265625" style="462" bestFit="1" customWidth="1"/>
    <col min="14875" max="14875" width="9.453125" style="462" bestFit="1" customWidth="1"/>
    <col min="14876" max="14876" width="10.7265625" style="462" bestFit="1" customWidth="1"/>
    <col min="14877" max="14877" width="9.453125" style="462" bestFit="1" customWidth="1"/>
    <col min="14878" max="14878" width="10.7265625" style="462" bestFit="1" customWidth="1"/>
    <col min="14879" max="14879" width="9.453125" style="462" bestFit="1" customWidth="1"/>
    <col min="14880" max="14880" width="10.7265625" style="462" bestFit="1" customWidth="1"/>
    <col min="14881" max="14881" width="9.453125" style="462" bestFit="1" customWidth="1"/>
    <col min="14882" max="14882" width="10.7265625" style="462" bestFit="1" customWidth="1"/>
    <col min="14883" max="14883" width="9.453125" style="462" bestFit="1" customWidth="1"/>
    <col min="14884" max="14884" width="10.7265625" style="462" bestFit="1" customWidth="1"/>
    <col min="14885" max="14885" width="9.453125" style="462" bestFit="1" customWidth="1"/>
    <col min="14886" max="15115" width="9.1796875" style="462"/>
    <col min="15116" max="15116" width="0.1796875" style="462" customWidth="1"/>
    <col min="15117" max="15117" width="27.26953125" style="462" customWidth="1"/>
    <col min="15118" max="15118" width="3.26953125" style="462" bestFit="1" customWidth="1"/>
    <col min="15119" max="15119" width="11.7265625" style="462" bestFit="1" customWidth="1"/>
    <col min="15120" max="15120" width="10.6328125" style="462" bestFit="1" customWidth="1"/>
    <col min="15121" max="15121" width="11.26953125" style="462" bestFit="1" customWidth="1"/>
    <col min="15122" max="15122" width="10.26953125" style="462" bestFit="1" customWidth="1"/>
    <col min="15123" max="15123" width="8.453125" style="462" bestFit="1" customWidth="1"/>
    <col min="15124" max="15124" width="10.7265625" style="462" bestFit="1" customWidth="1"/>
    <col min="15125" max="15125" width="8.453125" style="462" bestFit="1" customWidth="1"/>
    <col min="15126" max="15126" width="10.7265625" style="462" bestFit="1" customWidth="1"/>
    <col min="15127" max="15127" width="9" style="462" bestFit="1" customWidth="1"/>
    <col min="15128" max="15128" width="11.7265625" style="462" bestFit="1" customWidth="1"/>
    <col min="15129" max="15129" width="9" style="462" bestFit="1" customWidth="1"/>
    <col min="15130" max="15130" width="10.7265625" style="462" bestFit="1" customWidth="1"/>
    <col min="15131" max="15131" width="9.453125" style="462" bestFit="1" customWidth="1"/>
    <col min="15132" max="15132" width="10.7265625" style="462" bestFit="1" customWidth="1"/>
    <col min="15133" max="15133" width="9.453125" style="462" bestFit="1" customWidth="1"/>
    <col min="15134" max="15134" width="10.7265625" style="462" bestFit="1" customWidth="1"/>
    <col min="15135" max="15135" width="9.453125" style="462" bestFit="1" customWidth="1"/>
    <col min="15136" max="15136" width="10.7265625" style="462" bestFit="1" customWidth="1"/>
    <col min="15137" max="15137" width="9.453125" style="462" bestFit="1" customWidth="1"/>
    <col min="15138" max="15138" width="10.7265625" style="462" bestFit="1" customWidth="1"/>
    <col min="15139" max="15139" width="9.453125" style="462" bestFit="1" customWidth="1"/>
    <col min="15140" max="15140" width="10.7265625" style="462" bestFit="1" customWidth="1"/>
    <col min="15141" max="15141" width="9.453125" style="462" bestFit="1" customWidth="1"/>
    <col min="15142" max="15371" width="9.1796875" style="462"/>
    <col min="15372" max="15372" width="0.1796875" style="462" customWidth="1"/>
    <col min="15373" max="15373" width="27.26953125" style="462" customWidth="1"/>
    <col min="15374" max="15374" width="3.26953125" style="462" bestFit="1" customWidth="1"/>
    <col min="15375" max="15375" width="11.7265625" style="462" bestFit="1" customWidth="1"/>
    <col min="15376" max="15376" width="10.6328125" style="462" bestFit="1" customWidth="1"/>
    <col min="15377" max="15377" width="11.26953125" style="462" bestFit="1" customWidth="1"/>
    <col min="15378" max="15378" width="10.26953125" style="462" bestFit="1" customWidth="1"/>
    <col min="15379" max="15379" width="8.453125" style="462" bestFit="1" customWidth="1"/>
    <col min="15380" max="15380" width="10.7265625" style="462" bestFit="1" customWidth="1"/>
    <col min="15381" max="15381" width="8.453125" style="462" bestFit="1" customWidth="1"/>
    <col min="15382" max="15382" width="10.7265625" style="462" bestFit="1" customWidth="1"/>
    <col min="15383" max="15383" width="9" style="462" bestFit="1" customWidth="1"/>
    <col min="15384" max="15384" width="11.7265625" style="462" bestFit="1" customWidth="1"/>
    <col min="15385" max="15385" width="9" style="462" bestFit="1" customWidth="1"/>
    <col min="15386" max="15386" width="10.7265625" style="462" bestFit="1" customWidth="1"/>
    <col min="15387" max="15387" width="9.453125" style="462" bestFit="1" customWidth="1"/>
    <col min="15388" max="15388" width="10.7265625" style="462" bestFit="1" customWidth="1"/>
    <col min="15389" max="15389" width="9.453125" style="462" bestFit="1" customWidth="1"/>
    <col min="15390" max="15390" width="10.7265625" style="462" bestFit="1" customWidth="1"/>
    <col min="15391" max="15391" width="9.453125" style="462" bestFit="1" customWidth="1"/>
    <col min="15392" max="15392" width="10.7265625" style="462" bestFit="1" customWidth="1"/>
    <col min="15393" max="15393" width="9.453125" style="462" bestFit="1" customWidth="1"/>
    <col min="15394" max="15394" width="10.7265625" style="462" bestFit="1" customWidth="1"/>
    <col min="15395" max="15395" width="9.453125" style="462" bestFit="1" customWidth="1"/>
    <col min="15396" max="15396" width="10.7265625" style="462" bestFit="1" customWidth="1"/>
    <col min="15397" max="15397" width="9.453125" style="462" bestFit="1" customWidth="1"/>
    <col min="15398" max="15627" width="9.1796875" style="462"/>
    <col min="15628" max="15628" width="0.1796875" style="462" customWidth="1"/>
    <col min="15629" max="15629" width="27.26953125" style="462" customWidth="1"/>
    <col min="15630" max="15630" width="3.26953125" style="462" bestFit="1" customWidth="1"/>
    <col min="15631" max="15631" width="11.7265625" style="462" bestFit="1" customWidth="1"/>
    <col min="15632" max="15632" width="10.6328125" style="462" bestFit="1" customWidth="1"/>
    <col min="15633" max="15633" width="11.26953125" style="462" bestFit="1" customWidth="1"/>
    <col min="15634" max="15634" width="10.26953125" style="462" bestFit="1" customWidth="1"/>
    <col min="15635" max="15635" width="8.453125" style="462" bestFit="1" customWidth="1"/>
    <col min="15636" max="15636" width="10.7265625" style="462" bestFit="1" customWidth="1"/>
    <col min="15637" max="15637" width="8.453125" style="462" bestFit="1" customWidth="1"/>
    <col min="15638" max="15638" width="10.7265625" style="462" bestFit="1" customWidth="1"/>
    <col min="15639" max="15639" width="9" style="462" bestFit="1" customWidth="1"/>
    <col min="15640" max="15640" width="11.7265625" style="462" bestFit="1" customWidth="1"/>
    <col min="15641" max="15641" width="9" style="462" bestFit="1" customWidth="1"/>
    <col min="15642" max="15642" width="10.7265625" style="462" bestFit="1" customWidth="1"/>
    <col min="15643" max="15643" width="9.453125" style="462" bestFit="1" customWidth="1"/>
    <col min="15644" max="15644" width="10.7265625" style="462" bestFit="1" customWidth="1"/>
    <col min="15645" max="15645" width="9.453125" style="462" bestFit="1" customWidth="1"/>
    <col min="15646" max="15646" width="10.7265625" style="462" bestFit="1" customWidth="1"/>
    <col min="15647" max="15647" width="9.453125" style="462" bestFit="1" customWidth="1"/>
    <col min="15648" max="15648" width="10.7265625" style="462" bestFit="1" customWidth="1"/>
    <col min="15649" max="15649" width="9.453125" style="462" bestFit="1" customWidth="1"/>
    <col min="15650" max="15650" width="10.7265625" style="462" bestFit="1" customWidth="1"/>
    <col min="15651" max="15651" width="9.453125" style="462" bestFit="1" customWidth="1"/>
    <col min="15652" max="15652" width="10.7265625" style="462" bestFit="1" customWidth="1"/>
    <col min="15653" max="15653" width="9.453125" style="462" bestFit="1" customWidth="1"/>
    <col min="15654" max="15883" width="9.1796875" style="462"/>
    <col min="15884" max="15884" width="0.1796875" style="462" customWidth="1"/>
    <col min="15885" max="15885" width="27.26953125" style="462" customWidth="1"/>
    <col min="15886" max="15886" width="3.26953125" style="462" bestFit="1" customWidth="1"/>
    <col min="15887" max="15887" width="11.7265625" style="462" bestFit="1" customWidth="1"/>
    <col min="15888" max="15888" width="10.6328125" style="462" bestFit="1" customWidth="1"/>
    <col min="15889" max="15889" width="11.26953125" style="462" bestFit="1" customWidth="1"/>
    <col min="15890" max="15890" width="10.26953125" style="462" bestFit="1" customWidth="1"/>
    <col min="15891" max="15891" width="8.453125" style="462" bestFit="1" customWidth="1"/>
    <col min="15892" max="15892" width="10.7265625" style="462" bestFit="1" customWidth="1"/>
    <col min="15893" max="15893" width="8.453125" style="462" bestFit="1" customWidth="1"/>
    <col min="15894" max="15894" width="10.7265625" style="462" bestFit="1" customWidth="1"/>
    <col min="15895" max="15895" width="9" style="462" bestFit="1" customWidth="1"/>
    <col min="15896" max="15896" width="11.7265625" style="462" bestFit="1" customWidth="1"/>
    <col min="15897" max="15897" width="9" style="462" bestFit="1" customWidth="1"/>
    <col min="15898" max="15898" width="10.7265625" style="462" bestFit="1" customWidth="1"/>
    <col min="15899" max="15899" width="9.453125" style="462" bestFit="1" customWidth="1"/>
    <col min="15900" max="15900" width="10.7265625" style="462" bestFit="1" customWidth="1"/>
    <col min="15901" max="15901" width="9.453125" style="462" bestFit="1" customWidth="1"/>
    <col min="15902" max="15902" width="10.7265625" style="462" bestFit="1" customWidth="1"/>
    <col min="15903" max="15903" width="9.453125" style="462" bestFit="1" customWidth="1"/>
    <col min="15904" max="15904" width="10.7265625" style="462" bestFit="1" customWidth="1"/>
    <col min="15905" max="15905" width="9.453125" style="462" bestFit="1" customWidth="1"/>
    <col min="15906" max="15906" width="10.7265625" style="462" bestFit="1" customWidth="1"/>
    <col min="15907" max="15907" width="9.453125" style="462" bestFit="1" customWidth="1"/>
    <col min="15908" max="15908" width="10.7265625" style="462" bestFit="1" customWidth="1"/>
    <col min="15909" max="15909" width="9.453125" style="462" bestFit="1" customWidth="1"/>
    <col min="15910" max="16139" width="9.1796875" style="462"/>
    <col min="16140" max="16140" width="0.1796875" style="462" customWidth="1"/>
    <col min="16141" max="16141" width="27.26953125" style="462" customWidth="1"/>
    <col min="16142" max="16142" width="3.26953125" style="462" bestFit="1" customWidth="1"/>
    <col min="16143" max="16143" width="11.7265625" style="462" bestFit="1" customWidth="1"/>
    <col min="16144" max="16144" width="10.6328125" style="462" bestFit="1" customWidth="1"/>
    <col min="16145" max="16145" width="11.26953125" style="462" bestFit="1" customWidth="1"/>
    <col min="16146" max="16146" width="10.26953125" style="462" bestFit="1" customWidth="1"/>
    <col min="16147" max="16147" width="8.453125" style="462" bestFit="1" customWidth="1"/>
    <col min="16148" max="16148" width="10.7265625" style="462" bestFit="1" customWidth="1"/>
    <col min="16149" max="16149" width="8.453125" style="462" bestFit="1" customWidth="1"/>
    <col min="16150" max="16150" width="10.7265625" style="462" bestFit="1" customWidth="1"/>
    <col min="16151" max="16151" width="9" style="462" bestFit="1" customWidth="1"/>
    <col min="16152" max="16152" width="11.7265625" style="462" bestFit="1" customWidth="1"/>
    <col min="16153" max="16153" width="9" style="462" bestFit="1" customWidth="1"/>
    <col min="16154" max="16154" width="10.7265625" style="462" bestFit="1" customWidth="1"/>
    <col min="16155" max="16155" width="9.453125" style="462" bestFit="1" customWidth="1"/>
    <col min="16156" max="16156" width="10.7265625" style="462" bestFit="1" customWidth="1"/>
    <col min="16157" max="16157" width="9.453125" style="462" bestFit="1" customWidth="1"/>
    <col min="16158" max="16158" width="10.7265625" style="462" bestFit="1" customWidth="1"/>
    <col min="16159" max="16159" width="9.453125" style="462" bestFit="1" customWidth="1"/>
    <col min="16160" max="16160" width="10.7265625" style="462" bestFit="1" customWidth="1"/>
    <col min="16161" max="16161" width="9.453125" style="462" bestFit="1" customWidth="1"/>
    <col min="16162" max="16162" width="10.7265625" style="462" bestFit="1" customWidth="1"/>
    <col min="16163" max="16163" width="9.453125" style="462" bestFit="1" customWidth="1"/>
    <col min="16164" max="16164" width="10.7265625" style="462" bestFit="1" customWidth="1"/>
    <col min="16165" max="16165" width="9.453125" style="462" bestFit="1" customWidth="1"/>
    <col min="16166" max="16384" width="9.1796875" style="462"/>
  </cols>
  <sheetData>
    <row r="1" spans="3:37" x14ac:dyDescent="0.15">
      <c r="C1" s="460"/>
      <c r="D1" s="508"/>
      <c r="E1" s="460"/>
      <c r="F1" s="461"/>
      <c r="G1" s="109"/>
      <c r="H1" s="460"/>
      <c r="I1" s="460"/>
      <c r="J1" s="460"/>
      <c r="K1" s="460"/>
      <c r="L1" s="460"/>
      <c r="M1" s="460"/>
      <c r="N1" s="109"/>
      <c r="O1" s="109"/>
      <c r="P1" s="460"/>
      <c r="R1" s="109"/>
      <c r="S1" s="460"/>
      <c r="U1" s="109"/>
      <c r="V1" s="460"/>
      <c r="X1" s="109"/>
      <c r="Y1" s="460"/>
      <c r="AA1" s="109"/>
      <c r="AB1" s="460"/>
      <c r="AD1" s="109"/>
      <c r="AE1" s="460"/>
      <c r="AG1" s="109"/>
      <c r="AH1" s="460"/>
      <c r="AJ1" s="109"/>
      <c r="AK1" s="460"/>
    </row>
    <row r="2" spans="3:37" x14ac:dyDescent="0.15">
      <c r="C2" s="460" t="s">
        <v>223</v>
      </c>
      <c r="D2" s="508"/>
      <c r="E2" s="460"/>
      <c r="F2" s="460"/>
      <c r="G2" s="463"/>
      <c r="H2" s="463"/>
      <c r="I2" s="463"/>
      <c r="J2" s="463"/>
      <c r="K2" s="461">
        <f>K49</f>
        <v>0</v>
      </c>
      <c r="L2" s="463"/>
      <c r="M2" s="461"/>
      <c r="N2" s="463">
        <f>N3/2</f>
        <v>0</v>
      </c>
      <c r="O2" s="463"/>
      <c r="P2" s="461"/>
      <c r="Q2" s="464">
        <f>Q3-N3</f>
        <v>0</v>
      </c>
      <c r="R2" s="463"/>
      <c r="S2" s="461"/>
      <c r="T2" s="464">
        <f>T3-Q3</f>
        <v>0</v>
      </c>
      <c r="U2" s="463"/>
      <c r="V2" s="461"/>
      <c r="W2" s="464">
        <f>W3-T3</f>
        <v>0</v>
      </c>
      <c r="X2" s="463"/>
      <c r="Y2" s="461"/>
      <c r="Z2" s="464">
        <f>Z3-W3</f>
        <v>0</v>
      </c>
      <c r="AA2" s="463"/>
      <c r="AB2" s="461"/>
      <c r="AC2" s="465">
        <f>AC3-Z3</f>
        <v>0</v>
      </c>
      <c r="AD2" s="463"/>
      <c r="AE2" s="461"/>
      <c r="AF2" s="464">
        <f>AF3-AC3</f>
        <v>0</v>
      </c>
      <c r="AG2" s="463"/>
      <c r="AH2" s="461"/>
      <c r="AI2" s="464">
        <f>AI3-AF3</f>
        <v>-5.18798828125E-4</v>
      </c>
      <c r="AJ2" s="463"/>
      <c r="AK2" s="461"/>
    </row>
    <row r="3" spans="3:37" ht="7.5" thickBot="1" x14ac:dyDescent="0.2">
      <c r="C3" s="466"/>
      <c r="D3" s="509"/>
      <c r="E3" s="467"/>
      <c r="F3" s="467"/>
      <c r="G3" s="468">
        <f t="shared" ref="G3:AI3" si="0">G49</f>
        <v>0</v>
      </c>
      <c r="H3" s="468">
        <f t="shared" si="0"/>
        <v>0</v>
      </c>
      <c r="I3" s="468"/>
      <c r="J3" s="468">
        <f t="shared" si="0"/>
        <v>0</v>
      </c>
      <c r="K3" s="468">
        <f t="shared" si="0"/>
        <v>0</v>
      </c>
      <c r="L3" s="468"/>
      <c r="M3" s="468">
        <f t="shared" si="0"/>
        <v>0</v>
      </c>
      <c r="N3" s="468">
        <f t="shared" si="0"/>
        <v>0</v>
      </c>
      <c r="O3" s="468"/>
      <c r="P3" s="468">
        <f t="shared" ref="P3" si="1">P49</f>
        <v>0</v>
      </c>
      <c r="Q3" s="468">
        <f t="shared" si="0"/>
        <v>0</v>
      </c>
      <c r="R3" s="468"/>
      <c r="S3" s="468">
        <f t="shared" ref="S3" si="2">S49</f>
        <v>0</v>
      </c>
      <c r="T3" s="468">
        <f t="shared" si="0"/>
        <v>0</v>
      </c>
      <c r="U3" s="468"/>
      <c r="V3" s="468">
        <f t="shared" ref="V3" si="3">V49</f>
        <v>0</v>
      </c>
      <c r="W3" s="468">
        <f t="shared" si="0"/>
        <v>0</v>
      </c>
      <c r="X3" s="468"/>
      <c r="Y3" s="468">
        <f t="shared" ref="Y3" si="4">Y49</f>
        <v>0</v>
      </c>
      <c r="Z3" s="468">
        <f t="shared" si="0"/>
        <v>0</v>
      </c>
      <c r="AA3" s="468"/>
      <c r="AB3" s="468">
        <f t="shared" ref="AB3" si="5">AB49</f>
        <v>0</v>
      </c>
      <c r="AC3" s="468">
        <f t="shared" si="0"/>
        <v>0</v>
      </c>
      <c r="AD3" s="468"/>
      <c r="AE3" s="468">
        <f t="shared" ref="AE3" si="6">AE49</f>
        <v>0</v>
      </c>
      <c r="AF3" s="468">
        <f t="shared" si="0"/>
        <v>0</v>
      </c>
      <c r="AG3" s="468"/>
      <c r="AH3" s="468">
        <f t="shared" ref="AH3" si="7">AH49</f>
        <v>-2.384185791015625E-7</v>
      </c>
      <c r="AI3" s="468">
        <f t="shared" si="0"/>
        <v>-5.18798828125E-4</v>
      </c>
      <c r="AJ3" s="468"/>
      <c r="AK3" s="468">
        <f t="shared" ref="AK3" si="8">AK49</f>
        <v>-1.862645149230957E-7</v>
      </c>
    </row>
    <row r="4" spans="3:37" s="471" customFormat="1" ht="14.5" thickBot="1" x14ac:dyDescent="0.4">
      <c r="C4" s="469"/>
      <c r="D4" s="510"/>
      <c r="E4" s="444"/>
      <c r="F4" s="444"/>
      <c r="G4" s="470" t="s">
        <v>64</v>
      </c>
      <c r="H4" s="641">
        <v>1</v>
      </c>
      <c r="I4" s="651"/>
      <c r="J4" s="642"/>
      <c r="K4" s="638">
        <f>H4+1</f>
        <v>2</v>
      </c>
      <c r="L4" s="639"/>
      <c r="M4" s="640"/>
      <c r="N4" s="635">
        <f>K4+1</f>
        <v>3</v>
      </c>
      <c r="O4" s="636"/>
      <c r="P4" s="637"/>
      <c r="Q4" s="638">
        <f>N4+1</f>
        <v>4</v>
      </c>
      <c r="R4" s="639"/>
      <c r="S4" s="640"/>
      <c r="T4" s="635">
        <f>Q4+1</f>
        <v>5</v>
      </c>
      <c r="U4" s="636"/>
      <c r="V4" s="637"/>
      <c r="W4" s="638">
        <f>T4+1</f>
        <v>6</v>
      </c>
      <c r="X4" s="639"/>
      <c r="Y4" s="640"/>
      <c r="Z4" s="635">
        <f>W4+1</f>
        <v>7</v>
      </c>
      <c r="AA4" s="636"/>
      <c r="AB4" s="637"/>
      <c r="AC4" s="638">
        <f>Z4+1</f>
        <v>8</v>
      </c>
      <c r="AD4" s="639"/>
      <c r="AE4" s="640"/>
      <c r="AF4" s="635">
        <f>AC4+1</f>
        <v>9</v>
      </c>
      <c r="AG4" s="636"/>
      <c r="AH4" s="637"/>
      <c r="AI4" s="638">
        <f>AF4+1</f>
        <v>10</v>
      </c>
      <c r="AJ4" s="639"/>
      <c r="AK4" s="640"/>
    </row>
    <row r="5" spans="3:37" s="474" customFormat="1" ht="7.5" thickBot="1" x14ac:dyDescent="0.4">
      <c r="C5" s="472"/>
      <c r="D5" s="511" t="s">
        <v>84</v>
      </c>
      <c r="E5" s="641" t="s">
        <v>63</v>
      </c>
      <c r="F5" s="642"/>
      <c r="G5" s="473">
        <v>2023</v>
      </c>
      <c r="H5" s="643">
        <v>45657</v>
      </c>
      <c r="I5" s="644"/>
      <c r="J5" s="642"/>
      <c r="K5" s="645">
        <v>46022</v>
      </c>
      <c r="L5" s="645"/>
      <c r="M5" s="646"/>
      <c r="N5" s="647">
        <v>46387</v>
      </c>
      <c r="O5" s="648"/>
      <c r="P5" s="649"/>
      <c r="Q5" s="650">
        <v>46752</v>
      </c>
      <c r="R5" s="592"/>
      <c r="S5" s="593"/>
      <c r="T5" s="647">
        <v>47118</v>
      </c>
      <c r="U5" s="648"/>
      <c r="V5" s="649"/>
      <c r="W5" s="650">
        <v>47483</v>
      </c>
      <c r="X5" s="592"/>
      <c r="Y5" s="593"/>
      <c r="Z5" s="647">
        <v>47848</v>
      </c>
      <c r="AA5" s="648"/>
      <c r="AB5" s="649"/>
      <c r="AC5" s="650">
        <v>48213</v>
      </c>
      <c r="AD5" s="592"/>
      <c r="AE5" s="593"/>
      <c r="AF5" s="647">
        <v>48579</v>
      </c>
      <c r="AG5" s="648"/>
      <c r="AH5" s="649"/>
      <c r="AI5" s="650">
        <v>48944</v>
      </c>
      <c r="AJ5" s="592"/>
      <c r="AK5" s="593"/>
    </row>
    <row r="6" spans="3:37" ht="7.5" thickBot="1" x14ac:dyDescent="0.2">
      <c r="C6" s="475"/>
      <c r="D6" s="512"/>
      <c r="E6" s="494" t="s">
        <v>1</v>
      </c>
      <c r="F6" s="494" t="s">
        <v>66</v>
      </c>
      <c r="G6" s="476" t="s">
        <v>1</v>
      </c>
      <c r="H6" s="494" t="s">
        <v>1</v>
      </c>
      <c r="I6" s="494" t="s">
        <v>113</v>
      </c>
      <c r="J6" s="494" t="s">
        <v>66</v>
      </c>
      <c r="K6" s="477" t="s">
        <v>1</v>
      </c>
      <c r="L6" s="476" t="s">
        <v>113</v>
      </c>
      <c r="M6" s="476" t="s">
        <v>66</v>
      </c>
      <c r="N6" s="494" t="s">
        <v>1</v>
      </c>
      <c r="O6" s="494" t="s">
        <v>113</v>
      </c>
      <c r="P6" s="494" t="s">
        <v>66</v>
      </c>
      <c r="Q6" s="476" t="s">
        <v>1</v>
      </c>
      <c r="R6" s="476" t="s">
        <v>113</v>
      </c>
      <c r="S6" s="476" t="s">
        <v>66</v>
      </c>
      <c r="T6" s="494" t="s">
        <v>1</v>
      </c>
      <c r="U6" s="494" t="s">
        <v>113</v>
      </c>
      <c r="V6" s="494" t="s">
        <v>66</v>
      </c>
      <c r="W6" s="477" t="s">
        <v>1</v>
      </c>
      <c r="X6" s="476" t="s">
        <v>113</v>
      </c>
      <c r="Y6" s="476" t="s">
        <v>66</v>
      </c>
      <c r="Z6" s="493" t="s">
        <v>1</v>
      </c>
      <c r="AA6" s="494" t="s">
        <v>113</v>
      </c>
      <c r="AB6" s="494" t="s">
        <v>66</v>
      </c>
      <c r="AC6" s="477" t="s">
        <v>1</v>
      </c>
      <c r="AD6" s="476" t="s">
        <v>113</v>
      </c>
      <c r="AE6" s="476" t="s">
        <v>66</v>
      </c>
      <c r="AF6" s="493" t="s">
        <v>1</v>
      </c>
      <c r="AG6" s="494" t="s">
        <v>113</v>
      </c>
      <c r="AH6" s="494" t="s">
        <v>66</v>
      </c>
      <c r="AI6" s="477" t="s">
        <v>1</v>
      </c>
      <c r="AJ6" s="476" t="s">
        <v>113</v>
      </c>
      <c r="AK6" s="476" t="s">
        <v>66</v>
      </c>
    </row>
    <row r="7" spans="3:37" ht="7.5" thickBot="1" x14ac:dyDescent="0.2">
      <c r="C7" s="475" t="s">
        <v>224</v>
      </c>
      <c r="D7" s="512"/>
      <c r="E7" s="504"/>
      <c r="F7" s="504"/>
      <c r="G7" s="475"/>
      <c r="H7" s="495"/>
      <c r="I7" s="495"/>
      <c r="J7" s="495"/>
      <c r="K7" s="478"/>
      <c r="L7" s="478"/>
      <c r="M7" s="479"/>
      <c r="N7" s="495"/>
      <c r="O7" s="495"/>
      <c r="P7" s="496"/>
      <c r="Q7" s="478"/>
      <c r="R7" s="478"/>
      <c r="S7" s="479"/>
      <c r="T7" s="495"/>
      <c r="U7" s="495"/>
      <c r="V7" s="496"/>
      <c r="W7" s="478"/>
      <c r="X7" s="478"/>
      <c r="Y7" s="479"/>
      <c r="Z7" s="495"/>
      <c r="AA7" s="495"/>
      <c r="AB7" s="496"/>
      <c r="AC7" s="478"/>
      <c r="AD7" s="478"/>
      <c r="AE7" s="479"/>
      <c r="AF7" s="495"/>
      <c r="AG7" s="495"/>
      <c r="AH7" s="496"/>
      <c r="AI7" s="478"/>
      <c r="AJ7" s="478"/>
      <c r="AK7" s="479"/>
    </row>
    <row r="8" spans="3:37" x14ac:dyDescent="0.15">
      <c r="C8" s="480" t="s">
        <v>225</v>
      </c>
      <c r="D8" s="513"/>
      <c r="E8" s="505"/>
      <c r="F8" s="505"/>
      <c r="G8" s="480"/>
      <c r="H8" s="287"/>
      <c r="I8" s="287"/>
      <c r="J8" s="287"/>
      <c r="K8" s="246"/>
      <c r="L8" s="246"/>
      <c r="M8" s="247"/>
      <c r="N8" s="287"/>
      <c r="O8" s="287"/>
      <c r="P8" s="7"/>
      <c r="Q8" s="246"/>
      <c r="R8" s="246"/>
      <c r="S8" s="247"/>
      <c r="T8" s="287"/>
      <c r="U8" s="287"/>
      <c r="V8" s="7"/>
      <c r="W8" s="246"/>
      <c r="X8" s="246"/>
      <c r="Y8" s="247"/>
      <c r="Z8" s="287"/>
      <c r="AA8" s="287"/>
      <c r="AB8" s="7"/>
      <c r="AC8" s="246"/>
      <c r="AD8" s="246"/>
      <c r="AE8" s="247"/>
      <c r="AF8" s="287"/>
      <c r="AG8" s="287"/>
      <c r="AH8" s="7"/>
      <c r="AI8" s="246"/>
      <c r="AJ8" s="246"/>
      <c r="AK8" s="247"/>
    </row>
    <row r="9" spans="3:37" x14ac:dyDescent="0.15">
      <c r="C9" s="481" t="s">
        <v>226</v>
      </c>
      <c r="D9" s="486">
        <f>'Exchange Rate growth '!D6</f>
        <v>952.63900000000001</v>
      </c>
      <c r="E9" s="286">
        <f>H9+K9+N9+Q9+T9+W9+Z9+AC9+AF9+AI9</f>
        <v>1584531058800.1414</v>
      </c>
      <c r="F9" s="286">
        <f>J9+M9+P9+S9+V9+Y9+AB9+AE9+AH9+AK9</f>
        <v>1159091426.4001877</v>
      </c>
      <c r="G9" s="482">
        <f>'Cashflow Statement'!K91</f>
        <v>445000000</v>
      </c>
      <c r="H9" s="497">
        <f>'Cashflow Statement'!N91</f>
        <v>14593225047.895405</v>
      </c>
      <c r="I9" s="497">
        <f>D9</f>
        <v>952.63900000000001</v>
      </c>
      <c r="J9" s="497">
        <f>H9/D9</f>
        <v>15318735.688855279</v>
      </c>
      <c r="K9" s="458">
        <f>'Cashflow Statement'!Q91</f>
        <v>63102839157.088097</v>
      </c>
      <c r="L9" s="458">
        <f>'Exchange Rate growth '!E6</f>
        <v>1047.9029</v>
      </c>
      <c r="M9" s="483">
        <f>K9/L9</f>
        <v>60218212.161726139</v>
      </c>
      <c r="N9" s="497">
        <f>'Cashflow Statement'!T91</f>
        <v>156625068397.36609</v>
      </c>
      <c r="O9" s="497">
        <f>'Exchange Rate growth '!F6</f>
        <v>1152.6931900000002</v>
      </c>
      <c r="P9" s="498">
        <f>N9/O9</f>
        <v>135877499.54293221</v>
      </c>
      <c r="Q9" s="458">
        <f>'Cashflow Statement'!W91</f>
        <v>277336095710.79254</v>
      </c>
      <c r="R9" s="458">
        <f>'Exchange Rate growth '!G6</f>
        <v>1267.9625090000004</v>
      </c>
      <c r="S9" s="483">
        <f>Q9/R9</f>
        <v>218725785.45679417</v>
      </c>
      <c r="T9" s="497">
        <f>'Cashflow Statement'!Z91</f>
        <v>432601220539.81702</v>
      </c>
      <c r="U9" s="497">
        <f>'Exchange Rate growth '!H6</f>
        <v>1394.7587599000005</v>
      </c>
      <c r="V9" s="498">
        <f>T9/U9</f>
        <v>310162038.75344944</v>
      </c>
      <c r="W9" s="458">
        <f>'Cashflow Statement'!AC91</f>
        <v>416240888318.44098</v>
      </c>
      <c r="X9" s="458">
        <f>'Exchange Rate growth '!I6</f>
        <v>1534.2346358900006</v>
      </c>
      <c r="Y9" s="483">
        <f>W9/X9</f>
        <v>271301975.96991551</v>
      </c>
      <c r="Z9" s="497">
        <f>'Cashflow Statement'!AF91</f>
        <v>258326304949.19183</v>
      </c>
      <c r="AA9" s="497">
        <f>'Exchange Rate growth '!J6</f>
        <v>1687.6580994790008</v>
      </c>
      <c r="AB9" s="498">
        <f>Z9/AA9</f>
        <v>153067914.0691708</v>
      </c>
      <c r="AC9" s="458">
        <f>'Cashflow Statement'!AI91</f>
        <v>120738975764.29095</v>
      </c>
      <c r="AD9" s="458">
        <f>'Exchange Rate growth '!K6</f>
        <v>1856.423909426901</v>
      </c>
      <c r="AE9" s="483">
        <f>AC9/AD9</f>
        <v>65038472.706142016</v>
      </c>
      <c r="AF9" s="497">
        <f>'Cashflow Statement'!AL91</f>
        <v>-35964560973.937073</v>
      </c>
      <c r="AG9" s="497">
        <f>'Exchange Rate growth '!L6</f>
        <v>2042.0663003695913</v>
      </c>
      <c r="AH9" s="498">
        <f>AF9/AG9</f>
        <v>-17611847.846187897</v>
      </c>
      <c r="AI9" s="458">
        <f>'Cashflow Statement'!AO91</f>
        <v>-119068998110.8046</v>
      </c>
      <c r="AJ9" s="458">
        <f>'Exchange Rate growth '!M6</f>
        <v>2246.2729304065506</v>
      </c>
      <c r="AK9" s="483">
        <f>AI9/AJ9</f>
        <v>-53007360.102609806</v>
      </c>
    </row>
    <row r="10" spans="3:37" x14ac:dyDescent="0.15">
      <c r="C10" s="481" t="s">
        <v>227</v>
      </c>
      <c r="D10" s="486">
        <f>D9</f>
        <v>952.63900000000001</v>
      </c>
      <c r="E10" s="286">
        <f>H10+K10+N10+Q10+T10+W10+Z10+AC10+AF10+AI10</f>
        <v>0</v>
      </c>
      <c r="F10" s="286">
        <f>J10+M10+P10+S10+V10+Y10+AB10+AE10+AH10+AK10</f>
        <v>0</v>
      </c>
      <c r="G10" s="482"/>
      <c r="H10" s="497">
        <f>'[2]CashFlow '!K81</f>
        <v>0</v>
      </c>
      <c r="I10" s="497"/>
      <c r="J10" s="497">
        <f>H10/D10</f>
        <v>0</v>
      </c>
      <c r="K10" s="458"/>
      <c r="L10" s="458"/>
      <c r="M10" s="483">
        <f>K10/D10</f>
        <v>0</v>
      </c>
      <c r="N10" s="497"/>
      <c r="O10" s="497"/>
      <c r="P10" s="498"/>
      <c r="Q10" s="458"/>
      <c r="R10" s="458"/>
      <c r="S10" s="483"/>
      <c r="T10" s="497"/>
      <c r="U10" s="497"/>
      <c r="V10" s="498"/>
      <c r="W10" s="458"/>
      <c r="X10" s="458"/>
      <c r="Y10" s="483"/>
      <c r="Z10" s="497"/>
      <c r="AA10" s="497"/>
      <c r="AB10" s="498"/>
      <c r="AC10" s="458"/>
      <c r="AD10" s="458"/>
      <c r="AE10" s="483"/>
      <c r="AF10" s="497">
        <f>'[2]CashFlow '!AA81</f>
        <v>0</v>
      </c>
      <c r="AG10" s="497"/>
      <c r="AH10" s="498"/>
      <c r="AI10" s="458">
        <f>'[2]CashFlow '!AC81</f>
        <v>0</v>
      </c>
      <c r="AJ10" s="458"/>
      <c r="AK10" s="483"/>
    </row>
    <row r="11" spans="3:37" ht="7.5" thickBot="1" x14ac:dyDescent="0.2">
      <c r="C11" s="481" t="s">
        <v>228</v>
      </c>
      <c r="D11" s="486">
        <f>D10</f>
        <v>952.63900000000001</v>
      </c>
      <c r="E11" s="286">
        <f>H11+K11+N11+Q11+T11+W11+Z11+AC11+AF11+AI11</f>
        <v>0</v>
      </c>
      <c r="F11" s="286">
        <f>J11+M11+P11+S11+V11+Y11+AB11+AE11+AH11+AK11</f>
        <v>0</v>
      </c>
      <c r="G11" s="482"/>
      <c r="H11" s="497"/>
      <c r="I11" s="497"/>
      <c r="J11" s="497">
        <f>H11/D11</f>
        <v>0</v>
      </c>
      <c r="K11" s="458"/>
      <c r="L11" s="458"/>
      <c r="M11" s="483">
        <f>K11/D11</f>
        <v>0</v>
      </c>
      <c r="N11" s="497"/>
      <c r="O11" s="497"/>
      <c r="P11" s="498"/>
      <c r="Q11" s="458"/>
      <c r="R11" s="458"/>
      <c r="S11" s="483"/>
      <c r="T11" s="497"/>
      <c r="U11" s="497"/>
      <c r="V11" s="498"/>
      <c r="W11" s="458"/>
      <c r="X11" s="458"/>
      <c r="Y11" s="483"/>
      <c r="Z11" s="497"/>
      <c r="AA11" s="497"/>
      <c r="AB11" s="498"/>
      <c r="AC11" s="458"/>
      <c r="AD11" s="458"/>
      <c r="AE11" s="483"/>
      <c r="AF11" s="497"/>
      <c r="AG11" s="497"/>
      <c r="AH11" s="498"/>
      <c r="AI11" s="458"/>
      <c r="AJ11" s="458"/>
      <c r="AK11" s="483"/>
    </row>
    <row r="12" spans="3:37" s="460" customFormat="1" ht="7.5" thickBot="1" x14ac:dyDescent="0.2">
      <c r="C12" s="475" t="s">
        <v>229</v>
      </c>
      <c r="D12" s="512"/>
      <c r="E12" s="499">
        <f t="shared" ref="E12:AI12" si="9">SUM(E9:E11)</f>
        <v>1584531058800.1414</v>
      </c>
      <c r="F12" s="499">
        <f t="shared" si="9"/>
        <v>1159091426.4001877</v>
      </c>
      <c r="G12" s="484">
        <f t="shared" si="9"/>
        <v>445000000</v>
      </c>
      <c r="H12" s="499">
        <f t="shared" si="9"/>
        <v>14593225047.895405</v>
      </c>
      <c r="I12" s="499"/>
      <c r="J12" s="499">
        <f t="shared" si="9"/>
        <v>15318735.688855279</v>
      </c>
      <c r="K12" s="484">
        <f t="shared" si="9"/>
        <v>63102839157.088097</v>
      </c>
      <c r="L12" s="484"/>
      <c r="M12" s="484">
        <f t="shared" si="9"/>
        <v>60218212.161726139</v>
      </c>
      <c r="N12" s="499">
        <f t="shared" si="9"/>
        <v>156625068397.36609</v>
      </c>
      <c r="O12" s="499"/>
      <c r="P12" s="499">
        <f t="shared" ref="P12" si="10">SUM(P9:P11)</f>
        <v>135877499.54293221</v>
      </c>
      <c r="Q12" s="484">
        <f t="shared" si="9"/>
        <v>277336095710.79254</v>
      </c>
      <c r="R12" s="484"/>
      <c r="S12" s="484">
        <f t="shared" ref="S12" si="11">SUM(S9:S11)</f>
        <v>218725785.45679417</v>
      </c>
      <c r="T12" s="499">
        <f t="shared" si="9"/>
        <v>432601220539.81702</v>
      </c>
      <c r="U12" s="499"/>
      <c r="V12" s="499">
        <f t="shared" ref="V12" si="12">SUM(V9:V11)</f>
        <v>310162038.75344944</v>
      </c>
      <c r="W12" s="484">
        <f t="shared" si="9"/>
        <v>416240888318.44098</v>
      </c>
      <c r="X12" s="484"/>
      <c r="Y12" s="484">
        <f t="shared" ref="Y12" si="13">SUM(Y9:Y11)</f>
        <v>271301975.96991551</v>
      </c>
      <c r="Z12" s="499">
        <f t="shared" si="9"/>
        <v>258326304949.19183</v>
      </c>
      <c r="AA12" s="499"/>
      <c r="AB12" s="499">
        <f t="shared" ref="AB12" si="14">SUM(AB9:AB11)</f>
        <v>153067914.0691708</v>
      </c>
      <c r="AC12" s="484">
        <f t="shared" si="9"/>
        <v>120738975764.29095</v>
      </c>
      <c r="AD12" s="484"/>
      <c r="AE12" s="484">
        <f t="shared" ref="AE12" si="15">SUM(AE9:AE11)</f>
        <v>65038472.706142016</v>
      </c>
      <c r="AF12" s="499">
        <f t="shared" si="9"/>
        <v>-35964560973.937073</v>
      </c>
      <c r="AG12" s="499"/>
      <c r="AH12" s="499">
        <f t="shared" ref="AH12" si="16">SUM(AH9:AH11)</f>
        <v>-17611847.846187897</v>
      </c>
      <c r="AI12" s="484">
        <f t="shared" si="9"/>
        <v>-119068998110.8046</v>
      </c>
      <c r="AJ12" s="484"/>
      <c r="AK12" s="484">
        <f t="shared" ref="AK12" si="17">SUM(AK9:AK11)</f>
        <v>-53007360.102609806</v>
      </c>
    </row>
    <row r="13" spans="3:37" x14ac:dyDescent="0.15">
      <c r="C13" s="480" t="s">
        <v>230</v>
      </c>
      <c r="D13" s="513"/>
      <c r="E13" s="505"/>
      <c r="F13" s="505"/>
      <c r="G13" s="480"/>
      <c r="H13" s="497"/>
      <c r="I13" s="497"/>
      <c r="J13" s="497"/>
      <c r="K13" s="458"/>
      <c r="L13" s="458"/>
      <c r="M13" s="483"/>
      <c r="N13" s="497"/>
      <c r="O13" s="497"/>
      <c r="P13" s="498"/>
      <c r="Q13" s="458"/>
      <c r="R13" s="458"/>
      <c r="S13" s="483"/>
      <c r="T13" s="497"/>
      <c r="U13" s="497"/>
      <c r="V13" s="498"/>
      <c r="W13" s="458"/>
      <c r="X13" s="458"/>
      <c r="Y13" s="483"/>
      <c r="Z13" s="497"/>
      <c r="AA13" s="497"/>
      <c r="AB13" s="498"/>
      <c r="AC13" s="458"/>
      <c r="AD13" s="458"/>
      <c r="AE13" s="483"/>
      <c r="AF13" s="497"/>
      <c r="AG13" s="497"/>
      <c r="AH13" s="498"/>
      <c r="AI13" s="458"/>
      <c r="AJ13" s="458"/>
      <c r="AK13" s="483"/>
    </row>
    <row r="14" spans="3:37" x14ac:dyDescent="0.15">
      <c r="C14" s="481" t="s">
        <v>231</v>
      </c>
      <c r="D14" s="486">
        <f>D11</f>
        <v>952.63900000000001</v>
      </c>
      <c r="E14" s="286">
        <f>H14+K14+N14+Q14+T14+W14+Z14+AC14+AF14+AI14</f>
        <v>0</v>
      </c>
      <c r="F14" s="286">
        <f>J14+M14+P14+S14+V14+Y14+AB14+AE14+AH14+AK14</f>
        <v>0</v>
      </c>
      <c r="G14" s="482"/>
      <c r="H14" s="497">
        <f>G14</f>
        <v>0</v>
      </c>
      <c r="I14" s="497"/>
      <c r="J14" s="497">
        <f>H14/D14</f>
        <v>0</v>
      </c>
      <c r="K14" s="458">
        <f>H14</f>
        <v>0</v>
      </c>
      <c r="L14" s="458"/>
      <c r="M14" s="483"/>
      <c r="N14" s="497">
        <f>K14</f>
        <v>0</v>
      </c>
      <c r="O14" s="497"/>
      <c r="P14" s="498"/>
      <c r="Q14" s="458">
        <f>N14</f>
        <v>0</v>
      </c>
      <c r="R14" s="458"/>
      <c r="S14" s="483"/>
      <c r="T14" s="497">
        <f>Q14</f>
        <v>0</v>
      </c>
      <c r="U14" s="497"/>
      <c r="V14" s="498"/>
      <c r="W14" s="458">
        <f>T14</f>
        <v>0</v>
      </c>
      <c r="X14" s="458"/>
      <c r="Y14" s="483"/>
      <c r="Z14" s="497">
        <f>W14</f>
        <v>0</v>
      </c>
      <c r="AA14" s="497"/>
      <c r="AB14" s="498"/>
      <c r="AC14" s="458">
        <f>Z14</f>
        <v>0</v>
      </c>
      <c r="AD14" s="458"/>
      <c r="AE14" s="483"/>
      <c r="AF14" s="497">
        <f>AC14</f>
        <v>0</v>
      </c>
      <c r="AG14" s="497"/>
      <c r="AH14" s="498"/>
      <c r="AI14" s="458">
        <f>AF14</f>
        <v>0</v>
      </c>
      <c r="AJ14" s="458"/>
      <c r="AK14" s="483"/>
    </row>
    <row r="15" spans="3:37" x14ac:dyDescent="0.15">
      <c r="C15" s="481"/>
      <c r="D15" s="486"/>
      <c r="E15" s="506"/>
      <c r="F15" s="506"/>
      <c r="G15" s="482"/>
      <c r="H15" s="497"/>
      <c r="I15" s="497"/>
      <c r="J15" s="497"/>
      <c r="K15" s="458"/>
      <c r="L15" s="458"/>
      <c r="M15" s="483"/>
      <c r="N15" s="497"/>
      <c r="O15" s="497"/>
      <c r="P15" s="498"/>
      <c r="Q15" s="458"/>
      <c r="R15" s="458"/>
      <c r="S15" s="483"/>
      <c r="T15" s="497"/>
      <c r="U15" s="497"/>
      <c r="V15" s="498"/>
      <c r="W15" s="458"/>
      <c r="X15" s="458"/>
      <c r="Y15" s="483"/>
      <c r="Z15" s="497"/>
      <c r="AA15" s="497"/>
      <c r="AB15" s="498"/>
      <c r="AC15" s="458"/>
      <c r="AD15" s="458"/>
      <c r="AE15" s="483"/>
      <c r="AF15" s="497"/>
      <c r="AG15" s="497"/>
      <c r="AH15" s="498"/>
      <c r="AI15" s="458"/>
      <c r="AJ15" s="458"/>
      <c r="AK15" s="483"/>
    </row>
    <row r="16" spans="3:37" x14ac:dyDescent="0.15">
      <c r="C16" s="485"/>
      <c r="D16" s="486"/>
      <c r="E16" s="506"/>
      <c r="F16" s="506"/>
      <c r="G16" s="482"/>
      <c r="H16" s="497"/>
      <c r="I16" s="497"/>
      <c r="J16" s="497"/>
      <c r="K16" s="458"/>
      <c r="L16" s="458"/>
      <c r="M16" s="483"/>
      <c r="N16" s="497"/>
      <c r="O16" s="497"/>
      <c r="P16" s="498"/>
      <c r="Q16" s="458"/>
      <c r="R16" s="458"/>
      <c r="S16" s="483"/>
      <c r="T16" s="497"/>
      <c r="U16" s="497"/>
      <c r="V16" s="498"/>
      <c r="W16" s="458"/>
      <c r="X16" s="458"/>
      <c r="Y16" s="483"/>
      <c r="Z16" s="497"/>
      <c r="AA16" s="497"/>
      <c r="AB16" s="498"/>
      <c r="AC16" s="458"/>
      <c r="AD16" s="458"/>
      <c r="AE16" s="483"/>
      <c r="AF16" s="497"/>
      <c r="AG16" s="497"/>
      <c r="AH16" s="498"/>
      <c r="AI16" s="458"/>
      <c r="AJ16" s="458"/>
      <c r="AK16" s="483"/>
    </row>
    <row r="17" spans="3:37" x14ac:dyDescent="0.15">
      <c r="C17" s="481" t="s">
        <v>257</v>
      </c>
      <c r="D17" s="486">
        <f>D14</f>
        <v>952.63900000000001</v>
      </c>
      <c r="E17" s="286">
        <f>H17+K17+N17+Q17+T17+W17+Z17+AC17+AF17+AI17</f>
        <v>4209882146503.6274</v>
      </c>
      <c r="F17" s="286">
        <f>J17+M17+P17+S17+V17+Y17+AB17+AE17+AH17+AK17</f>
        <v>2933919402.9017239</v>
      </c>
      <c r="G17" s="482"/>
      <c r="H17" s="497">
        <f>CAPEX!C20</f>
        <v>145312047348.48001</v>
      </c>
      <c r="I17" s="497">
        <f>I9</f>
        <v>952.63900000000001</v>
      </c>
      <c r="J17" s="497">
        <f>H17/D17</f>
        <v>152536320</v>
      </c>
      <c r="K17" s="458">
        <f>CAPEX!D20</f>
        <v>289009516393.08801</v>
      </c>
      <c r="L17" s="458">
        <f>L9</f>
        <v>1047.9029</v>
      </c>
      <c r="M17" s="483">
        <f>K17/L17</f>
        <v>275797992.72727275</v>
      </c>
      <c r="N17" s="497">
        <f>CAPEX!E20</f>
        <v>430930949303.43683</v>
      </c>
      <c r="O17" s="497">
        <f>O9</f>
        <v>1152.6931900000002</v>
      </c>
      <c r="P17" s="498">
        <f>N17/O17</f>
        <v>373847050.57851237</v>
      </c>
      <c r="Q17" s="458">
        <f>CAPEX!F20</f>
        <v>570898742466.10059</v>
      </c>
      <c r="R17" s="458">
        <f>R9</f>
        <v>1267.9625090000004</v>
      </c>
      <c r="S17" s="483">
        <f>Q17/R17</f>
        <v>450248913.83921856</v>
      </c>
      <c r="T17" s="497">
        <f>CAPEX!G20</f>
        <v>708717531906.31079</v>
      </c>
      <c r="U17" s="497">
        <f>U9</f>
        <v>1394.7587599000005</v>
      </c>
      <c r="V17" s="498">
        <f>T17/U17</f>
        <v>508129113.27914757</v>
      </c>
      <c r="W17" s="458">
        <f>CAPEX!H20</f>
        <v>610145911876.62134</v>
      </c>
      <c r="X17" s="458">
        <f>X9</f>
        <v>1534.2346358900006</v>
      </c>
      <c r="Y17" s="483">
        <f>W17/X17</f>
        <v>397687483.78091413</v>
      </c>
      <c r="Z17" s="497">
        <f>CAPEX!I20</f>
        <v>511574291846.93176</v>
      </c>
      <c r="AA17" s="497">
        <f>AA9</f>
        <v>1687.6580994790008</v>
      </c>
      <c r="AB17" s="498">
        <f>Z17/AA17</f>
        <v>303126736.39575487</v>
      </c>
      <c r="AC17" s="458">
        <f>CAPEX!J20</f>
        <v>413002671817.24219</v>
      </c>
      <c r="AD17" s="458">
        <f>AD9</f>
        <v>1856.423909426901</v>
      </c>
      <c r="AE17" s="483">
        <f>AC17/AD17</f>
        <v>222472178.75185671</v>
      </c>
      <c r="AF17" s="497">
        <f>CAPEX!K20</f>
        <v>314431051787.55273</v>
      </c>
      <c r="AG17" s="497">
        <f>AG9</f>
        <v>2042.0663003695913</v>
      </c>
      <c r="AH17" s="498">
        <f>AF17/AG17</f>
        <v>153976906.49448758</v>
      </c>
      <c r="AI17" s="458">
        <f>CAPEX!L20</f>
        <v>215859431757.86328</v>
      </c>
      <c r="AJ17" s="458">
        <f>AJ9</f>
        <v>2246.2729304065506</v>
      </c>
      <c r="AK17" s="483">
        <f>AI17/AJ17</f>
        <v>96096707.054558635</v>
      </c>
    </row>
    <row r="18" spans="3:37" x14ac:dyDescent="0.15">
      <c r="C18" s="481"/>
      <c r="D18" s="486"/>
      <c r="E18" s="286"/>
      <c r="F18" s="286"/>
      <c r="G18" s="482"/>
      <c r="H18" s="497"/>
      <c r="I18" s="497"/>
      <c r="J18" s="497"/>
      <c r="K18" s="458"/>
      <c r="L18" s="458"/>
      <c r="M18" s="483"/>
      <c r="N18" s="497"/>
      <c r="O18" s="497"/>
      <c r="P18" s="498"/>
      <c r="Q18" s="458"/>
      <c r="R18" s="458"/>
      <c r="S18" s="483"/>
      <c r="T18" s="497"/>
      <c r="U18" s="497"/>
      <c r="V18" s="498"/>
      <c r="W18" s="458"/>
      <c r="X18" s="458"/>
      <c r="Y18" s="483"/>
      <c r="Z18" s="497"/>
      <c r="AA18" s="497"/>
      <c r="AB18" s="498"/>
      <c r="AC18" s="458"/>
      <c r="AD18" s="458"/>
      <c r="AE18" s="483"/>
      <c r="AF18" s="497"/>
      <c r="AG18" s="497"/>
      <c r="AH18" s="498"/>
      <c r="AI18" s="458"/>
      <c r="AJ18" s="458"/>
      <c r="AK18" s="483"/>
    </row>
    <row r="19" spans="3:37" x14ac:dyDescent="0.15">
      <c r="C19" s="481"/>
      <c r="D19" s="486"/>
      <c r="E19" s="286"/>
      <c r="F19" s="286"/>
      <c r="G19" s="482"/>
      <c r="H19" s="497"/>
      <c r="I19" s="497"/>
      <c r="J19" s="497"/>
      <c r="K19" s="458"/>
      <c r="L19" s="458"/>
      <c r="M19" s="483"/>
      <c r="N19" s="497"/>
      <c r="O19" s="497"/>
      <c r="P19" s="498"/>
      <c r="Q19" s="458"/>
      <c r="R19" s="458"/>
      <c r="S19" s="483"/>
      <c r="T19" s="497"/>
      <c r="U19" s="497"/>
      <c r="V19" s="498"/>
      <c r="W19" s="458"/>
      <c r="X19" s="458"/>
      <c r="Y19" s="483"/>
      <c r="Z19" s="497"/>
      <c r="AA19" s="497"/>
      <c r="AB19" s="498"/>
      <c r="AC19" s="458"/>
      <c r="AD19" s="458"/>
      <c r="AE19" s="483"/>
      <c r="AF19" s="497"/>
      <c r="AG19" s="497"/>
      <c r="AH19" s="498"/>
      <c r="AI19" s="458"/>
      <c r="AJ19" s="458"/>
      <c r="AK19" s="483"/>
    </row>
    <row r="20" spans="3:37" x14ac:dyDescent="0.15">
      <c r="C20" s="481" t="s">
        <v>232</v>
      </c>
      <c r="D20" s="486">
        <f>D19</f>
        <v>0</v>
      </c>
      <c r="E20" s="507">
        <f>H20+K20+N20+Q20+T20+W20+Z20+AC20+AF20+AI20</f>
        <v>0</v>
      </c>
      <c r="F20" s="507">
        <f>J20+M20+P20+S20+V20+Y20+AB20+AE20+AH20+AK20</f>
        <v>0</v>
      </c>
      <c r="G20" s="482"/>
      <c r="H20" s="497"/>
      <c r="I20" s="497">
        <f>I17</f>
        <v>952.63900000000001</v>
      </c>
      <c r="J20" s="497"/>
      <c r="K20" s="458"/>
      <c r="L20" s="458">
        <f>L17</f>
        <v>1047.9029</v>
      </c>
      <c r="M20" s="483">
        <f>K20/L20</f>
        <v>0</v>
      </c>
      <c r="N20" s="497"/>
      <c r="O20" s="497">
        <f>O17</f>
        <v>1152.6931900000002</v>
      </c>
      <c r="P20" s="498">
        <f>N20/O20</f>
        <v>0</v>
      </c>
      <c r="Q20" s="458"/>
      <c r="R20" s="458">
        <f>R17</f>
        <v>1267.9625090000004</v>
      </c>
      <c r="S20" s="483">
        <f>Q20/R20</f>
        <v>0</v>
      </c>
      <c r="T20" s="497"/>
      <c r="U20" s="497">
        <f>U17</f>
        <v>1394.7587599000005</v>
      </c>
      <c r="V20" s="498">
        <f>T20/U20</f>
        <v>0</v>
      </c>
      <c r="W20" s="458"/>
      <c r="X20" s="458">
        <f>X17</f>
        <v>1534.2346358900006</v>
      </c>
      <c r="Y20" s="483">
        <f>W20/X20</f>
        <v>0</v>
      </c>
      <c r="Z20" s="497"/>
      <c r="AA20" s="497">
        <f>AA17</f>
        <v>1687.6580994790008</v>
      </c>
      <c r="AB20" s="498">
        <f>Z20/AA20</f>
        <v>0</v>
      </c>
      <c r="AC20" s="458"/>
      <c r="AD20" s="458">
        <f>AD17</f>
        <v>1856.423909426901</v>
      </c>
      <c r="AE20" s="483">
        <f>AC20/AD20</f>
        <v>0</v>
      </c>
      <c r="AF20" s="497"/>
      <c r="AG20" s="497">
        <f>AG17</f>
        <v>2042.0663003695913</v>
      </c>
      <c r="AH20" s="498">
        <f>AF20/AG20</f>
        <v>0</v>
      </c>
      <c r="AI20" s="458"/>
      <c r="AJ20" s="458">
        <f>AJ17</f>
        <v>2246.2729304065506</v>
      </c>
      <c r="AK20" s="483">
        <f>AI20/AJ20</f>
        <v>0</v>
      </c>
    </row>
    <row r="21" spans="3:37" x14ac:dyDescent="0.15">
      <c r="C21" s="481"/>
      <c r="D21" s="486"/>
      <c r="E21" s="507"/>
      <c r="F21" s="507"/>
      <c r="G21" s="482"/>
      <c r="H21" s="497"/>
      <c r="I21" s="497"/>
      <c r="J21" s="497"/>
      <c r="K21" s="458"/>
      <c r="L21" s="458"/>
      <c r="M21" s="483"/>
      <c r="N21" s="497"/>
      <c r="O21" s="497"/>
      <c r="P21" s="498"/>
      <c r="Q21" s="458"/>
      <c r="R21" s="458"/>
      <c r="S21" s="483"/>
      <c r="T21" s="497"/>
      <c r="U21" s="497"/>
      <c r="V21" s="498"/>
      <c r="W21" s="458"/>
      <c r="X21" s="458"/>
      <c r="Y21" s="483"/>
      <c r="Z21" s="497"/>
      <c r="AA21" s="497"/>
      <c r="AB21" s="498"/>
      <c r="AC21" s="458"/>
      <c r="AD21" s="458"/>
      <c r="AE21" s="483"/>
      <c r="AF21" s="497"/>
      <c r="AG21" s="497"/>
      <c r="AH21" s="498"/>
      <c r="AI21" s="458"/>
      <c r="AJ21" s="458"/>
      <c r="AK21" s="483"/>
    </row>
    <row r="22" spans="3:37" x14ac:dyDescent="0.15">
      <c r="C22" s="481" t="s">
        <v>233</v>
      </c>
      <c r="D22" s="486">
        <f>D17</f>
        <v>952.63900000000001</v>
      </c>
      <c r="E22" s="507">
        <f>H22+K22+N22+Q22+T22+W22+Z22+AC22+AF22+AI22</f>
        <v>0</v>
      </c>
      <c r="F22" s="507">
        <f>J22+M22+P22+S22+V22+Y22+AB22+AE22+AH22+AK22</f>
        <v>0</v>
      </c>
      <c r="G22" s="482"/>
      <c r="H22" s="497">
        <f>G22</f>
        <v>0</v>
      </c>
      <c r="I22" s="497">
        <f>I20</f>
        <v>952.63900000000001</v>
      </c>
      <c r="J22" s="497">
        <f>H22/D22</f>
        <v>0</v>
      </c>
      <c r="K22" s="458"/>
      <c r="L22" s="458">
        <f>L20</f>
        <v>1047.9029</v>
      </c>
      <c r="M22" s="483">
        <f>K22/L22</f>
        <v>0</v>
      </c>
      <c r="N22" s="497"/>
      <c r="O22" s="497">
        <f>O20</f>
        <v>1152.6931900000002</v>
      </c>
      <c r="P22" s="498">
        <f>N22/O22</f>
        <v>0</v>
      </c>
      <c r="Q22" s="458"/>
      <c r="R22" s="458">
        <f>R20</f>
        <v>1267.9625090000004</v>
      </c>
      <c r="S22" s="483">
        <f>Q22/R22</f>
        <v>0</v>
      </c>
      <c r="T22" s="497"/>
      <c r="U22" s="497">
        <f>U20</f>
        <v>1394.7587599000005</v>
      </c>
      <c r="V22" s="498">
        <f>T22/U22</f>
        <v>0</v>
      </c>
      <c r="W22" s="458"/>
      <c r="X22" s="458">
        <f>X20</f>
        <v>1534.2346358900006</v>
      </c>
      <c r="Y22" s="483">
        <f>W22/X22</f>
        <v>0</v>
      </c>
      <c r="Z22" s="497"/>
      <c r="AA22" s="497">
        <f>AA20</f>
        <v>1687.6580994790008</v>
      </c>
      <c r="AB22" s="498">
        <f>Z22/AA22</f>
        <v>0</v>
      </c>
      <c r="AC22" s="458"/>
      <c r="AD22" s="458">
        <f>AD20</f>
        <v>1856.423909426901</v>
      </c>
      <c r="AE22" s="483">
        <f>AC22/AD22</f>
        <v>0</v>
      </c>
      <c r="AF22" s="497"/>
      <c r="AG22" s="497">
        <f>AG20</f>
        <v>2042.0663003695913</v>
      </c>
      <c r="AH22" s="498">
        <f>AF22/AG22</f>
        <v>0</v>
      </c>
      <c r="AI22" s="458"/>
      <c r="AJ22" s="458">
        <f>AJ20</f>
        <v>2246.2729304065506</v>
      </c>
      <c r="AK22" s="483">
        <f>AI22/AJ22</f>
        <v>0</v>
      </c>
    </row>
    <row r="23" spans="3:37" x14ac:dyDescent="0.15">
      <c r="C23" s="481" t="s">
        <v>234</v>
      </c>
      <c r="D23" s="486">
        <f>D22</f>
        <v>952.63900000000001</v>
      </c>
      <c r="E23" s="507">
        <f>H23+K23+N23+Q23+T23+W23+Z23+AC23+AF23+AI23</f>
        <v>247500000</v>
      </c>
      <c r="F23" s="507">
        <f>J23+M23+P23+S23+V23+Y23+AB23+AE23+AH23+AK23</f>
        <v>205827.24317958151</v>
      </c>
      <c r="G23" s="482">
        <f>'Cashflow Statement'!K30</f>
        <v>55000000</v>
      </c>
      <c r="H23" s="497">
        <f>CAPEX!C42</f>
        <v>49500000</v>
      </c>
      <c r="I23" s="497">
        <f>I22</f>
        <v>952.63900000000001</v>
      </c>
      <c r="J23" s="497">
        <f>H23/D23</f>
        <v>51960.921188403998</v>
      </c>
      <c r="K23" s="458">
        <f>CAPEX!D42</f>
        <v>44000000</v>
      </c>
      <c r="L23" s="458">
        <f>L22</f>
        <v>1047.9029</v>
      </c>
      <c r="M23" s="483">
        <f>K23/L23</f>
        <v>41988.62318254869</v>
      </c>
      <c r="N23" s="497">
        <f>CAPEX!E42</f>
        <v>38500000</v>
      </c>
      <c r="O23" s="497">
        <f>O22</f>
        <v>1152.6931900000002</v>
      </c>
      <c r="P23" s="498">
        <f>N23/O23</f>
        <v>33400.041167936448</v>
      </c>
      <c r="Q23" s="458">
        <f>CAPEX!F42</f>
        <v>33000000</v>
      </c>
      <c r="R23" s="458">
        <f>R22</f>
        <v>1267.9625090000004</v>
      </c>
      <c r="S23" s="483">
        <f>Q23/R23</f>
        <v>26026.006104885542</v>
      </c>
      <c r="T23" s="497">
        <f>CAPEX!G42</f>
        <v>27500000</v>
      </c>
      <c r="U23" s="497">
        <f>U22</f>
        <v>1394.7587599000005</v>
      </c>
      <c r="V23" s="498">
        <f>T23/U23</f>
        <v>19716.671291579954</v>
      </c>
      <c r="W23" s="458">
        <f>CAPEX!H42</f>
        <v>22000000</v>
      </c>
      <c r="X23" s="458">
        <f>X22</f>
        <v>1534.2346358900006</v>
      </c>
      <c r="Y23" s="483">
        <f>W23/X23</f>
        <v>14339.39730296724</v>
      </c>
      <c r="Z23" s="497">
        <f>CAPEX!I42</f>
        <v>16500000</v>
      </c>
      <c r="AA23" s="497">
        <f>AA22</f>
        <v>1687.6580994790008</v>
      </c>
      <c r="AB23" s="498">
        <f>Z23/AA23</f>
        <v>9776.8617974776625</v>
      </c>
      <c r="AC23" s="458">
        <f>CAPEX!J42</f>
        <v>11000000</v>
      </c>
      <c r="AD23" s="458">
        <f>AD22</f>
        <v>1856.423909426901</v>
      </c>
      <c r="AE23" s="483">
        <f>AC23/AD23</f>
        <v>5925.3707863500986</v>
      </c>
      <c r="AF23" s="497">
        <f>CAPEX!K42</f>
        <v>5500000</v>
      </c>
      <c r="AG23" s="497">
        <f>AG22</f>
        <v>2042.0663003695913</v>
      </c>
      <c r="AH23" s="498">
        <f>AF23/AG23</f>
        <v>2693.3503574318624</v>
      </c>
      <c r="AI23" s="458">
        <f>CAPEX!L42</f>
        <v>0</v>
      </c>
      <c r="AJ23" s="458">
        <f>AJ22</f>
        <v>2246.2729304065506</v>
      </c>
      <c r="AK23" s="483">
        <f>AI23/AJ23</f>
        <v>0</v>
      </c>
    </row>
    <row r="24" spans="3:37" ht="7.5" thickBot="1" x14ac:dyDescent="0.2">
      <c r="C24" s="481"/>
      <c r="D24" s="486"/>
      <c r="E24" s="507"/>
      <c r="F24" s="507"/>
      <c r="G24" s="482"/>
      <c r="H24" s="497"/>
      <c r="I24" s="497"/>
      <c r="J24" s="497"/>
      <c r="K24" s="458"/>
      <c r="L24" s="458"/>
      <c r="M24" s="483"/>
      <c r="N24" s="497"/>
      <c r="O24" s="497"/>
      <c r="P24" s="498"/>
      <c r="Q24" s="458"/>
      <c r="R24" s="458"/>
      <c r="S24" s="483"/>
      <c r="T24" s="497"/>
      <c r="U24" s="497"/>
      <c r="V24" s="498"/>
      <c r="W24" s="458"/>
      <c r="X24" s="458"/>
      <c r="Y24" s="483"/>
      <c r="Z24" s="497"/>
      <c r="AA24" s="497"/>
      <c r="AB24" s="498"/>
      <c r="AC24" s="458"/>
      <c r="AD24" s="458"/>
      <c r="AE24" s="483"/>
      <c r="AF24" s="497"/>
      <c r="AG24" s="497"/>
      <c r="AH24" s="498"/>
      <c r="AI24" s="458"/>
      <c r="AJ24" s="458"/>
      <c r="AK24" s="483"/>
    </row>
    <row r="25" spans="3:37" s="460" customFormat="1" ht="7.5" thickBot="1" x14ac:dyDescent="0.2">
      <c r="C25" s="475" t="s">
        <v>235</v>
      </c>
      <c r="D25" s="512"/>
      <c r="E25" s="499">
        <f t="shared" ref="E25:AI25" si="18">SUM(E14:E24)</f>
        <v>4210129646503.6274</v>
      </c>
      <c r="F25" s="499">
        <f t="shared" si="18"/>
        <v>2934125230.1449037</v>
      </c>
      <c r="G25" s="484">
        <f>SUM(G14:G24)</f>
        <v>55000000</v>
      </c>
      <c r="H25" s="499">
        <f t="shared" si="18"/>
        <v>145361547348.48001</v>
      </c>
      <c r="I25" s="499"/>
      <c r="J25" s="499">
        <f t="shared" si="18"/>
        <v>152588280.92118841</v>
      </c>
      <c r="K25" s="484">
        <f t="shared" si="18"/>
        <v>289053516393.08801</v>
      </c>
      <c r="L25" s="484"/>
      <c r="M25" s="484">
        <f t="shared" si="18"/>
        <v>275839981.35045528</v>
      </c>
      <c r="N25" s="499">
        <f t="shared" si="18"/>
        <v>430969449303.43683</v>
      </c>
      <c r="O25" s="499"/>
      <c r="P25" s="499">
        <f t="shared" ref="P25" si="19">SUM(P14:P24)</f>
        <v>373880450.61968029</v>
      </c>
      <c r="Q25" s="484">
        <f t="shared" si="18"/>
        <v>570931742466.10059</v>
      </c>
      <c r="R25" s="484"/>
      <c r="S25" s="484">
        <f t="shared" ref="S25" si="20">SUM(S14:S24)</f>
        <v>450274939.84532344</v>
      </c>
      <c r="T25" s="499">
        <f t="shared" si="18"/>
        <v>708745031906.31079</v>
      </c>
      <c r="U25" s="499"/>
      <c r="V25" s="499">
        <f t="shared" ref="V25" si="21">SUM(V14:V24)</f>
        <v>508148829.95043916</v>
      </c>
      <c r="W25" s="484">
        <f t="shared" si="18"/>
        <v>610167911876.62134</v>
      </c>
      <c r="X25" s="484"/>
      <c r="Y25" s="484">
        <f t="shared" ref="Y25" si="22">SUM(Y14:Y24)</f>
        <v>397701823.17821711</v>
      </c>
      <c r="Z25" s="499">
        <f t="shared" si="18"/>
        <v>511590791846.93176</v>
      </c>
      <c r="AA25" s="499"/>
      <c r="AB25" s="499">
        <f t="shared" ref="AB25" si="23">SUM(AB14:AB24)</f>
        <v>303136513.25755233</v>
      </c>
      <c r="AC25" s="484">
        <f t="shared" si="18"/>
        <v>413013671817.24219</v>
      </c>
      <c r="AD25" s="484"/>
      <c r="AE25" s="484">
        <f t="shared" ref="AE25" si="24">SUM(AE14:AE24)</f>
        <v>222478104.12264305</v>
      </c>
      <c r="AF25" s="499">
        <f t="shared" si="18"/>
        <v>314436551787.55273</v>
      </c>
      <c r="AG25" s="499"/>
      <c r="AH25" s="499">
        <f t="shared" ref="AH25" si="25">SUM(AH14:AH24)</f>
        <v>153979599.84484503</v>
      </c>
      <c r="AI25" s="484">
        <f t="shared" si="18"/>
        <v>215859431757.86328</v>
      </c>
      <c r="AJ25" s="484"/>
      <c r="AK25" s="484">
        <f t="shared" ref="AK25" si="26">SUM(AK14:AK24)</f>
        <v>96096707.054558635</v>
      </c>
    </row>
    <row r="26" spans="3:37" ht="7.5" thickBot="1" x14ac:dyDescent="0.2">
      <c r="C26" s="475" t="s">
        <v>236</v>
      </c>
      <c r="D26" s="512"/>
      <c r="E26" s="499">
        <f t="shared" ref="E26:AI26" si="27">E12+E25</f>
        <v>5794660705303.7686</v>
      </c>
      <c r="F26" s="499">
        <f t="shared" si="27"/>
        <v>4093216656.5450916</v>
      </c>
      <c r="G26" s="484">
        <f t="shared" si="27"/>
        <v>500000000</v>
      </c>
      <c r="H26" s="499">
        <f t="shared" si="27"/>
        <v>159954772396.37543</v>
      </c>
      <c r="I26" s="499"/>
      <c r="J26" s="499">
        <f t="shared" si="27"/>
        <v>167907016.6100437</v>
      </c>
      <c r="K26" s="484">
        <f t="shared" si="27"/>
        <v>352156355550.17609</v>
      </c>
      <c r="L26" s="484"/>
      <c r="M26" s="484">
        <f t="shared" si="27"/>
        <v>336058193.5121814</v>
      </c>
      <c r="N26" s="499">
        <f t="shared" si="27"/>
        <v>587594517700.80298</v>
      </c>
      <c r="O26" s="499"/>
      <c r="P26" s="499">
        <f t="shared" ref="P26" si="28">P12+P25</f>
        <v>509757950.1626125</v>
      </c>
      <c r="Q26" s="484">
        <f t="shared" si="27"/>
        <v>848267838176.89307</v>
      </c>
      <c r="R26" s="484"/>
      <c r="S26" s="484">
        <f t="shared" ref="S26" si="29">S12+S25</f>
        <v>669000725.30211759</v>
      </c>
      <c r="T26" s="499">
        <f t="shared" si="27"/>
        <v>1141346252446.1279</v>
      </c>
      <c r="U26" s="499"/>
      <c r="V26" s="499">
        <f t="shared" ref="V26" si="30">V12+V25</f>
        <v>818310868.70388865</v>
      </c>
      <c r="W26" s="484">
        <f t="shared" si="27"/>
        <v>1026408800195.0623</v>
      </c>
      <c r="X26" s="484"/>
      <c r="Y26" s="484">
        <f t="shared" ref="Y26" si="31">Y12+Y25</f>
        <v>669003799.14813256</v>
      </c>
      <c r="Z26" s="499">
        <f t="shared" si="27"/>
        <v>769917096796.12354</v>
      </c>
      <c r="AA26" s="499"/>
      <c r="AB26" s="499">
        <f t="shared" ref="AB26" si="32">AB12+AB25</f>
        <v>456204427.3267231</v>
      </c>
      <c r="AC26" s="484">
        <f t="shared" si="27"/>
        <v>533752647581.53314</v>
      </c>
      <c r="AD26" s="484"/>
      <c r="AE26" s="484">
        <f t="shared" ref="AE26" si="33">AE12+AE25</f>
        <v>287516576.82878506</v>
      </c>
      <c r="AF26" s="499">
        <f t="shared" si="27"/>
        <v>278471990813.61566</v>
      </c>
      <c r="AG26" s="499"/>
      <c r="AH26" s="499">
        <f t="shared" ref="AH26" si="34">AH12+AH25</f>
        <v>136367751.99865714</v>
      </c>
      <c r="AI26" s="484">
        <f t="shared" si="27"/>
        <v>96790433647.058685</v>
      </c>
      <c r="AJ26" s="484"/>
      <c r="AK26" s="484">
        <f t="shared" ref="AK26" si="35">AK12+AK25</f>
        <v>43089346.951948829</v>
      </c>
    </row>
    <row r="27" spans="3:37" ht="7.5" thickBot="1" x14ac:dyDescent="0.2">
      <c r="C27" s="480"/>
      <c r="D27" s="513"/>
      <c r="E27" s="505"/>
      <c r="F27" s="505"/>
      <c r="G27" s="480"/>
      <c r="H27" s="497"/>
      <c r="I27" s="497"/>
      <c r="J27" s="497"/>
      <c r="K27" s="458"/>
      <c r="L27" s="458"/>
      <c r="M27" s="483"/>
      <c r="N27" s="497"/>
      <c r="O27" s="497"/>
      <c r="P27" s="498"/>
      <c r="Q27" s="458"/>
      <c r="R27" s="458"/>
      <c r="S27" s="483"/>
      <c r="T27" s="497"/>
      <c r="U27" s="497"/>
      <c r="V27" s="498"/>
      <c r="W27" s="458"/>
      <c r="X27" s="458"/>
      <c r="Y27" s="483"/>
      <c r="Z27" s="497"/>
      <c r="AA27" s="497"/>
      <c r="AB27" s="498"/>
      <c r="AC27" s="458"/>
      <c r="AD27" s="458"/>
      <c r="AE27" s="483"/>
      <c r="AF27" s="497"/>
      <c r="AG27" s="497"/>
      <c r="AH27" s="498"/>
      <c r="AI27" s="458"/>
      <c r="AJ27" s="458"/>
      <c r="AK27" s="483"/>
    </row>
    <row r="28" spans="3:37" ht="7.5" thickBot="1" x14ac:dyDescent="0.2">
      <c r="C28" s="475" t="s">
        <v>237</v>
      </c>
      <c r="D28" s="512"/>
      <c r="E28" s="504"/>
      <c r="F28" s="504"/>
      <c r="G28" s="475"/>
      <c r="H28" s="500"/>
      <c r="I28" s="500"/>
      <c r="J28" s="500"/>
      <c r="K28" s="487"/>
      <c r="L28" s="487"/>
      <c r="M28" s="488"/>
      <c r="N28" s="500"/>
      <c r="O28" s="500"/>
      <c r="P28" s="501"/>
      <c r="Q28" s="487"/>
      <c r="R28" s="487"/>
      <c r="S28" s="488"/>
      <c r="T28" s="500"/>
      <c r="U28" s="500"/>
      <c r="V28" s="501"/>
      <c r="W28" s="487"/>
      <c r="X28" s="487"/>
      <c r="Y28" s="488"/>
      <c r="Z28" s="500"/>
      <c r="AA28" s="500"/>
      <c r="AB28" s="501"/>
      <c r="AC28" s="487"/>
      <c r="AD28" s="487"/>
      <c r="AE28" s="488"/>
      <c r="AF28" s="500"/>
      <c r="AG28" s="500"/>
      <c r="AH28" s="501"/>
      <c r="AI28" s="487"/>
      <c r="AJ28" s="487"/>
      <c r="AK28" s="488"/>
    </row>
    <row r="29" spans="3:37" x14ac:dyDescent="0.15">
      <c r="C29" s="480" t="s">
        <v>238</v>
      </c>
      <c r="D29" s="513"/>
      <c r="E29" s="505"/>
      <c r="F29" s="505"/>
      <c r="G29" s="480"/>
      <c r="H29" s="497"/>
      <c r="I29" s="497"/>
      <c r="J29" s="497"/>
      <c r="K29" s="458"/>
      <c r="L29" s="458"/>
      <c r="M29" s="483"/>
      <c r="N29" s="497"/>
      <c r="O29" s="497"/>
      <c r="P29" s="498"/>
      <c r="Q29" s="458"/>
      <c r="R29" s="458"/>
      <c r="S29" s="483"/>
      <c r="T29" s="497"/>
      <c r="U29" s="497"/>
      <c r="V29" s="498"/>
      <c r="W29" s="458"/>
      <c r="X29" s="458"/>
      <c r="Y29" s="483"/>
      <c r="Z29" s="497"/>
      <c r="AA29" s="497"/>
      <c r="AB29" s="498"/>
      <c r="AC29" s="458"/>
      <c r="AD29" s="458"/>
      <c r="AE29" s="483"/>
      <c r="AF29" s="497"/>
      <c r="AG29" s="497"/>
      <c r="AH29" s="498"/>
      <c r="AI29" s="458"/>
      <c r="AJ29" s="458"/>
      <c r="AK29" s="483"/>
    </row>
    <row r="30" spans="3:37" x14ac:dyDescent="0.15">
      <c r="C30" s="481" t="s">
        <v>239</v>
      </c>
      <c r="D30" s="486">
        <f>D24</f>
        <v>0</v>
      </c>
      <c r="E30" s="286">
        <f>H30+K30+N30+Q30+T30+W30+Z30+AC30+AF30+AI30</f>
        <v>0</v>
      </c>
      <c r="F30" s="286">
        <f>J30+M30+P30+S30+V30+Y30+AB30+AE30+AH30+AK30</f>
        <v>0</v>
      </c>
      <c r="G30" s="245"/>
      <c r="H30" s="497">
        <f>G30</f>
        <v>0</v>
      </c>
      <c r="I30" s="497">
        <f>I23</f>
        <v>952.63900000000001</v>
      </c>
      <c r="J30" s="497">
        <f t="shared" ref="J30" si="36">H30/I30</f>
        <v>0</v>
      </c>
      <c r="K30" s="458">
        <f>H30</f>
        <v>0</v>
      </c>
      <c r="L30" s="458">
        <f>L23</f>
        <v>1047.9029</v>
      </c>
      <c r="M30" s="483">
        <f t="shared" ref="M30:M34" si="37">K30/L30</f>
        <v>0</v>
      </c>
      <c r="N30" s="497">
        <f>K30</f>
        <v>0</v>
      </c>
      <c r="O30" s="497">
        <f>O23</f>
        <v>1152.6931900000002</v>
      </c>
      <c r="P30" s="498">
        <f t="shared" ref="P30:P34" si="38">N30/O30</f>
        <v>0</v>
      </c>
      <c r="Q30" s="458">
        <f>N30</f>
        <v>0</v>
      </c>
      <c r="R30" s="458">
        <f>R23</f>
        <v>1267.9625090000004</v>
      </c>
      <c r="S30" s="483">
        <f t="shared" ref="S30:S34" si="39">Q30/R30</f>
        <v>0</v>
      </c>
      <c r="T30" s="497">
        <f>Q30</f>
        <v>0</v>
      </c>
      <c r="U30" s="497">
        <f>U23</f>
        <v>1394.7587599000005</v>
      </c>
      <c r="V30" s="498">
        <f t="shared" ref="V30:V34" si="40">T30/U30</f>
        <v>0</v>
      </c>
      <c r="W30" s="458">
        <f>T30</f>
        <v>0</v>
      </c>
      <c r="X30" s="458">
        <f>X23</f>
        <v>1534.2346358900006</v>
      </c>
      <c r="Y30" s="483">
        <f t="shared" ref="Y30:Y34" si="41">W30/X30</f>
        <v>0</v>
      </c>
      <c r="Z30" s="497">
        <f>W30</f>
        <v>0</v>
      </c>
      <c r="AA30" s="497">
        <f>AA23</f>
        <v>1687.6580994790008</v>
      </c>
      <c r="AB30" s="498">
        <f t="shared" ref="AB30:AB34" si="42">Z30/AA30</f>
        <v>0</v>
      </c>
      <c r="AC30" s="458">
        <f>Z30</f>
        <v>0</v>
      </c>
      <c r="AD30" s="458">
        <f>AD23</f>
        <v>1856.423909426901</v>
      </c>
      <c r="AE30" s="483">
        <f t="shared" ref="AE30:AE34" si="43">AC30/AD30</f>
        <v>0</v>
      </c>
      <c r="AF30" s="497">
        <f>AC30</f>
        <v>0</v>
      </c>
      <c r="AG30" s="497">
        <f>AG23</f>
        <v>2042.0663003695913</v>
      </c>
      <c r="AH30" s="498">
        <f t="shared" ref="AH30:AH34" si="44">AF30/AG30</f>
        <v>0</v>
      </c>
      <c r="AI30" s="458">
        <f>AF30</f>
        <v>0</v>
      </c>
      <c r="AJ30" s="458">
        <f>AJ23</f>
        <v>2246.2729304065506</v>
      </c>
      <c r="AK30" s="483">
        <f t="shared" ref="AK30:AK34" si="45">AI30/AJ30</f>
        <v>0</v>
      </c>
    </row>
    <row r="31" spans="3:37" x14ac:dyDescent="0.15">
      <c r="C31" s="481" t="s">
        <v>258</v>
      </c>
      <c r="D31" s="486">
        <f>D30</f>
        <v>0</v>
      </c>
      <c r="E31" s="286">
        <f>H31+K31+N31+Q31+T31+W31+Z31+AC31+AF31+AI31</f>
        <v>310949697811.05054</v>
      </c>
      <c r="F31" s="286">
        <f>J31+M31+P31+S31+V31+Y31+AB31+AE31+AH31+AK31</f>
        <v>182460026.07888356</v>
      </c>
      <c r="G31" s="482"/>
      <c r="H31" s="497">
        <f>'Income Statement'!K70</f>
        <v>0</v>
      </c>
      <c r="I31" s="497">
        <f>I30</f>
        <v>952.63900000000001</v>
      </c>
      <c r="J31" s="497">
        <f>H31/I31</f>
        <v>0</v>
      </c>
      <c r="K31" s="458">
        <f>'Income Statement'!N70</f>
        <v>4800804781.7763271</v>
      </c>
      <c r="L31" s="458">
        <f>L30</f>
        <v>1047.9029</v>
      </c>
      <c r="M31" s="483">
        <f t="shared" si="37"/>
        <v>4581345.0671587288</v>
      </c>
      <c r="N31" s="497">
        <f>'Income Statement'!Q70</f>
        <v>14889160894.17881</v>
      </c>
      <c r="O31" s="497">
        <f>O30</f>
        <v>1152.6931900000002</v>
      </c>
      <c r="P31" s="498">
        <f t="shared" si="38"/>
        <v>12916846.410950694</v>
      </c>
      <c r="Q31" s="458">
        <f>'Income Statement'!T70</f>
        <v>20267889456.196392</v>
      </c>
      <c r="R31" s="458">
        <f>R30</f>
        <v>1267.9625090000004</v>
      </c>
      <c r="S31" s="483">
        <f t="shared" si="39"/>
        <v>15984612.567276141</v>
      </c>
      <c r="T31" s="497">
        <f>'Income Statement'!W70</f>
        <v>25734932252.716648</v>
      </c>
      <c r="U31" s="497">
        <f>U30</f>
        <v>1394.7587599000005</v>
      </c>
      <c r="V31" s="498">
        <f t="shared" si="40"/>
        <v>18451170.906832486</v>
      </c>
      <c r="W31" s="458">
        <f>'Income Statement'!Z70</f>
        <v>56803947153.351402</v>
      </c>
      <c r="X31" s="458">
        <f>X30</f>
        <v>1534.2346358900006</v>
      </c>
      <c r="Y31" s="483">
        <f t="shared" si="41"/>
        <v>37024289.391302757</v>
      </c>
      <c r="Z31" s="497">
        <f>'Income Statement'!AC70</f>
        <v>29445197055.105762</v>
      </c>
      <c r="AA31" s="497">
        <f>AA30</f>
        <v>1687.6580994790008</v>
      </c>
      <c r="AB31" s="498">
        <f t="shared" si="42"/>
        <v>17447371.042864565</v>
      </c>
      <c r="AC31" s="458">
        <f>'Income Statement'!AF70</f>
        <v>36105613389.507095</v>
      </c>
      <c r="AD31" s="458">
        <f>AD30</f>
        <v>1856.423909426901</v>
      </c>
      <c r="AE31" s="483">
        <f t="shared" si="43"/>
        <v>19449013.345585119</v>
      </c>
      <c r="AF31" s="497">
        <f>'Income Statement'!AI70</f>
        <v>42489740216.009224</v>
      </c>
      <c r="AG31" s="497">
        <f>AG30</f>
        <v>2042.0663003695913</v>
      </c>
      <c r="AH31" s="498">
        <f t="shared" si="44"/>
        <v>20807228.545086443</v>
      </c>
      <c r="AI31" s="458">
        <f>'Income Statement'!AL70</f>
        <v>80412412612.208862</v>
      </c>
      <c r="AJ31" s="458">
        <f>AJ30</f>
        <v>2246.2729304065506</v>
      </c>
      <c r="AK31" s="483">
        <f t="shared" si="45"/>
        <v>35798148.801826634</v>
      </c>
    </row>
    <row r="32" spans="3:37" x14ac:dyDescent="0.15">
      <c r="C32" s="481" t="s">
        <v>240</v>
      </c>
      <c r="D32" s="486">
        <f>D31</f>
        <v>0</v>
      </c>
      <c r="E32" s="286">
        <f>H32+K32+N32+Q32+T32+W32+Z32+AC32+AF32+AI32</f>
        <v>0</v>
      </c>
      <c r="F32" s="286">
        <f>J32+M32+P32+S32+V32+Y32+AB32+AE32+AH32+AK32</f>
        <v>0</v>
      </c>
      <c r="G32" s="245"/>
      <c r="H32" s="497"/>
      <c r="I32" s="497">
        <f t="shared" ref="I32:I34" si="46">I31</f>
        <v>952.63900000000001</v>
      </c>
      <c r="J32" s="497">
        <f t="shared" ref="J32:J34" si="47">H32/I32</f>
        <v>0</v>
      </c>
      <c r="K32" s="458"/>
      <c r="L32" s="458">
        <f t="shared" ref="L32:L34" si="48">L31</f>
        <v>1047.9029</v>
      </c>
      <c r="M32" s="483">
        <f t="shared" si="37"/>
        <v>0</v>
      </c>
      <c r="N32" s="497"/>
      <c r="O32" s="497">
        <f t="shared" ref="O32:O34" si="49">O31</f>
        <v>1152.6931900000002</v>
      </c>
      <c r="P32" s="498">
        <f t="shared" si="38"/>
        <v>0</v>
      </c>
      <c r="Q32" s="458"/>
      <c r="R32" s="458">
        <f t="shared" ref="R32:R34" si="50">R31</f>
        <v>1267.9625090000004</v>
      </c>
      <c r="S32" s="483">
        <f t="shared" si="39"/>
        <v>0</v>
      </c>
      <c r="T32" s="497"/>
      <c r="U32" s="497">
        <f t="shared" ref="U32:U34" si="51">U31</f>
        <v>1394.7587599000005</v>
      </c>
      <c r="V32" s="498">
        <f t="shared" si="40"/>
        <v>0</v>
      </c>
      <c r="W32" s="458"/>
      <c r="X32" s="458">
        <f t="shared" ref="X32:X34" si="52">X31</f>
        <v>1534.2346358900006</v>
      </c>
      <c r="Y32" s="483">
        <f t="shared" si="41"/>
        <v>0</v>
      </c>
      <c r="Z32" s="497"/>
      <c r="AA32" s="497">
        <f t="shared" ref="AA32:AA34" si="53">AA31</f>
        <v>1687.6580994790008</v>
      </c>
      <c r="AB32" s="498">
        <f t="shared" si="42"/>
        <v>0</v>
      </c>
      <c r="AC32" s="458"/>
      <c r="AD32" s="458">
        <f t="shared" ref="AD32:AD34" si="54">AD31</f>
        <v>1856.423909426901</v>
      </c>
      <c r="AE32" s="483">
        <f t="shared" si="43"/>
        <v>0</v>
      </c>
      <c r="AF32" s="497"/>
      <c r="AG32" s="497">
        <f t="shared" ref="AG32:AG34" si="55">AG31</f>
        <v>2042.0663003695913</v>
      </c>
      <c r="AH32" s="498">
        <f t="shared" si="44"/>
        <v>0</v>
      </c>
      <c r="AI32" s="458"/>
      <c r="AJ32" s="458">
        <f t="shared" ref="AJ32:AJ34" si="56">AJ31</f>
        <v>2246.2729304065506</v>
      </c>
      <c r="AK32" s="483">
        <f t="shared" si="45"/>
        <v>0</v>
      </c>
    </row>
    <row r="33" spans="3:37" x14ac:dyDescent="0.15">
      <c r="C33" s="481" t="s">
        <v>241</v>
      </c>
      <c r="D33" s="486">
        <f>D32</f>
        <v>0</v>
      </c>
      <c r="E33" s="286">
        <f>H33+K33+N33+Q33+T33+W33+Z33+AC33+AF33+AI33</f>
        <v>0</v>
      </c>
      <c r="F33" s="286">
        <f>J33+M33+P33+S33+V33+Y33+AB33+AE33+AH33+AK33</f>
        <v>0</v>
      </c>
      <c r="G33" s="245"/>
      <c r="H33" s="497"/>
      <c r="I33" s="497">
        <f t="shared" si="46"/>
        <v>952.63900000000001</v>
      </c>
      <c r="J33" s="497">
        <f t="shared" si="47"/>
        <v>0</v>
      </c>
      <c r="K33" s="458"/>
      <c r="L33" s="458">
        <f t="shared" si="48"/>
        <v>1047.9029</v>
      </c>
      <c r="M33" s="483">
        <f t="shared" si="37"/>
        <v>0</v>
      </c>
      <c r="N33" s="497"/>
      <c r="O33" s="497">
        <f t="shared" si="49"/>
        <v>1152.6931900000002</v>
      </c>
      <c r="P33" s="498">
        <f t="shared" si="38"/>
        <v>0</v>
      </c>
      <c r="Q33" s="458"/>
      <c r="R33" s="458">
        <f t="shared" si="50"/>
        <v>1267.9625090000004</v>
      </c>
      <c r="S33" s="483">
        <f t="shared" si="39"/>
        <v>0</v>
      </c>
      <c r="T33" s="497"/>
      <c r="U33" s="497">
        <f t="shared" si="51"/>
        <v>1394.7587599000005</v>
      </c>
      <c r="V33" s="498">
        <f t="shared" si="40"/>
        <v>0</v>
      </c>
      <c r="W33" s="458"/>
      <c r="X33" s="458">
        <f t="shared" si="52"/>
        <v>1534.2346358900006</v>
      </c>
      <c r="Y33" s="483">
        <f t="shared" si="41"/>
        <v>0</v>
      </c>
      <c r="Z33" s="497">
        <f>'[2]Loan Sheet'!V8</f>
        <v>0</v>
      </c>
      <c r="AA33" s="497">
        <f t="shared" si="53"/>
        <v>1687.6580994790008</v>
      </c>
      <c r="AB33" s="498">
        <f t="shared" si="42"/>
        <v>0</v>
      </c>
      <c r="AC33" s="458">
        <f>'[2]Loan Sheet'!X8</f>
        <v>0</v>
      </c>
      <c r="AD33" s="458">
        <f t="shared" si="54"/>
        <v>1856.423909426901</v>
      </c>
      <c r="AE33" s="483">
        <f t="shared" si="43"/>
        <v>0</v>
      </c>
      <c r="AF33" s="497">
        <f>'[2]Loan Sheet'!Z8</f>
        <v>0</v>
      </c>
      <c r="AG33" s="497">
        <f t="shared" si="55"/>
        <v>2042.0663003695913</v>
      </c>
      <c r="AH33" s="498">
        <f t="shared" si="44"/>
        <v>0</v>
      </c>
      <c r="AI33" s="458"/>
      <c r="AJ33" s="458">
        <f t="shared" si="56"/>
        <v>2246.2729304065506</v>
      </c>
      <c r="AK33" s="483">
        <f t="shared" si="45"/>
        <v>0</v>
      </c>
    </row>
    <row r="34" spans="3:37" ht="7.5" thickBot="1" x14ac:dyDescent="0.2">
      <c r="C34" s="481" t="s">
        <v>215</v>
      </c>
      <c r="D34" s="486">
        <f>D33</f>
        <v>0</v>
      </c>
      <c r="E34" s="286">
        <f>H34+K34+N34+Q34+T34+W34+Z34+AC34+AF34+AI34</f>
        <v>15732976393.669069</v>
      </c>
      <c r="F34" s="286">
        <f>J34+M34+P34+S34+V34+Y34+AB34+AE34+AH34+AK34</f>
        <v>9208662.5669347253</v>
      </c>
      <c r="G34" s="482"/>
      <c r="H34" s="497">
        <f>-'Income Statement'!K73</f>
        <v>-50076449.770614959</v>
      </c>
      <c r="I34" s="497">
        <f t="shared" si="46"/>
        <v>952.63900000000001</v>
      </c>
      <c r="J34" s="497">
        <f t="shared" si="47"/>
        <v>-52566.029493454458</v>
      </c>
      <c r="K34" s="458">
        <f>-'Income Statement'!N73</f>
        <v>243677212.40834385</v>
      </c>
      <c r="L34" s="458">
        <f t="shared" si="48"/>
        <v>1047.9029</v>
      </c>
      <c r="M34" s="483">
        <f t="shared" si="37"/>
        <v>232537.96931790517</v>
      </c>
      <c r="N34" s="497">
        <f>-'Income Statement'!Q73</f>
        <v>755737712.05301535</v>
      </c>
      <c r="O34" s="497">
        <f t="shared" si="49"/>
        <v>1152.6931900000002</v>
      </c>
      <c r="P34" s="498">
        <f t="shared" si="38"/>
        <v>655627.81025280047</v>
      </c>
      <c r="Q34" s="458">
        <f>-'Income Statement'!T73</f>
        <v>1028748934.5190594</v>
      </c>
      <c r="R34" s="458">
        <f t="shared" si="50"/>
        <v>1267.9625090000004</v>
      </c>
      <c r="S34" s="483">
        <f t="shared" si="39"/>
        <v>811340.18333901628</v>
      </c>
      <c r="T34" s="497">
        <f>-'Income Statement'!W73</f>
        <v>1306242773.4333451</v>
      </c>
      <c r="U34" s="497">
        <f t="shared" si="51"/>
        <v>1394.7587599000005</v>
      </c>
      <c r="V34" s="498">
        <f t="shared" si="40"/>
        <v>936536.70511952776</v>
      </c>
      <c r="W34" s="458">
        <f>-'Income Statement'!Z73</f>
        <v>2883230650.9655633</v>
      </c>
      <c r="X34" s="458">
        <f t="shared" si="52"/>
        <v>1534.2346358900006</v>
      </c>
      <c r="Y34" s="483">
        <f t="shared" si="41"/>
        <v>1879263.173649458</v>
      </c>
      <c r="Z34" s="497">
        <f>-'Income Statement'!AC73</f>
        <v>1494566820.2212772</v>
      </c>
      <c r="AA34" s="497">
        <f t="shared" si="53"/>
        <v>1687.6580994790008</v>
      </c>
      <c r="AB34" s="498">
        <f t="shared" si="42"/>
        <v>885586.25747873157</v>
      </c>
      <c r="AC34" s="458">
        <f>-'Income Statement'!AF73</f>
        <v>1832633406.8916478</v>
      </c>
      <c r="AD34" s="458">
        <f t="shared" si="54"/>
        <v>1856.423909426901</v>
      </c>
      <c r="AE34" s="483">
        <f t="shared" si="43"/>
        <v>987184.7682986384</v>
      </c>
      <c r="AF34" s="497">
        <f>-'Income Statement'!AI73</f>
        <v>2156676207.9338012</v>
      </c>
      <c r="AG34" s="497">
        <f t="shared" si="55"/>
        <v>2042.0663003695913</v>
      </c>
      <c r="AH34" s="498">
        <f t="shared" si="44"/>
        <v>1056124.4791824177</v>
      </c>
      <c r="AI34" s="458">
        <f>-'Income Statement'!AL73</f>
        <v>4081539125.0136318</v>
      </c>
      <c r="AJ34" s="458">
        <f t="shared" si="56"/>
        <v>2246.2729304065506</v>
      </c>
      <c r="AK34" s="483">
        <f t="shared" si="45"/>
        <v>1817027.2497896852</v>
      </c>
    </row>
    <row r="35" spans="3:37" ht="7.5" thickBot="1" x14ac:dyDescent="0.2">
      <c r="C35" s="475" t="s">
        <v>242</v>
      </c>
      <c r="D35" s="512"/>
      <c r="E35" s="499">
        <f t="shared" ref="E35:AI35" si="57">SUM(E29:E34)</f>
        <v>326682674204.7196</v>
      </c>
      <c r="F35" s="499">
        <f t="shared" si="57"/>
        <v>191668688.64581829</v>
      </c>
      <c r="G35" s="484">
        <f t="shared" si="57"/>
        <v>0</v>
      </c>
      <c r="H35" s="499">
        <f>SUM(H29:H34)</f>
        <v>-50076449.770614959</v>
      </c>
      <c r="I35" s="499"/>
      <c r="J35" s="499">
        <f t="shared" si="57"/>
        <v>-52566.029493454458</v>
      </c>
      <c r="K35" s="484">
        <f t="shared" si="57"/>
        <v>5044481994.1846714</v>
      </c>
      <c r="L35" s="484"/>
      <c r="M35" s="484">
        <f t="shared" si="57"/>
        <v>4813883.0364766344</v>
      </c>
      <c r="N35" s="499">
        <f t="shared" si="57"/>
        <v>15644898606.231825</v>
      </c>
      <c r="O35" s="499"/>
      <c r="P35" s="499">
        <f t="shared" ref="P35" si="58">SUM(P29:P34)</f>
        <v>13572474.221203495</v>
      </c>
      <c r="Q35" s="484">
        <f t="shared" si="57"/>
        <v>21296638390.71545</v>
      </c>
      <c r="R35" s="484"/>
      <c r="S35" s="484">
        <f t="shared" ref="S35" si="59">SUM(S29:S34)</f>
        <v>16795952.750615157</v>
      </c>
      <c r="T35" s="499">
        <f t="shared" si="57"/>
        <v>27041175026.149994</v>
      </c>
      <c r="U35" s="499"/>
      <c r="V35" s="499">
        <f t="shared" ref="V35" si="60">SUM(V29:V34)</f>
        <v>19387707.611952014</v>
      </c>
      <c r="W35" s="484">
        <f t="shared" si="57"/>
        <v>59687177804.316963</v>
      </c>
      <c r="X35" s="484"/>
      <c r="Y35" s="484">
        <f t="shared" ref="Y35" si="61">SUM(Y29:Y34)</f>
        <v>38903552.564952217</v>
      </c>
      <c r="Z35" s="499">
        <f t="shared" si="57"/>
        <v>30939763875.327042</v>
      </c>
      <c r="AA35" s="499"/>
      <c r="AB35" s="499">
        <f t="shared" ref="AB35" si="62">SUM(AB29:AB34)</f>
        <v>18332957.300343297</v>
      </c>
      <c r="AC35" s="484">
        <f t="shared" si="57"/>
        <v>37938246796.398743</v>
      </c>
      <c r="AD35" s="484"/>
      <c r="AE35" s="484">
        <f t="shared" ref="AE35" si="63">SUM(AE29:AE34)</f>
        <v>20436198.113883756</v>
      </c>
      <c r="AF35" s="499">
        <f t="shared" si="57"/>
        <v>44646416423.943024</v>
      </c>
      <c r="AG35" s="499"/>
      <c r="AH35" s="499">
        <f t="shared" ref="AH35" si="64">SUM(AH29:AH34)</f>
        <v>21863353.024268862</v>
      </c>
      <c r="AI35" s="484">
        <f t="shared" si="57"/>
        <v>84493951737.222488</v>
      </c>
      <c r="AJ35" s="484"/>
      <c r="AK35" s="484">
        <f t="shared" ref="AK35" si="65">SUM(AK29:AK34)</f>
        <v>37615176.051616319</v>
      </c>
    </row>
    <row r="36" spans="3:37" x14ac:dyDescent="0.15">
      <c r="C36" s="480" t="s">
        <v>243</v>
      </c>
      <c r="D36" s="513"/>
      <c r="E36" s="505"/>
      <c r="F36" s="505"/>
      <c r="G36" s="480"/>
      <c r="H36" s="497"/>
      <c r="I36" s="497"/>
      <c r="J36" s="497"/>
      <c r="K36" s="458"/>
      <c r="L36" s="458"/>
      <c r="M36" s="483"/>
      <c r="N36" s="497"/>
      <c r="O36" s="497"/>
      <c r="P36" s="498"/>
      <c r="Q36" s="458"/>
      <c r="R36" s="458"/>
      <c r="S36" s="483"/>
      <c r="T36" s="497"/>
      <c r="U36" s="497"/>
      <c r="V36" s="498"/>
      <c r="W36" s="458"/>
      <c r="X36" s="458"/>
      <c r="Y36" s="483"/>
      <c r="Z36" s="497"/>
      <c r="AA36" s="497"/>
      <c r="AB36" s="498"/>
      <c r="AC36" s="458"/>
      <c r="AD36" s="458"/>
      <c r="AE36" s="483"/>
      <c r="AF36" s="497"/>
      <c r="AG36" s="497"/>
      <c r="AH36" s="498"/>
      <c r="AI36" s="458"/>
      <c r="AJ36" s="458"/>
      <c r="AK36" s="483"/>
    </row>
    <row r="37" spans="3:37" x14ac:dyDescent="0.15">
      <c r="C37" s="481" t="str">
        <f>'[2]CashFlow '!C14</f>
        <v>Government Intervention Grant</v>
      </c>
      <c r="D37" s="513">
        <f>D34</f>
        <v>0</v>
      </c>
      <c r="E37" s="286">
        <f>H37+K37+N37+Q37+T37+W37+Z37+AC37+AF37+AI37</f>
        <v>0</v>
      </c>
      <c r="F37" s="286">
        <f>J37+M37+P37+S37+V37+Y37+AB37+AE37+AH37+AK37</f>
        <v>0</v>
      </c>
      <c r="G37" s="482"/>
      <c r="H37" s="497"/>
      <c r="I37" s="497">
        <f>I34</f>
        <v>952.63900000000001</v>
      </c>
      <c r="J37" s="497">
        <f t="shared" ref="J37:J39" si="66">H37/I37</f>
        <v>0</v>
      </c>
      <c r="K37" s="458"/>
      <c r="L37" s="458">
        <f>L34</f>
        <v>1047.9029</v>
      </c>
      <c r="M37" s="483">
        <f t="shared" ref="M37:M39" si="67">K37/L37</f>
        <v>0</v>
      </c>
      <c r="N37" s="497"/>
      <c r="O37" s="497">
        <f>O34</f>
        <v>1152.6931900000002</v>
      </c>
      <c r="P37" s="498">
        <f t="shared" ref="P37:P39" si="68">N37/O37</f>
        <v>0</v>
      </c>
      <c r="Q37" s="458"/>
      <c r="R37" s="458">
        <f>R34</f>
        <v>1267.9625090000004</v>
      </c>
      <c r="S37" s="483">
        <f t="shared" ref="S37:S39" si="69">Q37/R37</f>
        <v>0</v>
      </c>
      <c r="T37" s="497"/>
      <c r="U37" s="497">
        <f>U34</f>
        <v>1394.7587599000005</v>
      </c>
      <c r="V37" s="498">
        <f t="shared" ref="V37:V39" si="70">T37/U37</f>
        <v>0</v>
      </c>
      <c r="W37" s="458">
        <f>T37-'[2]Procuremnt,Distribitn&amp;Recovery'!I125+'[2]Procuremnt,Distribitn&amp;Recovery'!J103</f>
        <v>0</v>
      </c>
      <c r="X37" s="458">
        <f>X34</f>
        <v>1534.2346358900006</v>
      </c>
      <c r="Y37" s="483">
        <f t="shared" ref="Y37:Y39" si="71">W37/X37</f>
        <v>0</v>
      </c>
      <c r="Z37" s="497"/>
      <c r="AA37" s="497">
        <f>AA34</f>
        <v>1687.6580994790008</v>
      </c>
      <c r="AB37" s="498">
        <f t="shared" ref="AB37:AB39" si="72">Z37/AA37</f>
        <v>0</v>
      </c>
      <c r="AC37" s="458">
        <f>Z37-'[2]Procuremnt,Distribitn&amp;Recovery'!K125+'[2]Procuremnt,Distribitn&amp;Recovery'!L113</f>
        <v>0</v>
      </c>
      <c r="AD37" s="458">
        <f>AD34</f>
        <v>1856.423909426901</v>
      </c>
      <c r="AE37" s="483">
        <f t="shared" ref="AE37:AE39" si="73">AC37/AD37</f>
        <v>0</v>
      </c>
      <c r="AF37" s="497"/>
      <c r="AG37" s="497">
        <f>AG34</f>
        <v>2042.0663003695913</v>
      </c>
      <c r="AH37" s="498">
        <f t="shared" ref="AH37:AH39" si="74">AF37/AG37</f>
        <v>0</v>
      </c>
      <c r="AI37" s="458"/>
      <c r="AJ37" s="458">
        <f>AJ34</f>
        <v>2246.2729304065506</v>
      </c>
      <c r="AK37" s="483">
        <f t="shared" ref="AK37:AK39" si="75">AI37/AJ37</f>
        <v>0</v>
      </c>
    </row>
    <row r="38" spans="3:37" x14ac:dyDescent="0.15">
      <c r="C38" s="481" t="s">
        <v>244</v>
      </c>
      <c r="D38" s="486">
        <f>D34</f>
        <v>0</v>
      </c>
      <c r="E38" s="286">
        <f>H38+K38+N38+Q38+T38+W38+Z38+AC38+AF38+AI38</f>
        <v>3237476431093.1172</v>
      </c>
      <c r="F38" s="286">
        <f>J38+M38+P38+S38+V38+Y38+AB38+AE38+AH38+AK38</f>
        <v>2679058227.0621057</v>
      </c>
      <c r="G38" s="482"/>
      <c r="H38" s="497">
        <f>'Facility Repayment Plan'!C31</f>
        <v>161457830387.20001</v>
      </c>
      <c r="I38" s="497">
        <f>I37</f>
        <v>952.63900000000001</v>
      </c>
      <c r="J38" s="497">
        <f t="shared" si="66"/>
        <v>169484800</v>
      </c>
      <c r="K38" s="458">
        <f>'Facility Repayment Plan'!D31</f>
        <v>339061443813.12</v>
      </c>
      <c r="L38" s="458">
        <f>L37</f>
        <v>1047.9029</v>
      </c>
      <c r="M38" s="483">
        <f t="shared" si="67"/>
        <v>323561890.90909088</v>
      </c>
      <c r="N38" s="497">
        <f>'Facility Repayment Plan'!E31</f>
        <v>534425418581.63208</v>
      </c>
      <c r="O38" s="497">
        <f>O37</f>
        <v>1152.6931900000002</v>
      </c>
      <c r="P38" s="498">
        <f t="shared" si="68"/>
        <v>463631973.55371898</v>
      </c>
      <c r="Q38" s="458">
        <f>'Facility Repayment Plan'!F31</f>
        <v>749325790826.99536</v>
      </c>
      <c r="R38" s="458">
        <f>R37</f>
        <v>1267.9625090000004</v>
      </c>
      <c r="S38" s="483">
        <f t="shared" si="69"/>
        <v>590968412.32156265</v>
      </c>
      <c r="T38" s="497">
        <f>'Facility Repayment Plan'!G31</f>
        <v>985716200296.8949</v>
      </c>
      <c r="U38" s="497">
        <f>U37</f>
        <v>1394.7587599000005</v>
      </c>
      <c r="V38" s="498">
        <f t="shared" si="70"/>
        <v>706728811.20142055</v>
      </c>
      <c r="W38" s="458">
        <f>'Facility Repayment Plan'!H31</f>
        <v>725686749880.00537</v>
      </c>
      <c r="X38" s="458">
        <f>X37</f>
        <v>1534.2346358900006</v>
      </c>
      <c r="Y38" s="483">
        <f t="shared" si="71"/>
        <v>472995937.45583683</v>
      </c>
      <c r="Z38" s="497">
        <f>'Facility Repayment Plan'!I31</f>
        <v>439654354421.42676</v>
      </c>
      <c r="AA38" s="497">
        <f>AA37</f>
        <v>1687.6580994790008</v>
      </c>
      <c r="AB38" s="498">
        <f t="shared" si="72"/>
        <v>260511506.77803344</v>
      </c>
      <c r="AC38" s="458">
        <f>'Facility Repayment Plan'!J31</f>
        <v>125018719416.99033</v>
      </c>
      <c r="AD38" s="458">
        <f>AD37</f>
        <v>1856.423909426901</v>
      </c>
      <c r="AE38" s="483">
        <f t="shared" si="73"/>
        <v>67343842.525484934</v>
      </c>
      <c r="AF38" s="497">
        <f>'Facility Repayment Plan'!K31</f>
        <v>-221080479087.88977</v>
      </c>
      <c r="AG38" s="497">
        <f>AG37</f>
        <v>2042.0663003695913</v>
      </c>
      <c r="AH38" s="498">
        <f t="shared" si="74"/>
        <v>-108263124.97683188</v>
      </c>
      <c r="AI38" s="458">
        <f>'Facility Repayment Plan'!L31</f>
        <v>-601789597443.25793</v>
      </c>
      <c r="AJ38" s="458">
        <f>AJ37</f>
        <v>2246.2729304065506</v>
      </c>
      <c r="AK38" s="483">
        <f t="shared" si="75"/>
        <v>-267905822.70621079</v>
      </c>
    </row>
    <row r="39" spans="3:37" ht="7.5" thickBot="1" x14ac:dyDescent="0.2">
      <c r="C39" s="481" t="s">
        <v>245</v>
      </c>
      <c r="D39" s="486">
        <f>D38</f>
        <v>0</v>
      </c>
      <c r="E39" s="286">
        <f>H39+K39+N39+Q39+T39+W39+Z39+AC39+AF39+AI39</f>
        <v>0</v>
      </c>
      <c r="F39" s="286">
        <f>J39+M39+P39+S39+V39+Y39+AB39+AE39+AH39+AK39</f>
        <v>0</v>
      </c>
      <c r="G39" s="482"/>
      <c r="H39" s="497"/>
      <c r="I39" s="497">
        <f>I38</f>
        <v>952.63900000000001</v>
      </c>
      <c r="J39" s="497">
        <f t="shared" si="66"/>
        <v>0</v>
      </c>
      <c r="K39" s="458">
        <f>H39-K33</f>
        <v>0</v>
      </c>
      <c r="L39" s="458">
        <f>L38</f>
        <v>1047.9029</v>
      </c>
      <c r="M39" s="483">
        <f t="shared" si="67"/>
        <v>0</v>
      </c>
      <c r="N39" s="497"/>
      <c r="O39" s="497">
        <f>O38</f>
        <v>1152.6931900000002</v>
      </c>
      <c r="P39" s="498">
        <f t="shared" si="68"/>
        <v>0</v>
      </c>
      <c r="Q39" s="458">
        <f>N39-Q33</f>
        <v>0</v>
      </c>
      <c r="R39" s="458">
        <f>R38</f>
        <v>1267.9625090000004</v>
      </c>
      <c r="S39" s="483">
        <f t="shared" si="69"/>
        <v>0</v>
      </c>
      <c r="T39" s="497">
        <f>Q39-T33</f>
        <v>0</v>
      </c>
      <c r="U39" s="497">
        <f>U38</f>
        <v>1394.7587599000005</v>
      </c>
      <c r="V39" s="498">
        <f t="shared" si="70"/>
        <v>0</v>
      </c>
      <c r="W39" s="458">
        <f>T39-W33</f>
        <v>0</v>
      </c>
      <c r="X39" s="458">
        <f>X38</f>
        <v>1534.2346358900006</v>
      </c>
      <c r="Y39" s="483">
        <f t="shared" si="71"/>
        <v>0</v>
      </c>
      <c r="Z39" s="497">
        <f>W39-Z33</f>
        <v>0</v>
      </c>
      <c r="AA39" s="497">
        <f>AA38</f>
        <v>1687.6580994790008</v>
      </c>
      <c r="AB39" s="498">
        <f t="shared" si="72"/>
        <v>0</v>
      </c>
      <c r="AC39" s="458">
        <f>Z39-AC33</f>
        <v>0</v>
      </c>
      <c r="AD39" s="458">
        <f>AD38</f>
        <v>1856.423909426901</v>
      </c>
      <c r="AE39" s="483">
        <f t="shared" si="73"/>
        <v>0</v>
      </c>
      <c r="AF39" s="497">
        <f>AC39-AF33</f>
        <v>0</v>
      </c>
      <c r="AG39" s="497">
        <f>AG38</f>
        <v>2042.0663003695913</v>
      </c>
      <c r="AH39" s="498">
        <f t="shared" si="74"/>
        <v>0</v>
      </c>
      <c r="AI39" s="458">
        <f>AF39-AI33</f>
        <v>0</v>
      </c>
      <c r="AJ39" s="458">
        <f>AJ38</f>
        <v>2246.2729304065506</v>
      </c>
      <c r="AK39" s="483">
        <f t="shared" si="75"/>
        <v>0</v>
      </c>
    </row>
    <row r="40" spans="3:37" s="460" customFormat="1" ht="7.5" thickBot="1" x14ac:dyDescent="0.2">
      <c r="C40" s="475" t="s">
        <v>246</v>
      </c>
      <c r="D40" s="512"/>
      <c r="E40" s="499">
        <f t="shared" ref="E40:AI40" si="76">SUM(E37:E39)</f>
        <v>3237476431093.1172</v>
      </c>
      <c r="F40" s="499">
        <f t="shared" si="76"/>
        <v>2679058227.0621057</v>
      </c>
      <c r="G40" s="484">
        <f t="shared" si="76"/>
        <v>0</v>
      </c>
      <c r="H40" s="499">
        <f t="shared" si="76"/>
        <v>161457830387.20001</v>
      </c>
      <c r="I40" s="499"/>
      <c r="J40" s="499">
        <f t="shared" si="76"/>
        <v>169484800</v>
      </c>
      <c r="K40" s="484">
        <f t="shared" si="76"/>
        <v>339061443813.12</v>
      </c>
      <c r="L40" s="484"/>
      <c r="M40" s="484">
        <f t="shared" si="76"/>
        <v>323561890.90909088</v>
      </c>
      <c r="N40" s="499">
        <f t="shared" si="76"/>
        <v>534425418581.63208</v>
      </c>
      <c r="O40" s="499"/>
      <c r="P40" s="499">
        <f t="shared" ref="P40" si="77">SUM(P37:P39)</f>
        <v>463631973.55371898</v>
      </c>
      <c r="Q40" s="484">
        <f t="shared" si="76"/>
        <v>749325790826.99536</v>
      </c>
      <c r="R40" s="484"/>
      <c r="S40" s="484">
        <f t="shared" ref="S40" si="78">SUM(S37:S39)</f>
        <v>590968412.32156265</v>
      </c>
      <c r="T40" s="499">
        <f t="shared" si="76"/>
        <v>985716200296.8949</v>
      </c>
      <c r="U40" s="499"/>
      <c r="V40" s="499">
        <f t="shared" ref="V40" si="79">SUM(V37:V39)</f>
        <v>706728811.20142055</v>
      </c>
      <c r="W40" s="484">
        <f t="shared" si="76"/>
        <v>725686749880.00537</v>
      </c>
      <c r="X40" s="484"/>
      <c r="Y40" s="484">
        <f t="shared" ref="Y40" si="80">SUM(Y37:Y39)</f>
        <v>472995937.45583683</v>
      </c>
      <c r="Z40" s="499">
        <f t="shared" si="76"/>
        <v>439654354421.42676</v>
      </c>
      <c r="AA40" s="499"/>
      <c r="AB40" s="499">
        <f t="shared" ref="AB40" si="81">SUM(AB37:AB39)</f>
        <v>260511506.77803344</v>
      </c>
      <c r="AC40" s="484">
        <f t="shared" si="76"/>
        <v>125018719416.99033</v>
      </c>
      <c r="AD40" s="484"/>
      <c r="AE40" s="484">
        <f t="shared" ref="AE40" si="82">SUM(AE37:AE39)</f>
        <v>67343842.525484934</v>
      </c>
      <c r="AF40" s="499">
        <f t="shared" si="76"/>
        <v>-221080479087.88977</v>
      </c>
      <c r="AG40" s="499"/>
      <c r="AH40" s="499">
        <f t="shared" ref="AH40" si="83">SUM(AH37:AH39)</f>
        <v>-108263124.97683188</v>
      </c>
      <c r="AI40" s="484">
        <f t="shared" si="76"/>
        <v>-601789597443.25793</v>
      </c>
      <c r="AJ40" s="484"/>
      <c r="AK40" s="484">
        <f t="shared" ref="AK40" si="84">SUM(AK37:AK39)</f>
        <v>-267905822.70621079</v>
      </c>
    </row>
    <row r="41" spans="3:37" s="460" customFormat="1" ht="7.5" thickBot="1" x14ac:dyDescent="0.2">
      <c r="C41" s="480" t="s">
        <v>247</v>
      </c>
      <c r="D41" s="513"/>
      <c r="E41" s="502">
        <f t="shared" ref="E41:AI41" si="85">E40+E35</f>
        <v>3564159105297.8369</v>
      </c>
      <c r="F41" s="502">
        <f t="shared" si="85"/>
        <v>2870726915.7079239</v>
      </c>
      <c r="G41" s="459">
        <f t="shared" si="85"/>
        <v>0</v>
      </c>
      <c r="H41" s="502">
        <f t="shared" si="85"/>
        <v>161407753937.42938</v>
      </c>
      <c r="I41" s="502">
        <f>I39</f>
        <v>952.63900000000001</v>
      </c>
      <c r="J41" s="497">
        <f>H41/I41</f>
        <v>169432233.97050655</v>
      </c>
      <c r="K41" s="459">
        <f t="shared" si="85"/>
        <v>344105925807.30469</v>
      </c>
      <c r="L41" s="459">
        <f>L39</f>
        <v>1047.9029</v>
      </c>
      <c r="M41" s="459">
        <f t="shared" si="85"/>
        <v>328375773.94556749</v>
      </c>
      <c r="N41" s="502">
        <f t="shared" si="85"/>
        <v>550070317187.86389</v>
      </c>
      <c r="O41" s="502">
        <f>O39</f>
        <v>1152.6931900000002</v>
      </c>
      <c r="P41" s="502">
        <f t="shared" ref="P41" si="86">P40+P35</f>
        <v>477204447.77492249</v>
      </c>
      <c r="Q41" s="459">
        <f t="shared" si="85"/>
        <v>770622429217.71082</v>
      </c>
      <c r="R41" s="459">
        <f>R39</f>
        <v>1267.9625090000004</v>
      </c>
      <c r="S41" s="459">
        <f t="shared" ref="S41" si="87">S40+S35</f>
        <v>607764365.07217777</v>
      </c>
      <c r="T41" s="502">
        <f t="shared" si="85"/>
        <v>1012757375323.0449</v>
      </c>
      <c r="U41" s="502">
        <f>U39</f>
        <v>1394.7587599000005</v>
      </c>
      <c r="V41" s="502">
        <f t="shared" ref="V41" si="88">V40+V35</f>
        <v>726116518.81337261</v>
      </c>
      <c r="W41" s="459">
        <f t="shared" si="85"/>
        <v>785373927684.32239</v>
      </c>
      <c r="X41" s="459">
        <f>X39</f>
        <v>1534.2346358900006</v>
      </c>
      <c r="Y41" s="459">
        <f t="shared" ref="Y41" si="89">Y40+Y35</f>
        <v>511899490.02078903</v>
      </c>
      <c r="Z41" s="502">
        <f t="shared" si="85"/>
        <v>470594118296.75378</v>
      </c>
      <c r="AA41" s="502">
        <f>AA39</f>
        <v>1687.6580994790008</v>
      </c>
      <c r="AB41" s="502">
        <f t="shared" ref="AB41" si="90">AB40+AB35</f>
        <v>278844464.07837671</v>
      </c>
      <c r="AC41" s="459">
        <f t="shared" si="85"/>
        <v>162956966213.38907</v>
      </c>
      <c r="AD41" s="459">
        <f>AD39</f>
        <v>1856.423909426901</v>
      </c>
      <c r="AE41" s="459">
        <f t="shared" ref="AE41" si="91">AE40+AE35</f>
        <v>87780040.639368683</v>
      </c>
      <c r="AF41" s="502">
        <f t="shared" si="85"/>
        <v>-176434062663.94675</v>
      </c>
      <c r="AG41" s="502">
        <f>AG39</f>
        <v>2042.0663003695913</v>
      </c>
      <c r="AH41" s="502">
        <f t="shared" ref="AH41" si="92">AH40+AH35</f>
        <v>-86399771.952563018</v>
      </c>
      <c r="AI41" s="459">
        <f t="shared" si="85"/>
        <v>-517295645706.03546</v>
      </c>
      <c r="AJ41" s="459">
        <f>AJ39</f>
        <v>2246.2729304065506</v>
      </c>
      <c r="AK41" s="459">
        <f t="shared" ref="AK41" si="93">AK40+AK35</f>
        <v>-230290646.65459448</v>
      </c>
    </row>
    <row r="42" spans="3:37" s="460" customFormat="1" ht="7.5" thickBot="1" x14ac:dyDescent="0.2">
      <c r="C42" s="475" t="s">
        <v>248</v>
      </c>
      <c r="D42" s="512"/>
      <c r="E42" s="499">
        <f t="shared" ref="E42:AI42" si="94">E26-E41</f>
        <v>2230501600005.9316</v>
      </c>
      <c r="F42" s="499">
        <f t="shared" si="94"/>
        <v>1222489740.8371677</v>
      </c>
      <c r="G42" s="484">
        <f t="shared" si="94"/>
        <v>500000000</v>
      </c>
      <c r="H42" s="499">
        <f t="shared" si="94"/>
        <v>-1452981541.0539551</v>
      </c>
      <c r="I42" s="499"/>
      <c r="J42" s="499">
        <f t="shared" si="94"/>
        <v>-1525217.3604628444</v>
      </c>
      <c r="K42" s="484">
        <f t="shared" si="94"/>
        <v>8050429742.8713989</v>
      </c>
      <c r="L42" s="484"/>
      <c r="M42" s="484">
        <f t="shared" si="94"/>
        <v>7682419.5666139126</v>
      </c>
      <c r="N42" s="499">
        <f t="shared" si="94"/>
        <v>37524200512.939087</v>
      </c>
      <c r="O42" s="499"/>
      <c r="P42" s="499">
        <f t="shared" ref="P42" si="95">P26-P41</f>
        <v>32553502.387690008</v>
      </c>
      <c r="Q42" s="484">
        <f t="shared" si="94"/>
        <v>77645408959.182251</v>
      </c>
      <c r="R42" s="484"/>
      <c r="S42" s="484">
        <f t="shared" ref="S42" si="96">S26-S41</f>
        <v>61236360.229939818</v>
      </c>
      <c r="T42" s="499">
        <f t="shared" si="94"/>
        <v>128588877123.08301</v>
      </c>
      <c r="U42" s="499"/>
      <c r="V42" s="499">
        <f t="shared" ref="V42" si="97">V26-V41</f>
        <v>92194349.890516043</v>
      </c>
      <c r="W42" s="484">
        <f t="shared" si="94"/>
        <v>241034872510.73987</v>
      </c>
      <c r="X42" s="484"/>
      <c r="Y42" s="484">
        <f t="shared" ref="Y42" si="98">Y26-Y41</f>
        <v>157104309.12734354</v>
      </c>
      <c r="Z42" s="499">
        <f t="shared" si="94"/>
        <v>299322978499.36975</v>
      </c>
      <c r="AA42" s="499"/>
      <c r="AB42" s="499">
        <f t="shared" ref="AB42" si="99">AB26-AB41</f>
        <v>177359963.24834639</v>
      </c>
      <c r="AC42" s="484">
        <f t="shared" si="94"/>
        <v>370795681368.14404</v>
      </c>
      <c r="AD42" s="484"/>
      <c r="AE42" s="484">
        <f t="shared" ref="AE42" si="100">AE26-AE41</f>
        <v>199736536.18941638</v>
      </c>
      <c r="AF42" s="499">
        <f t="shared" si="94"/>
        <v>454906053477.56238</v>
      </c>
      <c r="AG42" s="499"/>
      <c r="AH42" s="499">
        <f t="shared" ref="AH42" si="101">AH26-AH41</f>
        <v>222767523.95122015</v>
      </c>
      <c r="AI42" s="484">
        <f t="shared" si="94"/>
        <v>614086079353.09412</v>
      </c>
      <c r="AJ42" s="484"/>
      <c r="AK42" s="484">
        <f t="shared" ref="AK42" si="102">AK26-AK41</f>
        <v>273379993.6065433</v>
      </c>
    </row>
    <row r="43" spans="3:37" x14ac:dyDescent="0.15">
      <c r="C43" s="480" t="s">
        <v>249</v>
      </c>
      <c r="D43" s="513"/>
      <c r="E43" s="505"/>
      <c r="F43" s="505"/>
      <c r="G43" s="480"/>
      <c r="H43" s="497"/>
      <c r="I43" s="497"/>
      <c r="J43" s="497"/>
      <c r="K43" s="458"/>
      <c r="L43" s="458"/>
      <c r="M43" s="483"/>
      <c r="N43" s="497"/>
      <c r="O43" s="497"/>
      <c r="P43" s="498"/>
      <c r="Q43" s="458"/>
      <c r="R43" s="458"/>
      <c r="S43" s="483"/>
      <c r="T43" s="497"/>
      <c r="U43" s="497"/>
      <c r="V43" s="498"/>
      <c r="W43" s="458"/>
      <c r="X43" s="458"/>
      <c r="Y43" s="483"/>
      <c r="Z43" s="497"/>
      <c r="AA43" s="497"/>
      <c r="AB43" s="498"/>
      <c r="AC43" s="458"/>
      <c r="AD43" s="458"/>
      <c r="AE43" s="483"/>
      <c r="AF43" s="497"/>
      <c r="AG43" s="497"/>
      <c r="AH43" s="498"/>
      <c r="AI43" s="458"/>
      <c r="AJ43" s="458"/>
      <c r="AK43" s="483"/>
    </row>
    <row r="44" spans="3:37" x14ac:dyDescent="0.15">
      <c r="C44" s="481" t="s">
        <v>250</v>
      </c>
      <c r="D44" s="486">
        <f>D38</f>
        <v>0</v>
      </c>
      <c r="E44" s="286">
        <f>H44+K44+N44+Q44+T44+W44+Z44+AC44+AF44+AI44</f>
        <v>5000000000</v>
      </c>
      <c r="F44" s="286">
        <f>J44+M44+P44+S44+V44+Y44+AB44+AE44+AH44+AK44</f>
        <v>3547526.3012931175</v>
      </c>
      <c r="G44" s="482">
        <f>'Cashflow Statement'!K11</f>
        <v>500000000</v>
      </c>
      <c r="H44" s="497">
        <f>G44</f>
        <v>500000000</v>
      </c>
      <c r="I44" s="497">
        <f>I41</f>
        <v>952.63900000000001</v>
      </c>
      <c r="J44" s="497">
        <f t="shared" ref="J44:J46" si="103">H44/I44</f>
        <v>524857.78978185856</v>
      </c>
      <c r="K44" s="458">
        <f>H44</f>
        <v>500000000</v>
      </c>
      <c r="L44" s="458">
        <f>L41</f>
        <v>1047.9029</v>
      </c>
      <c r="M44" s="483">
        <f t="shared" ref="M44:M46" si="104">K44/L44</f>
        <v>477143.44525623508</v>
      </c>
      <c r="N44" s="497">
        <f>K44</f>
        <v>500000000</v>
      </c>
      <c r="O44" s="497">
        <f>O41</f>
        <v>1152.6931900000002</v>
      </c>
      <c r="P44" s="498">
        <f t="shared" ref="P44:P46" si="105">N44/O44</f>
        <v>433766.76841475914</v>
      </c>
      <c r="Q44" s="458">
        <f>N44</f>
        <v>500000000</v>
      </c>
      <c r="R44" s="458">
        <f>R41</f>
        <v>1267.9625090000004</v>
      </c>
      <c r="S44" s="483">
        <f t="shared" ref="S44:S46" si="106">Q44/R44</f>
        <v>394333.4258315991</v>
      </c>
      <c r="T44" s="497">
        <f>Q44</f>
        <v>500000000</v>
      </c>
      <c r="U44" s="497">
        <f>U41</f>
        <v>1394.7587599000005</v>
      </c>
      <c r="V44" s="498">
        <f t="shared" ref="V44:V46" si="107">T44/U44</f>
        <v>358484.932574181</v>
      </c>
      <c r="W44" s="458">
        <f>T44</f>
        <v>500000000</v>
      </c>
      <c r="X44" s="458">
        <f>X41</f>
        <v>1534.2346358900006</v>
      </c>
      <c r="Y44" s="483">
        <f t="shared" ref="Y44:Y46" si="108">W44/X44</f>
        <v>325895.39324925543</v>
      </c>
      <c r="Z44" s="497">
        <f>W44</f>
        <v>500000000</v>
      </c>
      <c r="AA44" s="497">
        <f>AA41</f>
        <v>1687.6580994790008</v>
      </c>
      <c r="AB44" s="498">
        <f t="shared" ref="AB44:AB46" si="109">Z44/AA44</f>
        <v>296268.53931750491</v>
      </c>
      <c r="AC44" s="458">
        <f>Z44</f>
        <v>500000000</v>
      </c>
      <c r="AD44" s="458">
        <f>AD41</f>
        <v>1856.423909426901</v>
      </c>
      <c r="AE44" s="483">
        <f t="shared" ref="AE44:AE46" si="110">AC44/AD44</f>
        <v>269335.03574318631</v>
      </c>
      <c r="AF44" s="497">
        <f>AC44</f>
        <v>500000000</v>
      </c>
      <c r="AG44" s="497">
        <f>AG41</f>
        <v>2042.0663003695913</v>
      </c>
      <c r="AH44" s="498">
        <f t="shared" ref="AH44:AH46" si="111">AF44/AG44</f>
        <v>244850.03249380569</v>
      </c>
      <c r="AI44" s="458">
        <f>AF44</f>
        <v>500000000</v>
      </c>
      <c r="AJ44" s="458">
        <f>AJ41</f>
        <v>2246.2729304065506</v>
      </c>
      <c r="AK44" s="483">
        <f t="shared" ref="AK44:AK46" si="112">AI44/AJ44</f>
        <v>222590.93863073242</v>
      </c>
    </row>
    <row r="45" spans="3:37" x14ac:dyDescent="0.15">
      <c r="C45" s="481" t="s">
        <v>251</v>
      </c>
      <c r="D45" s="486">
        <f>D44</f>
        <v>0</v>
      </c>
      <c r="E45" s="286">
        <f>H45+K45+N45+Q45+T45+W45+Z45+AC45+AF45+AI45</f>
        <v>0</v>
      </c>
      <c r="F45" s="286">
        <f>J45+M45+P45+S45+V45+Y45+AB45+AE45+AH45+AK45</f>
        <v>0</v>
      </c>
      <c r="G45" s="482"/>
      <c r="H45" s="497"/>
      <c r="I45" s="497">
        <f>I44</f>
        <v>952.63900000000001</v>
      </c>
      <c r="J45" s="497">
        <f t="shared" si="103"/>
        <v>0</v>
      </c>
      <c r="K45" s="458">
        <f>H45</f>
        <v>0</v>
      </c>
      <c r="L45" s="458">
        <f>L44</f>
        <v>1047.9029</v>
      </c>
      <c r="M45" s="483">
        <f t="shared" si="104"/>
        <v>0</v>
      </c>
      <c r="N45" s="497"/>
      <c r="O45" s="497">
        <f>O44</f>
        <v>1152.6931900000002</v>
      </c>
      <c r="P45" s="498">
        <f t="shared" si="105"/>
        <v>0</v>
      </c>
      <c r="Q45" s="458"/>
      <c r="R45" s="458">
        <f>R44</f>
        <v>1267.9625090000004</v>
      </c>
      <c r="S45" s="483">
        <f t="shared" si="106"/>
        <v>0</v>
      </c>
      <c r="T45" s="497"/>
      <c r="U45" s="497">
        <f>U44</f>
        <v>1394.7587599000005</v>
      </c>
      <c r="V45" s="498">
        <f t="shared" si="107"/>
        <v>0</v>
      </c>
      <c r="W45" s="458"/>
      <c r="X45" s="458">
        <f>X44</f>
        <v>1534.2346358900006</v>
      </c>
      <c r="Y45" s="483">
        <f t="shared" si="108"/>
        <v>0</v>
      </c>
      <c r="Z45" s="497"/>
      <c r="AA45" s="497">
        <f>AA44</f>
        <v>1687.6580994790008</v>
      </c>
      <c r="AB45" s="498">
        <f t="shared" si="109"/>
        <v>0</v>
      </c>
      <c r="AC45" s="458"/>
      <c r="AD45" s="458">
        <f>AD44</f>
        <v>1856.423909426901</v>
      </c>
      <c r="AE45" s="483">
        <f t="shared" si="110"/>
        <v>0</v>
      </c>
      <c r="AF45" s="497"/>
      <c r="AG45" s="497">
        <f>AG44</f>
        <v>2042.0663003695913</v>
      </c>
      <c r="AH45" s="498">
        <f t="shared" si="111"/>
        <v>0</v>
      </c>
      <c r="AI45" s="458"/>
      <c r="AJ45" s="458">
        <f>AJ44</f>
        <v>2246.2729304065506</v>
      </c>
      <c r="AK45" s="483">
        <f t="shared" si="112"/>
        <v>0</v>
      </c>
    </row>
    <row r="46" spans="3:37" ht="7.5" thickBot="1" x14ac:dyDescent="0.2">
      <c r="C46" s="481" t="s">
        <v>252</v>
      </c>
      <c r="D46" s="486">
        <f>D45</f>
        <v>0</v>
      </c>
      <c r="E46" s="286">
        <f>H46+K46+N46+Q46+T46+W46+Z46+AC46+AF46+AI46</f>
        <v>2225501600005.9302</v>
      </c>
      <c r="F46" s="286">
        <f>J46+M46+P46+S46+V46+Y46+AB46+AE46+AH46+AK46</f>
        <v>1218942214.5358727</v>
      </c>
      <c r="G46" s="486"/>
      <c r="H46" s="497">
        <f>'Income Statement'!K75</f>
        <v>-1952981541.0539834</v>
      </c>
      <c r="I46" s="497">
        <f>I45</f>
        <v>952.63900000000001</v>
      </c>
      <c r="J46" s="497">
        <f t="shared" si="103"/>
        <v>-2050075.1502447238</v>
      </c>
      <c r="K46" s="458">
        <f>'Income Statement'!N75+H46</f>
        <v>7550429742.8714256</v>
      </c>
      <c r="L46" s="458">
        <f>L45</f>
        <v>1047.9029</v>
      </c>
      <c r="M46" s="483">
        <f t="shared" si="104"/>
        <v>7205276.1213576421</v>
      </c>
      <c r="N46" s="497">
        <f>K46+'Income Statement'!Q75</f>
        <v>37024200512.939026</v>
      </c>
      <c r="O46" s="497">
        <f>O45</f>
        <v>1152.6931900000002</v>
      </c>
      <c r="P46" s="498">
        <f t="shared" si="105"/>
        <v>32119735.619275257</v>
      </c>
      <c r="Q46" s="458">
        <f>N46+'Income Statement'!T75</f>
        <v>77145408959.182343</v>
      </c>
      <c r="R46" s="458">
        <f>R45</f>
        <v>1267.9625090000004</v>
      </c>
      <c r="S46" s="483">
        <f t="shared" si="106"/>
        <v>60842026.804108225</v>
      </c>
      <c r="T46" s="497">
        <f>Q46+'Income Statement'!W75</f>
        <v>128088877123.08279</v>
      </c>
      <c r="U46" s="497">
        <f>U45</f>
        <v>1394.7587599000005</v>
      </c>
      <c r="V46" s="498">
        <f t="shared" si="107"/>
        <v>91835864.957941785</v>
      </c>
      <c r="W46" s="458">
        <f>T46+'Income Statement'!Z75</f>
        <v>240534872510.73975</v>
      </c>
      <c r="X46" s="458">
        <f>X45</f>
        <v>1534.2346358900006</v>
      </c>
      <c r="Y46" s="483">
        <f t="shared" si="108"/>
        <v>156778413.73409411</v>
      </c>
      <c r="Z46" s="497">
        <f>W46+'Income Statement'!AC75</f>
        <v>298822978499.36957</v>
      </c>
      <c r="AA46" s="497">
        <f>AA45</f>
        <v>1687.6580994790008</v>
      </c>
      <c r="AB46" s="498">
        <f t="shared" si="109"/>
        <v>177063694.70902881</v>
      </c>
      <c r="AC46" s="458">
        <f>Z46+'Income Statement'!AF75</f>
        <v>370295681368.1438</v>
      </c>
      <c r="AD46" s="458">
        <f>AD45</f>
        <v>1856.423909426901</v>
      </c>
      <c r="AE46" s="483">
        <f t="shared" si="110"/>
        <v>199467201.15367305</v>
      </c>
      <c r="AF46" s="497">
        <f>AC46+'Income Statement'!AI75</f>
        <v>454406053477.56201</v>
      </c>
      <c r="AG46" s="497">
        <f>AG45</f>
        <v>2042.0663003695913</v>
      </c>
      <c r="AH46" s="498">
        <f t="shared" si="111"/>
        <v>222522673.91872612</v>
      </c>
      <c r="AI46" s="458">
        <f>AF46+'Income Statement'!AL75</f>
        <v>613586079353.09363</v>
      </c>
      <c r="AJ46" s="458">
        <f>AJ45</f>
        <v>2246.2729304065506</v>
      </c>
      <c r="AK46" s="483">
        <f t="shared" si="112"/>
        <v>273157402.66791236</v>
      </c>
    </row>
    <row r="47" spans="3:37" ht="7.5" thickBot="1" x14ac:dyDescent="0.2">
      <c r="C47" s="475" t="s">
        <v>253</v>
      </c>
      <c r="D47" s="512"/>
      <c r="E47" s="500">
        <f t="shared" ref="E47:AI47" si="113">SUM(E44:E46)</f>
        <v>2230501600005.9302</v>
      </c>
      <c r="F47" s="500">
        <f t="shared" si="113"/>
        <v>1222489740.8371658</v>
      </c>
      <c r="G47" s="487">
        <f t="shared" si="113"/>
        <v>500000000</v>
      </c>
      <c r="H47" s="500">
        <f t="shared" si="113"/>
        <v>-1452981541.0539834</v>
      </c>
      <c r="I47" s="500"/>
      <c r="J47" s="500">
        <f t="shared" si="113"/>
        <v>-1525217.3604628653</v>
      </c>
      <c r="K47" s="487">
        <f t="shared" si="113"/>
        <v>8050429742.8714256</v>
      </c>
      <c r="L47" s="487"/>
      <c r="M47" s="487">
        <f t="shared" si="113"/>
        <v>7682419.5666138772</v>
      </c>
      <c r="N47" s="500">
        <f t="shared" si="113"/>
        <v>37524200512.939026</v>
      </c>
      <c r="O47" s="500"/>
      <c r="P47" s="500">
        <f t="shared" ref="P47" si="114">SUM(P44:P46)</f>
        <v>32553502.387690015</v>
      </c>
      <c r="Q47" s="487">
        <f t="shared" si="113"/>
        <v>77645408959.182343</v>
      </c>
      <c r="R47" s="487"/>
      <c r="S47" s="487">
        <f t="shared" ref="S47" si="115">SUM(S44:S46)</f>
        <v>61236360.229939826</v>
      </c>
      <c r="T47" s="500">
        <f t="shared" si="113"/>
        <v>128588877123.08279</v>
      </c>
      <c r="U47" s="500"/>
      <c r="V47" s="500">
        <f t="shared" ref="V47" si="116">SUM(V44:V46)</f>
        <v>92194349.890515968</v>
      </c>
      <c r="W47" s="487">
        <f t="shared" si="113"/>
        <v>241034872510.73975</v>
      </c>
      <c r="X47" s="487"/>
      <c r="Y47" s="487">
        <f t="shared" ref="Y47" si="117">SUM(Y44:Y46)</f>
        <v>157104309.12734336</v>
      </c>
      <c r="Z47" s="500">
        <f t="shared" si="113"/>
        <v>299322978499.36957</v>
      </c>
      <c r="AA47" s="500"/>
      <c r="AB47" s="500">
        <f t="shared" ref="AB47" si="118">SUM(AB44:AB46)</f>
        <v>177359963.24834633</v>
      </c>
      <c r="AC47" s="487">
        <f t="shared" si="113"/>
        <v>370795681368.1438</v>
      </c>
      <c r="AD47" s="487"/>
      <c r="AE47" s="487">
        <f t="shared" ref="AE47" si="119">SUM(AE44:AE46)</f>
        <v>199736536.18941623</v>
      </c>
      <c r="AF47" s="500">
        <f t="shared" si="113"/>
        <v>454906053477.56201</v>
      </c>
      <c r="AG47" s="500"/>
      <c r="AH47" s="500">
        <f t="shared" ref="AH47" si="120">SUM(AH44:AH46)</f>
        <v>222767523.95121992</v>
      </c>
      <c r="AI47" s="487">
        <f t="shared" si="113"/>
        <v>614086079353.09363</v>
      </c>
      <c r="AJ47" s="487"/>
      <c r="AK47" s="487">
        <f t="shared" ref="AK47" si="121">SUM(AK44:AK46)</f>
        <v>273379993.60654312</v>
      </c>
    </row>
    <row r="48" spans="3:37" ht="7.5" thickBot="1" x14ac:dyDescent="0.2">
      <c r="C48" s="489" t="s">
        <v>254</v>
      </c>
      <c r="D48" s="514"/>
      <c r="E48" s="503">
        <f t="shared" ref="E48:AI48" si="122">SUM(E47,E41)</f>
        <v>5794660705303.7676</v>
      </c>
      <c r="F48" s="503">
        <f t="shared" si="122"/>
        <v>4093216656.5450897</v>
      </c>
      <c r="G48" s="490">
        <f t="shared" si="122"/>
        <v>500000000</v>
      </c>
      <c r="H48" s="503">
        <f t="shared" si="122"/>
        <v>159954772396.3754</v>
      </c>
      <c r="I48" s="503"/>
      <c r="J48" s="503">
        <f t="shared" si="122"/>
        <v>167907016.61004367</v>
      </c>
      <c r="K48" s="490">
        <f t="shared" si="122"/>
        <v>352156355550.17609</v>
      </c>
      <c r="L48" s="490"/>
      <c r="M48" s="490">
        <f t="shared" si="122"/>
        <v>336058193.51218134</v>
      </c>
      <c r="N48" s="503">
        <f t="shared" si="122"/>
        <v>587594517700.80298</v>
      </c>
      <c r="O48" s="503"/>
      <c r="P48" s="503">
        <f t="shared" ref="P48" si="123">SUM(P47,P41)</f>
        <v>509757950.1626125</v>
      </c>
      <c r="Q48" s="490">
        <f t="shared" si="122"/>
        <v>848267838176.89319</v>
      </c>
      <c r="R48" s="490"/>
      <c r="S48" s="490">
        <f t="shared" ref="S48" si="124">SUM(S47,S41)</f>
        <v>669000725.30211759</v>
      </c>
      <c r="T48" s="503">
        <f t="shared" si="122"/>
        <v>1141346252446.1277</v>
      </c>
      <c r="U48" s="503"/>
      <c r="V48" s="503">
        <f t="shared" ref="V48" si="125">SUM(V47,V41)</f>
        <v>818310868.70388854</v>
      </c>
      <c r="W48" s="490">
        <f t="shared" si="122"/>
        <v>1026408800195.0621</v>
      </c>
      <c r="X48" s="490"/>
      <c r="Y48" s="490">
        <f t="shared" ref="Y48" si="126">SUM(Y47,Y41)</f>
        <v>669003799.14813232</v>
      </c>
      <c r="Z48" s="503">
        <f t="shared" si="122"/>
        <v>769917096796.12329</v>
      </c>
      <c r="AA48" s="503"/>
      <c r="AB48" s="503">
        <f t="shared" ref="AB48" si="127">SUM(AB47,AB41)</f>
        <v>456204427.32672304</v>
      </c>
      <c r="AC48" s="490">
        <f t="shared" si="122"/>
        <v>533752647581.53284</v>
      </c>
      <c r="AD48" s="490"/>
      <c r="AE48" s="490">
        <f t="shared" ref="AE48" si="128">SUM(AE47,AE41)</f>
        <v>287516576.82878494</v>
      </c>
      <c r="AF48" s="503">
        <f t="shared" si="122"/>
        <v>278471990813.61523</v>
      </c>
      <c r="AG48" s="503"/>
      <c r="AH48" s="503">
        <f t="shared" ref="AH48" si="129">SUM(AH47,AH41)</f>
        <v>136367751.9986569</v>
      </c>
      <c r="AI48" s="490">
        <f t="shared" si="122"/>
        <v>96790433647.058167</v>
      </c>
      <c r="AJ48" s="490"/>
      <c r="AK48" s="490">
        <f t="shared" ref="AK48" si="130">SUM(AK47,AK41)</f>
        <v>43089346.951948643</v>
      </c>
    </row>
    <row r="49" spans="3:37" x14ac:dyDescent="0.15">
      <c r="E49" s="374">
        <f>E48-E26</f>
        <v>0</v>
      </c>
      <c r="F49" s="374">
        <f>F48-F26</f>
        <v>0</v>
      </c>
      <c r="G49" s="374">
        <f t="shared" ref="G49:AI49" si="131">G48-G26</f>
        <v>0</v>
      </c>
      <c r="H49" s="266">
        <f t="shared" si="131"/>
        <v>0</v>
      </c>
      <c r="I49" s="266"/>
      <c r="J49" s="266">
        <f t="shared" si="131"/>
        <v>0</v>
      </c>
      <c r="K49" s="266">
        <f t="shared" si="131"/>
        <v>0</v>
      </c>
      <c r="L49" s="266"/>
      <c r="M49" s="374">
        <f t="shared" si="131"/>
        <v>0</v>
      </c>
      <c r="N49" s="266">
        <f t="shared" si="131"/>
        <v>0</v>
      </c>
      <c r="O49" s="266"/>
      <c r="P49" s="374">
        <f t="shared" ref="P49" si="132">P48-P26</f>
        <v>0</v>
      </c>
      <c r="Q49" s="266">
        <f t="shared" si="131"/>
        <v>0</v>
      </c>
      <c r="R49" s="266"/>
      <c r="S49" s="374">
        <f t="shared" ref="S49" si="133">S48-S26</f>
        <v>0</v>
      </c>
      <c r="T49" s="266">
        <f t="shared" si="131"/>
        <v>0</v>
      </c>
      <c r="U49" s="266"/>
      <c r="V49" s="374">
        <f t="shared" ref="V49" si="134">V48-V26</f>
        <v>0</v>
      </c>
      <c r="W49" s="266">
        <f t="shared" si="131"/>
        <v>0</v>
      </c>
      <c r="X49" s="266"/>
      <c r="Y49" s="374">
        <f t="shared" ref="Y49" si="135">Y48-Y26</f>
        <v>0</v>
      </c>
      <c r="Z49" s="266">
        <f t="shared" si="131"/>
        <v>0</v>
      </c>
      <c r="AA49" s="266"/>
      <c r="AB49" s="374">
        <f t="shared" ref="AB49" si="136">AB48-AB26</f>
        <v>0</v>
      </c>
      <c r="AC49" s="266">
        <f t="shared" si="131"/>
        <v>0</v>
      </c>
      <c r="AD49" s="266"/>
      <c r="AE49" s="374">
        <f t="shared" ref="AE49" si="137">AE48-AE26</f>
        <v>0</v>
      </c>
      <c r="AF49" s="266">
        <f t="shared" si="131"/>
        <v>0</v>
      </c>
      <c r="AG49" s="266"/>
      <c r="AH49" s="374">
        <f t="shared" ref="AH49" si="138">AH48-AH26</f>
        <v>-2.384185791015625E-7</v>
      </c>
      <c r="AI49" s="266">
        <f t="shared" si="131"/>
        <v>-5.18798828125E-4</v>
      </c>
      <c r="AJ49" s="266"/>
      <c r="AK49" s="374">
        <f t="shared" ref="AK49" si="139">AK48-AK26</f>
        <v>-1.862645149230957E-7</v>
      </c>
    </row>
    <row r="50" spans="3:37" x14ac:dyDescent="0.15">
      <c r="C50" s="462" t="s">
        <v>255</v>
      </c>
      <c r="E50" s="491">
        <f>E12/E35</f>
        <v>4.8503676010903964</v>
      </c>
      <c r="F50" s="491">
        <f>F12/F35</f>
        <v>6.0473697325808677</v>
      </c>
      <c r="H50" s="491">
        <f t="shared" ref="H50:AF50" si="140">H12/H35</f>
        <v>-291.4189227619479</v>
      </c>
      <c r="I50" s="491"/>
      <c r="J50" s="491">
        <f t="shared" si="140"/>
        <v>-291.4189227619479</v>
      </c>
      <c r="K50" s="491">
        <f t="shared" si="140"/>
        <v>12.509280284840678</v>
      </c>
      <c r="L50" s="491"/>
      <c r="M50" s="491">
        <f t="shared" si="140"/>
        <v>12.509280284840678</v>
      </c>
      <c r="N50" s="491">
        <f t="shared" si="140"/>
        <v>10.011254936160322</v>
      </c>
      <c r="O50" s="491"/>
      <c r="P50" s="491">
        <f t="shared" ref="P50" si="141">P12/P35</f>
        <v>10.011254936160322</v>
      </c>
      <c r="Q50" s="491">
        <f t="shared" si="140"/>
        <v>13.022529219057448</v>
      </c>
      <c r="R50" s="491"/>
      <c r="S50" s="491">
        <f t="shared" ref="S50" si="142">S12/S35</f>
        <v>13.022529219057446</v>
      </c>
      <c r="T50" s="491">
        <f t="shared" si="140"/>
        <v>15.997870659151195</v>
      </c>
      <c r="U50" s="491"/>
      <c r="V50" s="491">
        <f t="shared" ref="V50" si="143">V12/V35</f>
        <v>15.997870659151197</v>
      </c>
      <c r="W50" s="491">
        <f t="shared" si="140"/>
        <v>6.9737069774529656</v>
      </c>
      <c r="X50" s="491"/>
      <c r="Y50" s="491">
        <f t="shared" ref="Y50" si="144">Y12/Y35</f>
        <v>6.9737069774529656</v>
      </c>
      <c r="Z50" s="491">
        <f t="shared" si="140"/>
        <v>8.3493302014238875</v>
      </c>
      <c r="AA50" s="491"/>
      <c r="AB50" s="491">
        <f t="shared" ref="AB50" si="145">AB12/AB35</f>
        <v>8.3493302014238857</v>
      </c>
      <c r="AC50" s="491">
        <f t="shared" si="140"/>
        <v>3.1825133199289537</v>
      </c>
      <c r="AD50" s="491"/>
      <c r="AE50" s="491">
        <f t="shared" ref="AE50" si="146">AE12/AE35</f>
        <v>3.1825133199289537</v>
      </c>
      <c r="AF50" s="491">
        <f t="shared" si="140"/>
        <v>-0.80554194165178195</v>
      </c>
      <c r="AG50" s="491"/>
      <c r="AH50" s="491">
        <f t="shared" ref="AH50" si="147">AH12/AH35</f>
        <v>-0.80554194165178195</v>
      </c>
      <c r="AI50" s="491">
        <f>AI12/AI35</f>
        <v>-1.4092014358744995</v>
      </c>
      <c r="AJ50" s="491"/>
      <c r="AK50" s="491">
        <f t="shared" ref="AK50" si="148">AK12/AK35</f>
        <v>-1.4092014358744995</v>
      </c>
    </row>
    <row r="51" spans="3:37" x14ac:dyDescent="0.15">
      <c r="C51" s="462" t="s">
        <v>256</v>
      </c>
      <c r="E51" s="374">
        <f>E40/E47</f>
        <v>1.4514566728329223</v>
      </c>
      <c r="F51" s="374">
        <f>F40/F47</f>
        <v>2.1914770632164782</v>
      </c>
      <c r="H51" s="374">
        <f t="shared" ref="H51:AI51" si="149">H40/H47</f>
        <v>-111.121735428297</v>
      </c>
      <c r="I51" s="374"/>
      <c r="J51" s="374">
        <f t="shared" si="149"/>
        <v>-111.12173542829699</v>
      </c>
      <c r="K51" s="374">
        <f t="shared" si="149"/>
        <v>42.117185621470142</v>
      </c>
      <c r="L51" s="374"/>
      <c r="M51" s="374">
        <f t="shared" si="149"/>
        <v>42.117185621470142</v>
      </c>
      <c r="N51" s="374">
        <f t="shared" si="149"/>
        <v>14.242153364396199</v>
      </c>
      <c r="O51" s="374"/>
      <c r="P51" s="374">
        <f t="shared" ref="P51" si="150">P40/P47</f>
        <v>14.242153364396197</v>
      </c>
      <c r="Q51" s="374">
        <f t="shared" si="149"/>
        <v>9.6506129708314212</v>
      </c>
      <c r="R51" s="374"/>
      <c r="S51" s="374">
        <f t="shared" ref="S51" si="151">S40/S47</f>
        <v>9.6506129708314212</v>
      </c>
      <c r="T51" s="374">
        <f t="shared" si="149"/>
        <v>7.6656412463527959</v>
      </c>
      <c r="U51" s="374"/>
      <c r="V51" s="374">
        <f t="shared" ref="V51" si="152">V40/V47</f>
        <v>7.6656412463527959</v>
      </c>
      <c r="W51" s="374">
        <f t="shared" si="149"/>
        <v>3.0107126919888785</v>
      </c>
      <c r="X51" s="374"/>
      <c r="Y51" s="374">
        <f t="shared" ref="Y51" si="153">Y40/Y47</f>
        <v>3.0107126919888785</v>
      </c>
      <c r="Z51" s="374">
        <f t="shared" si="149"/>
        <v>1.4688292780781371</v>
      </c>
      <c r="AA51" s="374"/>
      <c r="AB51" s="374">
        <f t="shared" ref="AB51" si="154">AB40/AB47</f>
        <v>1.4688292780781369</v>
      </c>
      <c r="AC51" s="374">
        <f t="shared" si="149"/>
        <v>0.33716336435123073</v>
      </c>
      <c r="AD51" s="374"/>
      <c r="AE51" s="374">
        <f t="shared" ref="AE51" si="155">AE40/AE47</f>
        <v>0.33716336435123079</v>
      </c>
      <c r="AF51" s="374">
        <f t="shared" si="149"/>
        <v>-0.48599150835172267</v>
      </c>
      <c r="AG51" s="374"/>
      <c r="AH51" s="374">
        <f t="shared" ref="AH51" si="156">AH40/AH47</f>
        <v>-0.48599150835172272</v>
      </c>
      <c r="AI51" s="374">
        <f t="shared" si="149"/>
        <v>-0.97997596375610829</v>
      </c>
      <c r="AJ51" s="374"/>
      <c r="AK51" s="374">
        <f t="shared" ref="AK51" si="157">AK40/AK47</f>
        <v>-0.97997596375610818</v>
      </c>
    </row>
  </sheetData>
  <mergeCells count="21">
    <mergeCell ref="W5:Y5"/>
    <mergeCell ref="Z5:AB5"/>
    <mergeCell ref="AC5:AE5"/>
    <mergeCell ref="AF5:AH5"/>
    <mergeCell ref="AI5:AK5"/>
    <mergeCell ref="Z4:AB4"/>
    <mergeCell ref="AC4:AE4"/>
    <mergeCell ref="AF4:AH4"/>
    <mergeCell ref="AI4:AK4"/>
    <mergeCell ref="E5:F5"/>
    <mergeCell ref="H5:J5"/>
    <mergeCell ref="K5:M5"/>
    <mergeCell ref="N5:P5"/>
    <mergeCell ref="Q5:S5"/>
    <mergeCell ref="T5:V5"/>
    <mergeCell ref="H4:J4"/>
    <mergeCell ref="K4:M4"/>
    <mergeCell ref="N4:P4"/>
    <mergeCell ref="Q4:S4"/>
    <mergeCell ref="T4:V4"/>
    <mergeCell ref="W4:Y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zoomScale="70" zoomScaleNormal="70" workbookViewId="0">
      <pane xSplit="2" ySplit="4" topLeftCell="C16" activePane="bottomRight" state="frozen"/>
      <selection pane="topRight" activeCell="C1" sqref="C1"/>
      <selection pane="bottomLeft" activeCell="A4" sqref="A4"/>
      <selection pane="bottomRight" activeCell="K42" sqref="K42"/>
    </sheetView>
  </sheetViews>
  <sheetFormatPr defaultRowHeight="10.5" x14ac:dyDescent="0.25"/>
  <cols>
    <col min="1" max="1" width="8.7265625" style="28"/>
    <col min="2" max="2" width="13.36328125" style="210" bestFit="1" customWidth="1"/>
    <col min="3" max="3" width="12" style="28" bestFit="1" customWidth="1"/>
    <col min="4" max="4" width="12.26953125" style="28" bestFit="1" customWidth="1"/>
    <col min="5" max="6" width="12.54296875" style="28" bestFit="1" customWidth="1"/>
    <col min="7" max="8" width="12.26953125" style="28" bestFit="1" customWidth="1"/>
    <col min="9" max="10" width="12.54296875" style="28" bestFit="1" customWidth="1"/>
    <col min="11" max="12" width="12.26953125" style="28" bestFit="1" customWidth="1"/>
    <col min="13" max="13" width="12" style="28" bestFit="1" customWidth="1"/>
    <col min="14" max="16384" width="8.7265625" style="28"/>
  </cols>
  <sheetData>
    <row r="2" spans="2:13" ht="11" thickBot="1" x14ac:dyDescent="0.3">
      <c r="B2" s="210" t="s">
        <v>194</v>
      </c>
    </row>
    <row r="3" spans="2:13" ht="11" thickBot="1" x14ac:dyDescent="0.3">
      <c r="B3" s="211"/>
      <c r="C3" s="97" t="s">
        <v>2</v>
      </c>
      <c r="D3" s="95" t="s">
        <v>3</v>
      </c>
      <c r="E3" s="95" t="s">
        <v>4</v>
      </c>
      <c r="F3" s="95" t="s">
        <v>5</v>
      </c>
      <c r="G3" s="95" t="s">
        <v>6</v>
      </c>
      <c r="H3" s="95" t="s">
        <v>104</v>
      </c>
      <c r="I3" s="95" t="s">
        <v>105</v>
      </c>
      <c r="J3" s="95" t="s">
        <v>106</v>
      </c>
      <c r="K3" s="95" t="s">
        <v>107</v>
      </c>
      <c r="L3" s="96" t="s">
        <v>108</v>
      </c>
      <c r="M3" s="106" t="s">
        <v>0</v>
      </c>
    </row>
    <row r="4" spans="2:13" ht="11" thickBot="1" x14ac:dyDescent="0.3">
      <c r="B4" s="212" t="s">
        <v>164</v>
      </c>
      <c r="C4" s="98" t="s">
        <v>1</v>
      </c>
      <c r="D4" s="93" t="s">
        <v>1</v>
      </c>
      <c r="E4" s="93" t="s">
        <v>1</v>
      </c>
      <c r="F4" s="93" t="s">
        <v>1</v>
      </c>
      <c r="G4" s="93" t="s">
        <v>1</v>
      </c>
      <c r="H4" s="93" t="s">
        <v>1</v>
      </c>
      <c r="I4" s="93" t="s">
        <v>1</v>
      </c>
      <c r="J4" s="93" t="s">
        <v>1</v>
      </c>
      <c r="K4" s="93" t="s">
        <v>1</v>
      </c>
      <c r="L4" s="94" t="s">
        <v>1</v>
      </c>
      <c r="M4" s="108" t="s">
        <v>1</v>
      </c>
    </row>
    <row r="5" spans="2:13" x14ac:dyDescent="0.25">
      <c r="B5" s="213" t="s">
        <v>114</v>
      </c>
      <c r="C5" s="99"/>
      <c r="D5" s="66">
        <f>C8</f>
        <v>161457830387.20001</v>
      </c>
      <c r="E5" s="66">
        <f>D8</f>
        <v>339061443813.12</v>
      </c>
      <c r="F5" s="66">
        <f>E8</f>
        <v>534425418581.63202</v>
      </c>
      <c r="G5" s="66">
        <f>F8</f>
        <v>749325790826.99536</v>
      </c>
      <c r="H5" s="66">
        <f>G8</f>
        <v>985716200296.89502</v>
      </c>
      <c r="I5" s="66">
        <f t="shared" ref="I5:L5" si="0">H8</f>
        <v>985716200296.89502</v>
      </c>
      <c r="J5" s="66">
        <f t="shared" si="0"/>
        <v>985716200296.89502</v>
      </c>
      <c r="K5" s="66">
        <f t="shared" si="0"/>
        <v>985716200296.89502</v>
      </c>
      <c r="L5" s="67">
        <f t="shared" si="0"/>
        <v>985716200296.89502</v>
      </c>
      <c r="M5" s="107">
        <f>C5</f>
        <v>0</v>
      </c>
    </row>
    <row r="6" spans="2:13" x14ac:dyDescent="0.25">
      <c r="B6" s="214" t="s">
        <v>115</v>
      </c>
      <c r="C6" s="99">
        <f>'Facility Repayment Plan'!C29</f>
        <v>161457830387.20001</v>
      </c>
      <c r="D6" s="99">
        <f>'Facility Repayment Plan'!D29</f>
        <v>177603613425.92001</v>
      </c>
      <c r="E6" s="99">
        <f>'Facility Repayment Plan'!E29</f>
        <v>195363974768.51202</v>
      </c>
      <c r="F6" s="99">
        <f>'Facility Repayment Plan'!F29</f>
        <v>214900372245.36328</v>
      </c>
      <c r="G6" s="99">
        <f>'Facility Repayment Plan'!G29</f>
        <v>236390409469.8996</v>
      </c>
      <c r="H6" s="99">
        <f>'Facility Repayment Plan'!H29</f>
        <v>0</v>
      </c>
      <c r="I6" s="99">
        <f>'Facility Repayment Plan'!I29</f>
        <v>0</v>
      </c>
      <c r="J6" s="99">
        <f>'Facility Repayment Plan'!J29</f>
        <v>0</v>
      </c>
      <c r="K6" s="99">
        <f>'Facility Repayment Plan'!K29</f>
        <v>0</v>
      </c>
      <c r="L6" s="99">
        <f>'Facility Repayment Plan'!L29</f>
        <v>0</v>
      </c>
      <c r="M6" s="90">
        <f>SUM(C6:L6)</f>
        <v>985716200296.89502</v>
      </c>
    </row>
    <row r="7" spans="2:13" ht="11" thickBot="1" x14ac:dyDescent="0.3">
      <c r="B7" s="214" t="s">
        <v>138</v>
      </c>
      <c r="C7" s="199">
        <f>'Facility Repayment Plan'!C30</f>
        <v>0</v>
      </c>
      <c r="D7" s="199">
        <f>'Facility Repayment Plan'!D30</f>
        <v>0</v>
      </c>
      <c r="E7" s="199">
        <f>'Facility Repayment Plan'!E30</f>
        <v>0</v>
      </c>
      <c r="F7" s="199">
        <f>'Facility Repayment Plan'!F30</f>
        <v>0</v>
      </c>
      <c r="G7" s="199">
        <f>'Facility Repayment Plan'!G30</f>
        <v>0</v>
      </c>
      <c r="H7" s="199"/>
      <c r="I7" s="199"/>
      <c r="J7" s="199"/>
      <c r="K7" s="199"/>
      <c r="L7" s="199"/>
      <c r="M7" s="200">
        <f>SUM(C7:L7)</f>
        <v>0</v>
      </c>
    </row>
    <row r="8" spans="2:13" ht="11" thickBot="1" x14ac:dyDescent="0.3">
      <c r="B8" s="215" t="s">
        <v>116</v>
      </c>
      <c r="C8" s="201">
        <f>C5+C6-C7</f>
        <v>161457830387.20001</v>
      </c>
      <c r="D8" s="202">
        <f t="shared" ref="D8:L8" si="1">D5+D6-D7</f>
        <v>339061443813.12</v>
      </c>
      <c r="E8" s="202">
        <f t="shared" si="1"/>
        <v>534425418581.63202</v>
      </c>
      <c r="F8" s="202">
        <f t="shared" si="1"/>
        <v>749325790826.99536</v>
      </c>
      <c r="G8" s="202">
        <f>G5+G6-G7</f>
        <v>985716200296.89502</v>
      </c>
      <c r="H8" s="202">
        <f t="shared" si="1"/>
        <v>985716200296.89502</v>
      </c>
      <c r="I8" s="202">
        <f t="shared" si="1"/>
        <v>985716200296.89502</v>
      </c>
      <c r="J8" s="202">
        <f t="shared" si="1"/>
        <v>985716200296.89502</v>
      </c>
      <c r="K8" s="202">
        <f t="shared" si="1"/>
        <v>985716200296.89502</v>
      </c>
      <c r="L8" s="202">
        <f t="shared" si="1"/>
        <v>985716200296.89502</v>
      </c>
      <c r="M8" s="203">
        <f>L8</f>
        <v>985716200296.89502</v>
      </c>
    </row>
    <row r="10" spans="2:13" ht="13.5" x14ac:dyDescent="0.55000000000000004">
      <c r="B10" s="216" t="s">
        <v>54</v>
      </c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4"/>
    </row>
    <row r="11" spans="2:13" x14ac:dyDescent="0.25">
      <c r="B11" s="217" t="s">
        <v>84</v>
      </c>
      <c r="C11" s="208">
        <f>'Parameters and Summary'!E68</f>
        <v>0.1</v>
      </c>
      <c r="D11" s="208">
        <f>C11</f>
        <v>0.1</v>
      </c>
      <c r="E11" s="208">
        <f t="shared" ref="E11:L11" si="2">D11</f>
        <v>0.1</v>
      </c>
      <c r="F11" s="208">
        <f t="shared" si="2"/>
        <v>0.1</v>
      </c>
      <c r="G11" s="208">
        <f t="shared" si="2"/>
        <v>0.1</v>
      </c>
      <c r="H11" s="208">
        <f t="shared" si="2"/>
        <v>0.1</v>
      </c>
      <c r="I11" s="208">
        <f t="shared" si="2"/>
        <v>0.1</v>
      </c>
      <c r="J11" s="208">
        <f t="shared" si="2"/>
        <v>0.1</v>
      </c>
      <c r="K11" s="208">
        <f t="shared" si="2"/>
        <v>0.1</v>
      </c>
      <c r="L11" s="208">
        <f t="shared" si="2"/>
        <v>0.1</v>
      </c>
      <c r="M11" s="204"/>
    </row>
    <row r="12" spans="2:13" x14ac:dyDescent="0.25">
      <c r="B12" s="217"/>
      <c r="C12" s="205" t="s">
        <v>1</v>
      </c>
      <c r="D12" s="205" t="s">
        <v>1</v>
      </c>
      <c r="E12" s="205" t="s">
        <v>1</v>
      </c>
      <c r="F12" s="205" t="s">
        <v>1</v>
      </c>
      <c r="G12" s="205" t="s">
        <v>1</v>
      </c>
      <c r="H12" s="205" t="s">
        <v>1</v>
      </c>
      <c r="I12" s="205" t="s">
        <v>1</v>
      </c>
      <c r="J12" s="205" t="s">
        <v>1</v>
      </c>
      <c r="K12" s="205" t="s">
        <v>1</v>
      </c>
      <c r="L12" s="205" t="s">
        <v>1</v>
      </c>
      <c r="M12" s="204"/>
    </row>
    <row r="13" spans="2:13" x14ac:dyDescent="0.25">
      <c r="B13" s="218" t="s">
        <v>165</v>
      </c>
      <c r="C13" s="209"/>
      <c r="D13" s="209">
        <f>C16</f>
        <v>16145783038.720001</v>
      </c>
      <c r="E13" s="209">
        <f t="shared" ref="E13:L13" si="3">D16</f>
        <v>50051927420.031998</v>
      </c>
      <c r="F13" s="209">
        <f t="shared" si="3"/>
        <v>103494469278.19521</v>
      </c>
      <c r="G13" s="209">
        <f t="shared" si="3"/>
        <v>178427048360.89474</v>
      </c>
      <c r="H13" s="209">
        <f t="shared" si="3"/>
        <v>276998668390.58423</v>
      </c>
      <c r="I13" s="209">
        <f t="shared" si="3"/>
        <v>375570288420.27374</v>
      </c>
      <c r="J13" s="209">
        <f t="shared" si="3"/>
        <v>474141908449.96326</v>
      </c>
      <c r="K13" s="209">
        <f t="shared" si="3"/>
        <v>572713528479.65283</v>
      </c>
      <c r="L13" s="209">
        <f t="shared" si="3"/>
        <v>671285148509.34229</v>
      </c>
      <c r="M13" s="209">
        <f>C13</f>
        <v>0</v>
      </c>
    </row>
    <row r="14" spans="2:13" x14ac:dyDescent="0.25">
      <c r="B14" s="218" t="s">
        <v>166</v>
      </c>
      <c r="C14" s="209">
        <f>C11*C8</f>
        <v>16145783038.720001</v>
      </c>
      <c r="D14" s="209">
        <f t="shared" ref="D14:L14" si="4">D11*D8</f>
        <v>33906144381.312</v>
      </c>
      <c r="E14" s="209">
        <f t="shared" si="4"/>
        <v>53442541858.163208</v>
      </c>
      <c r="F14" s="209">
        <f t="shared" si="4"/>
        <v>74932579082.699539</v>
      </c>
      <c r="G14" s="209">
        <f t="shared" si="4"/>
        <v>98571620029.689514</v>
      </c>
      <c r="H14" s="209">
        <f t="shared" si="4"/>
        <v>98571620029.689514</v>
      </c>
      <c r="I14" s="209">
        <f t="shared" si="4"/>
        <v>98571620029.689514</v>
      </c>
      <c r="J14" s="209">
        <f t="shared" si="4"/>
        <v>98571620029.689514</v>
      </c>
      <c r="K14" s="209">
        <f t="shared" si="4"/>
        <v>98571620029.689514</v>
      </c>
      <c r="L14" s="209">
        <f t="shared" si="4"/>
        <v>98571620029.689514</v>
      </c>
      <c r="M14" s="209">
        <f>SUM(C14:L14)</f>
        <v>769856768539.03174</v>
      </c>
    </row>
    <row r="15" spans="2:13" x14ac:dyDescent="0.25">
      <c r="B15" s="218" t="s">
        <v>138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>
        <f>SUM(C15:L15)</f>
        <v>0</v>
      </c>
    </row>
    <row r="16" spans="2:13" x14ac:dyDescent="0.25">
      <c r="B16" s="218" t="s">
        <v>112</v>
      </c>
      <c r="C16" s="209">
        <f>C13+C14-C15</f>
        <v>16145783038.720001</v>
      </c>
      <c r="D16" s="209">
        <f>D13+D14-D15</f>
        <v>50051927420.031998</v>
      </c>
      <c r="E16" s="209">
        <f t="shared" ref="E16:L16" si="5">E13+E14-E15</f>
        <v>103494469278.19521</v>
      </c>
      <c r="F16" s="209">
        <f>F13+F14-F15</f>
        <v>178427048360.89474</v>
      </c>
      <c r="G16" s="209">
        <f t="shared" si="5"/>
        <v>276998668390.58423</v>
      </c>
      <c r="H16" s="209">
        <f t="shared" si="5"/>
        <v>375570288420.27374</v>
      </c>
      <c r="I16" s="209">
        <f t="shared" si="5"/>
        <v>474141908449.96326</v>
      </c>
      <c r="J16" s="209">
        <f t="shared" si="5"/>
        <v>572713528479.65283</v>
      </c>
      <c r="K16" s="209">
        <f t="shared" si="5"/>
        <v>671285148509.34229</v>
      </c>
      <c r="L16" s="209">
        <f t="shared" si="5"/>
        <v>769856768539.03174</v>
      </c>
      <c r="M16" s="209">
        <f>L16</f>
        <v>769856768539.03174</v>
      </c>
    </row>
    <row r="17" spans="2:13" x14ac:dyDescent="0.25"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2:13" x14ac:dyDescent="0.25">
      <c r="B18" s="217" t="s">
        <v>167</v>
      </c>
      <c r="C18" s="205" t="s">
        <v>1</v>
      </c>
      <c r="D18" s="205" t="s">
        <v>1</v>
      </c>
      <c r="E18" s="205" t="s">
        <v>1</v>
      </c>
      <c r="F18" s="205" t="s">
        <v>1</v>
      </c>
      <c r="G18" s="205" t="s">
        <v>1</v>
      </c>
      <c r="H18" s="205" t="s">
        <v>1</v>
      </c>
      <c r="I18" s="205" t="s">
        <v>1</v>
      </c>
      <c r="J18" s="205" t="s">
        <v>1</v>
      </c>
      <c r="K18" s="205" t="s">
        <v>1</v>
      </c>
      <c r="L18" s="205" t="s">
        <v>1</v>
      </c>
      <c r="M18" s="204"/>
    </row>
    <row r="19" spans="2:13" x14ac:dyDescent="0.25">
      <c r="B19" s="218" t="s">
        <v>168</v>
      </c>
      <c r="C19" s="30">
        <f>C5-C13</f>
        <v>0</v>
      </c>
      <c r="D19" s="30">
        <f t="shared" ref="D19:L19" si="6">D5-D13</f>
        <v>145312047348.48001</v>
      </c>
      <c r="E19" s="30">
        <f t="shared" si="6"/>
        <v>289009516393.08801</v>
      </c>
      <c r="F19" s="30">
        <f t="shared" si="6"/>
        <v>430930949303.43683</v>
      </c>
      <c r="G19" s="30">
        <f t="shared" si="6"/>
        <v>570898742466.10059</v>
      </c>
      <c r="H19" s="30">
        <f t="shared" si="6"/>
        <v>708717531906.31079</v>
      </c>
      <c r="I19" s="30">
        <f t="shared" si="6"/>
        <v>610145911876.62134</v>
      </c>
      <c r="J19" s="30">
        <f t="shared" si="6"/>
        <v>511574291846.93176</v>
      </c>
      <c r="K19" s="30">
        <f t="shared" si="6"/>
        <v>413002671817.24219</v>
      </c>
      <c r="L19" s="30">
        <f t="shared" si="6"/>
        <v>314431051787.55273</v>
      </c>
      <c r="M19" s="30"/>
    </row>
    <row r="20" spans="2:13" x14ac:dyDescent="0.25">
      <c r="B20" s="218" t="s">
        <v>139</v>
      </c>
      <c r="C20" s="206">
        <f>C8-C16</f>
        <v>145312047348.48001</v>
      </c>
      <c r="D20" s="206">
        <f t="shared" ref="D20:L20" si="7">D8-D16</f>
        <v>289009516393.08801</v>
      </c>
      <c r="E20" s="206">
        <f t="shared" si="7"/>
        <v>430930949303.43683</v>
      </c>
      <c r="F20" s="206">
        <f t="shared" si="7"/>
        <v>570898742466.10059</v>
      </c>
      <c r="G20" s="206">
        <f>G8-G16</f>
        <v>708717531906.31079</v>
      </c>
      <c r="H20" s="206">
        <f t="shared" si="7"/>
        <v>610145911876.62134</v>
      </c>
      <c r="I20" s="206">
        <f t="shared" si="7"/>
        <v>511574291846.93176</v>
      </c>
      <c r="J20" s="206">
        <f t="shared" si="7"/>
        <v>413002671817.24219</v>
      </c>
      <c r="K20" s="206">
        <f t="shared" si="7"/>
        <v>314431051787.55273</v>
      </c>
      <c r="L20" s="206">
        <f t="shared" si="7"/>
        <v>215859431757.86328</v>
      </c>
      <c r="M20" s="29"/>
    </row>
    <row r="24" spans="2:13" ht="11" thickBot="1" x14ac:dyDescent="0.3">
      <c r="B24" s="210" t="s">
        <v>195</v>
      </c>
    </row>
    <row r="25" spans="2:13" ht="11" thickBot="1" x14ac:dyDescent="0.3">
      <c r="B25" s="211"/>
      <c r="C25" s="97" t="s">
        <v>2</v>
      </c>
      <c r="D25" s="95" t="s">
        <v>3</v>
      </c>
      <c r="E25" s="95" t="s">
        <v>4</v>
      </c>
      <c r="F25" s="95" t="s">
        <v>5</v>
      </c>
      <c r="G25" s="95" t="s">
        <v>6</v>
      </c>
      <c r="H25" s="95" t="s">
        <v>104</v>
      </c>
      <c r="I25" s="95" t="s">
        <v>105</v>
      </c>
      <c r="J25" s="95" t="s">
        <v>106</v>
      </c>
      <c r="K25" s="95" t="s">
        <v>107</v>
      </c>
      <c r="L25" s="96" t="s">
        <v>108</v>
      </c>
      <c r="M25" s="106" t="s">
        <v>0</v>
      </c>
    </row>
    <row r="26" spans="2:13" ht="11" thickBot="1" x14ac:dyDescent="0.3">
      <c r="B26" s="212" t="s">
        <v>164</v>
      </c>
      <c r="C26" s="98" t="s">
        <v>1</v>
      </c>
      <c r="D26" s="93" t="s">
        <v>1</v>
      </c>
      <c r="E26" s="93" t="s">
        <v>1</v>
      </c>
      <c r="F26" s="93" t="s">
        <v>1</v>
      </c>
      <c r="G26" s="93" t="s">
        <v>1</v>
      </c>
      <c r="H26" s="93" t="s">
        <v>1</v>
      </c>
      <c r="I26" s="93" t="s">
        <v>1</v>
      </c>
      <c r="J26" s="93" t="s">
        <v>1</v>
      </c>
      <c r="K26" s="93" t="s">
        <v>1</v>
      </c>
      <c r="L26" s="94" t="s">
        <v>1</v>
      </c>
      <c r="M26" s="108" t="s">
        <v>1</v>
      </c>
    </row>
    <row r="27" spans="2:13" x14ac:dyDescent="0.25">
      <c r="B27" s="213" t="s">
        <v>114</v>
      </c>
      <c r="C27" s="99"/>
      <c r="D27" s="66">
        <f>C30</f>
        <v>55000000</v>
      </c>
      <c r="E27" s="66">
        <f>D30</f>
        <v>55000000</v>
      </c>
      <c r="F27" s="66">
        <f>E30</f>
        <v>55000000</v>
      </c>
      <c r="G27" s="66">
        <f>F30</f>
        <v>55000000</v>
      </c>
      <c r="H27" s="66">
        <f>G30</f>
        <v>55000000</v>
      </c>
      <c r="I27" s="66">
        <f t="shared" ref="I27" si="8">H30</f>
        <v>55000000</v>
      </c>
      <c r="J27" s="66">
        <f t="shared" ref="J27" si="9">I30</f>
        <v>55000000</v>
      </c>
      <c r="K27" s="66">
        <f t="shared" ref="K27" si="10">J30</f>
        <v>55000000</v>
      </c>
      <c r="L27" s="67">
        <f t="shared" ref="L27" si="11">K30</f>
        <v>55000000</v>
      </c>
      <c r="M27" s="107">
        <f>C27</f>
        <v>0</v>
      </c>
    </row>
    <row r="28" spans="2:13" x14ac:dyDescent="0.25">
      <c r="B28" s="214" t="s">
        <v>115</v>
      </c>
      <c r="C28" s="99">
        <v>55000000</v>
      </c>
      <c r="D28" s="99">
        <f>'Facility Repayment Plan'!D51</f>
        <v>0</v>
      </c>
      <c r="E28" s="99">
        <f>'Facility Repayment Plan'!E51</f>
        <v>0</v>
      </c>
      <c r="F28" s="99">
        <f>'Facility Repayment Plan'!F51</f>
        <v>0</v>
      </c>
      <c r="G28" s="99">
        <f>'Facility Repayment Plan'!G51</f>
        <v>0</v>
      </c>
      <c r="H28" s="99">
        <f>'Facility Repayment Plan'!H51</f>
        <v>0</v>
      </c>
      <c r="I28" s="99">
        <f>'Facility Repayment Plan'!I51</f>
        <v>0</v>
      </c>
      <c r="J28" s="99">
        <f>'Facility Repayment Plan'!J51</f>
        <v>0</v>
      </c>
      <c r="K28" s="99">
        <f>'Facility Repayment Plan'!K51</f>
        <v>0</v>
      </c>
      <c r="L28" s="99">
        <f>'Facility Repayment Plan'!L51</f>
        <v>0</v>
      </c>
      <c r="M28" s="90">
        <f>SUM(C28:L28)</f>
        <v>55000000</v>
      </c>
    </row>
    <row r="29" spans="2:13" ht="11" thickBot="1" x14ac:dyDescent="0.3">
      <c r="B29" s="214" t="s">
        <v>138</v>
      </c>
      <c r="C29" s="199">
        <f>'Facility Repayment Plan'!C52</f>
        <v>0</v>
      </c>
      <c r="D29" s="199">
        <f>'Facility Repayment Plan'!D52</f>
        <v>0</v>
      </c>
      <c r="E29" s="199">
        <f>'Facility Repayment Plan'!E52</f>
        <v>0</v>
      </c>
      <c r="F29" s="199">
        <f>'Facility Repayment Plan'!F52</f>
        <v>0</v>
      </c>
      <c r="G29" s="199">
        <f>'Facility Repayment Plan'!G52</f>
        <v>0</v>
      </c>
      <c r="H29" s="199"/>
      <c r="I29" s="199"/>
      <c r="J29" s="199"/>
      <c r="K29" s="199"/>
      <c r="L29" s="199"/>
      <c r="M29" s="200">
        <f>SUM(C29:L29)</f>
        <v>0</v>
      </c>
    </row>
    <row r="30" spans="2:13" ht="11" thickBot="1" x14ac:dyDescent="0.3">
      <c r="B30" s="215" t="s">
        <v>116</v>
      </c>
      <c r="C30" s="201">
        <f>C27+C28-C29</f>
        <v>55000000</v>
      </c>
      <c r="D30" s="202">
        <f t="shared" ref="D30" si="12">D27+D28-D29</f>
        <v>55000000</v>
      </c>
      <c r="E30" s="202">
        <f t="shared" ref="E30" si="13">E27+E28-E29</f>
        <v>55000000</v>
      </c>
      <c r="F30" s="202">
        <f t="shared" ref="F30" si="14">F27+F28-F29</f>
        <v>55000000</v>
      </c>
      <c r="G30" s="202">
        <f>G27+G28-G29</f>
        <v>55000000</v>
      </c>
      <c r="H30" s="202">
        <f t="shared" ref="H30" si="15">H27+H28-H29</f>
        <v>55000000</v>
      </c>
      <c r="I30" s="202">
        <f t="shared" ref="I30" si="16">I27+I28-I29</f>
        <v>55000000</v>
      </c>
      <c r="J30" s="202">
        <f t="shared" ref="J30" si="17">J27+J28-J29</f>
        <v>55000000</v>
      </c>
      <c r="K30" s="202">
        <f t="shared" ref="K30" si="18">K27+K28-K29</f>
        <v>55000000</v>
      </c>
      <c r="L30" s="202">
        <f t="shared" ref="L30" si="19">L27+L28-L29</f>
        <v>55000000</v>
      </c>
      <c r="M30" s="203">
        <f>L30</f>
        <v>55000000</v>
      </c>
    </row>
    <row r="32" spans="2:13" ht="13.5" x14ac:dyDescent="0.55000000000000004">
      <c r="B32" s="216" t="s">
        <v>54</v>
      </c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4"/>
    </row>
    <row r="33" spans="2:13" x14ac:dyDescent="0.25">
      <c r="B33" s="217" t="s">
        <v>84</v>
      </c>
      <c r="C33" s="208">
        <v>0.1</v>
      </c>
      <c r="D33" s="208">
        <f>C33</f>
        <v>0.1</v>
      </c>
      <c r="E33" s="208">
        <f t="shared" ref="E33:L33" si="20">D33</f>
        <v>0.1</v>
      </c>
      <c r="F33" s="208">
        <f t="shared" si="20"/>
        <v>0.1</v>
      </c>
      <c r="G33" s="208">
        <f t="shared" si="20"/>
        <v>0.1</v>
      </c>
      <c r="H33" s="208">
        <f t="shared" si="20"/>
        <v>0.1</v>
      </c>
      <c r="I33" s="208">
        <f t="shared" si="20"/>
        <v>0.1</v>
      </c>
      <c r="J33" s="208">
        <f t="shared" si="20"/>
        <v>0.1</v>
      </c>
      <c r="K33" s="208">
        <f t="shared" si="20"/>
        <v>0.1</v>
      </c>
      <c r="L33" s="208">
        <f t="shared" si="20"/>
        <v>0.1</v>
      </c>
      <c r="M33" s="204"/>
    </row>
    <row r="34" spans="2:13" x14ac:dyDescent="0.25">
      <c r="B34" s="217"/>
      <c r="C34" s="205" t="s">
        <v>1</v>
      </c>
      <c r="D34" s="205" t="s">
        <v>1</v>
      </c>
      <c r="E34" s="205" t="s">
        <v>1</v>
      </c>
      <c r="F34" s="205" t="s">
        <v>1</v>
      </c>
      <c r="G34" s="205" t="s">
        <v>1</v>
      </c>
      <c r="H34" s="205" t="s">
        <v>1</v>
      </c>
      <c r="I34" s="205" t="s">
        <v>1</v>
      </c>
      <c r="J34" s="205" t="s">
        <v>1</v>
      </c>
      <c r="K34" s="205" t="s">
        <v>1</v>
      </c>
      <c r="L34" s="205" t="s">
        <v>1</v>
      </c>
      <c r="M34" s="204"/>
    </row>
    <row r="35" spans="2:13" x14ac:dyDescent="0.25">
      <c r="B35" s="218" t="s">
        <v>165</v>
      </c>
      <c r="C35" s="209"/>
      <c r="D35" s="209">
        <f>C38</f>
        <v>5500000</v>
      </c>
      <c r="E35" s="209">
        <f t="shared" ref="E35:L35" si="21">D38</f>
        <v>11000000</v>
      </c>
      <c r="F35" s="209">
        <f t="shared" si="21"/>
        <v>16500000</v>
      </c>
      <c r="G35" s="209">
        <f t="shared" si="21"/>
        <v>22000000</v>
      </c>
      <c r="H35" s="209">
        <f t="shared" si="21"/>
        <v>27500000</v>
      </c>
      <c r="I35" s="209">
        <f t="shared" si="21"/>
        <v>33000000</v>
      </c>
      <c r="J35" s="209">
        <f t="shared" si="21"/>
        <v>38500000</v>
      </c>
      <c r="K35" s="209">
        <f t="shared" si="21"/>
        <v>44000000</v>
      </c>
      <c r="L35" s="209">
        <f t="shared" si="21"/>
        <v>49500000</v>
      </c>
      <c r="M35" s="209">
        <f>C35</f>
        <v>0</v>
      </c>
    </row>
    <row r="36" spans="2:13" x14ac:dyDescent="0.25">
      <c r="B36" s="218" t="s">
        <v>166</v>
      </c>
      <c r="C36" s="209">
        <f>C33*C30</f>
        <v>5500000</v>
      </c>
      <c r="D36" s="209">
        <f t="shared" ref="D36:L36" si="22">D33*D30</f>
        <v>5500000</v>
      </c>
      <c r="E36" s="209">
        <f t="shared" si="22"/>
        <v>5500000</v>
      </c>
      <c r="F36" s="209">
        <f t="shared" si="22"/>
        <v>5500000</v>
      </c>
      <c r="G36" s="209">
        <f t="shared" si="22"/>
        <v>5500000</v>
      </c>
      <c r="H36" s="209">
        <f t="shared" si="22"/>
        <v>5500000</v>
      </c>
      <c r="I36" s="209">
        <f t="shared" si="22"/>
        <v>5500000</v>
      </c>
      <c r="J36" s="209">
        <f t="shared" si="22"/>
        <v>5500000</v>
      </c>
      <c r="K36" s="209">
        <f t="shared" si="22"/>
        <v>5500000</v>
      </c>
      <c r="L36" s="209">
        <f t="shared" si="22"/>
        <v>5500000</v>
      </c>
      <c r="M36" s="209">
        <f>SUM(C36:L36)</f>
        <v>55000000</v>
      </c>
    </row>
    <row r="37" spans="2:13" x14ac:dyDescent="0.25">
      <c r="B37" s="218" t="s">
        <v>138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>
        <f>SUM(C37:L37)</f>
        <v>0</v>
      </c>
    </row>
    <row r="38" spans="2:13" x14ac:dyDescent="0.25">
      <c r="B38" s="218" t="s">
        <v>112</v>
      </c>
      <c r="C38" s="209">
        <f>C35+C36-C37</f>
        <v>5500000</v>
      </c>
      <c r="D38" s="209">
        <f>D35+D36-D37</f>
        <v>11000000</v>
      </c>
      <c r="E38" s="209">
        <f t="shared" ref="E38" si="23">E35+E36-E37</f>
        <v>16500000</v>
      </c>
      <c r="F38" s="209">
        <f>F35+F36-F37</f>
        <v>22000000</v>
      </c>
      <c r="G38" s="209">
        <f t="shared" ref="G38" si="24">G35+G36-G37</f>
        <v>27500000</v>
      </c>
      <c r="H38" s="209">
        <f t="shared" ref="H38" si="25">H35+H36-H37</f>
        <v>33000000</v>
      </c>
      <c r="I38" s="209">
        <f t="shared" ref="I38" si="26">I35+I36-I37</f>
        <v>38500000</v>
      </c>
      <c r="J38" s="209">
        <f t="shared" ref="J38" si="27">J35+J36-J37</f>
        <v>44000000</v>
      </c>
      <c r="K38" s="209">
        <f t="shared" ref="K38" si="28">K35+K36-K37</f>
        <v>49500000</v>
      </c>
      <c r="L38" s="209">
        <f t="shared" ref="L38" si="29">L35+L36-L37</f>
        <v>55000000</v>
      </c>
      <c r="M38" s="209">
        <f>L38</f>
        <v>55000000</v>
      </c>
    </row>
    <row r="39" spans="2:13" x14ac:dyDescent="0.25"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2:13" x14ac:dyDescent="0.25">
      <c r="B40" s="217" t="s">
        <v>167</v>
      </c>
      <c r="C40" s="205" t="s">
        <v>1</v>
      </c>
      <c r="D40" s="205" t="s">
        <v>1</v>
      </c>
      <c r="E40" s="205" t="s">
        <v>1</v>
      </c>
      <c r="F40" s="205" t="s">
        <v>1</v>
      </c>
      <c r="G40" s="205" t="s">
        <v>1</v>
      </c>
      <c r="H40" s="205" t="s">
        <v>1</v>
      </c>
      <c r="I40" s="205" t="s">
        <v>1</v>
      </c>
      <c r="J40" s="205" t="s">
        <v>1</v>
      </c>
      <c r="K40" s="205" t="s">
        <v>1</v>
      </c>
      <c r="L40" s="205" t="s">
        <v>1</v>
      </c>
      <c r="M40" s="204"/>
    </row>
    <row r="41" spans="2:13" x14ac:dyDescent="0.25">
      <c r="B41" s="218" t="s">
        <v>168</v>
      </c>
      <c r="C41" s="30">
        <f>C27-C35</f>
        <v>0</v>
      </c>
      <c r="D41" s="30">
        <f t="shared" ref="D41:L41" si="30">D27-D35</f>
        <v>49500000</v>
      </c>
      <c r="E41" s="30">
        <f t="shared" si="30"/>
        <v>44000000</v>
      </c>
      <c r="F41" s="30">
        <f t="shared" si="30"/>
        <v>38500000</v>
      </c>
      <c r="G41" s="30">
        <f t="shared" si="30"/>
        <v>33000000</v>
      </c>
      <c r="H41" s="30">
        <f t="shared" si="30"/>
        <v>27500000</v>
      </c>
      <c r="I41" s="30">
        <f t="shared" si="30"/>
        <v>22000000</v>
      </c>
      <c r="J41" s="30">
        <f t="shared" si="30"/>
        <v>16500000</v>
      </c>
      <c r="K41" s="30">
        <f t="shared" si="30"/>
        <v>11000000</v>
      </c>
      <c r="L41" s="30">
        <f t="shared" si="30"/>
        <v>5500000</v>
      </c>
      <c r="M41" s="30"/>
    </row>
    <row r="42" spans="2:13" x14ac:dyDescent="0.25">
      <c r="B42" s="218" t="s">
        <v>139</v>
      </c>
      <c r="C42" s="206">
        <f>C30-C38</f>
        <v>49500000</v>
      </c>
      <c r="D42" s="206">
        <f t="shared" ref="D42:L42" si="31">D30-D38</f>
        <v>44000000</v>
      </c>
      <c r="E42" s="206">
        <f t="shared" si="31"/>
        <v>38500000</v>
      </c>
      <c r="F42" s="206">
        <f t="shared" si="31"/>
        <v>33000000</v>
      </c>
      <c r="G42" s="206">
        <f t="shared" si="31"/>
        <v>27500000</v>
      </c>
      <c r="H42" s="206">
        <f t="shared" si="31"/>
        <v>22000000</v>
      </c>
      <c r="I42" s="206">
        <f t="shared" si="31"/>
        <v>16500000</v>
      </c>
      <c r="J42" s="206">
        <f t="shared" si="31"/>
        <v>11000000</v>
      </c>
      <c r="K42" s="206">
        <f t="shared" si="31"/>
        <v>5500000</v>
      </c>
      <c r="L42" s="206">
        <f t="shared" si="31"/>
        <v>0</v>
      </c>
      <c r="M42" s="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5"/>
  <sheetViews>
    <sheetView zoomScale="50" zoomScaleNormal="50" workbookViewId="0">
      <selection activeCell="A50" sqref="A50:I81"/>
    </sheetView>
  </sheetViews>
  <sheetFormatPr defaultRowHeight="12" x14ac:dyDescent="0.3"/>
  <cols>
    <col min="1" max="1" width="8.7265625" style="162"/>
    <col min="2" max="2" width="75.90625" style="162" bestFit="1" customWidth="1"/>
    <col min="3" max="3" width="7.1796875" style="162" bestFit="1" customWidth="1"/>
    <col min="4" max="4" width="19.90625" style="162" bestFit="1" customWidth="1"/>
    <col min="5" max="5" width="21.36328125" style="162" bestFit="1" customWidth="1"/>
    <col min="6" max="6" width="19.36328125" style="162" bestFit="1" customWidth="1"/>
    <col min="7" max="7" width="24.26953125" style="162" bestFit="1" customWidth="1"/>
    <col min="8" max="8" width="21.54296875" style="162" bestFit="1" customWidth="1"/>
    <col min="9" max="9" width="20.81640625" style="162" bestFit="1" customWidth="1"/>
    <col min="10" max="10" width="17.54296875" style="162" bestFit="1" customWidth="1"/>
    <col min="11" max="16384" width="8.7265625" style="162"/>
  </cols>
  <sheetData>
    <row r="2" spans="1:11" x14ac:dyDescent="0.3">
      <c r="A2" s="19"/>
      <c r="B2" s="160" t="s">
        <v>21</v>
      </c>
      <c r="C2" s="160"/>
      <c r="D2" s="19"/>
      <c r="E2" s="19"/>
      <c r="F2" s="19"/>
      <c r="G2" s="19"/>
      <c r="H2" s="19"/>
      <c r="I2" s="19"/>
      <c r="J2" s="161"/>
      <c r="K2" s="19"/>
    </row>
    <row r="3" spans="1:11" x14ac:dyDescent="0.3">
      <c r="A3" s="161"/>
      <c r="B3" s="163" t="s">
        <v>22</v>
      </c>
      <c r="C3" s="163"/>
      <c r="D3" s="164" t="s">
        <v>36</v>
      </c>
      <c r="E3" s="164" t="s">
        <v>162</v>
      </c>
      <c r="F3" s="164" t="s">
        <v>34</v>
      </c>
      <c r="G3" s="164" t="s">
        <v>38</v>
      </c>
      <c r="H3" s="164" t="s">
        <v>37</v>
      </c>
      <c r="I3" s="164" t="s">
        <v>39</v>
      </c>
      <c r="J3" s="161"/>
      <c r="K3" s="161"/>
    </row>
    <row r="4" spans="1:11" x14ac:dyDescent="0.3">
      <c r="A4" s="19"/>
      <c r="B4" s="163"/>
      <c r="C4" s="163"/>
      <c r="D4" s="165"/>
      <c r="E4" s="165"/>
      <c r="F4" s="165"/>
      <c r="G4" s="165" t="s">
        <v>1</v>
      </c>
      <c r="H4" s="165" t="s">
        <v>1</v>
      </c>
      <c r="I4" s="165" t="s">
        <v>1</v>
      </c>
      <c r="J4" s="161"/>
      <c r="K4" s="19"/>
    </row>
    <row r="5" spans="1:11" x14ac:dyDescent="0.3">
      <c r="A5" s="19"/>
      <c r="B5" s="163" t="s">
        <v>24</v>
      </c>
      <c r="C5" s="163"/>
      <c r="D5" s="165"/>
      <c r="E5" s="165"/>
      <c r="F5" s="165"/>
      <c r="G5" s="165"/>
      <c r="H5" s="165"/>
      <c r="I5" s="165"/>
      <c r="J5" s="161"/>
      <c r="K5" s="19"/>
    </row>
    <row r="6" spans="1:11" x14ac:dyDescent="0.3">
      <c r="A6" s="19"/>
      <c r="B6" s="166" t="s">
        <v>95</v>
      </c>
      <c r="C6" s="166"/>
      <c r="D6" s="167">
        <f>'Revenue Schedule'!N9</f>
        <v>2000</v>
      </c>
      <c r="E6" s="167">
        <v>1</v>
      </c>
      <c r="F6" s="167">
        <f>D6*E6</f>
        <v>2000</v>
      </c>
      <c r="G6" s="168">
        <f>75000</f>
        <v>75000</v>
      </c>
      <c r="H6" s="168">
        <f>G6*F6</f>
        <v>150000000</v>
      </c>
      <c r="I6" s="167">
        <f>H6*12</f>
        <v>1800000000</v>
      </c>
      <c r="J6" s="161"/>
      <c r="K6" s="19"/>
    </row>
    <row r="7" spans="1:11" x14ac:dyDescent="0.3">
      <c r="A7" s="19"/>
      <c r="B7" s="166" t="s">
        <v>160</v>
      </c>
      <c r="C7" s="166"/>
      <c r="D7" s="167">
        <f>'Revenue Schedule'!N16</f>
        <v>1500</v>
      </c>
      <c r="E7" s="167">
        <v>1</v>
      </c>
      <c r="F7" s="167">
        <f t="shared" ref="F7:F8" si="0">D7*E7</f>
        <v>1500</v>
      </c>
      <c r="G7" s="168">
        <f t="shared" ref="G7:G8" si="1">75000</f>
        <v>75000</v>
      </c>
      <c r="H7" s="168">
        <f>G7*F7</f>
        <v>112500000</v>
      </c>
      <c r="I7" s="167">
        <f>H7*12</f>
        <v>1350000000</v>
      </c>
      <c r="J7" s="161"/>
      <c r="K7" s="19"/>
    </row>
    <row r="8" spans="1:11" ht="12.5" thickBot="1" x14ac:dyDescent="0.35">
      <c r="A8" s="19"/>
      <c r="B8" s="189" t="s">
        <v>161</v>
      </c>
      <c r="C8" s="189"/>
      <c r="D8" s="187">
        <f>'Revenue Schedule'!N23</f>
        <v>200</v>
      </c>
      <c r="E8" s="187">
        <v>1</v>
      </c>
      <c r="F8" s="187">
        <f t="shared" si="0"/>
        <v>200</v>
      </c>
      <c r="G8" s="190">
        <f t="shared" si="1"/>
        <v>75000</v>
      </c>
      <c r="H8" s="190">
        <f t="shared" ref="H8" si="2">G8*F8</f>
        <v>15000000</v>
      </c>
      <c r="I8" s="187">
        <f t="shared" ref="I8" si="3">H8*12</f>
        <v>180000000</v>
      </c>
      <c r="J8" s="161"/>
      <c r="K8" s="19"/>
    </row>
    <row r="9" spans="1:11" s="198" customFormat="1" ht="12.5" thickBot="1" x14ac:dyDescent="0.35">
      <c r="A9" s="26"/>
      <c r="B9" s="193" t="s">
        <v>163</v>
      </c>
      <c r="C9" s="219"/>
      <c r="D9" s="194"/>
      <c r="E9" s="194"/>
      <c r="F9" s="194"/>
      <c r="G9" s="195"/>
      <c r="H9" s="196"/>
      <c r="I9" s="197">
        <f>SUM(I6:I8)</f>
        <v>3330000000</v>
      </c>
      <c r="J9" s="171"/>
      <c r="K9" s="26"/>
    </row>
    <row r="10" spans="1:11" x14ac:dyDescent="0.3">
      <c r="A10" s="19"/>
      <c r="B10" s="191"/>
      <c r="C10" s="191"/>
      <c r="D10" s="188"/>
      <c r="E10" s="188"/>
      <c r="F10" s="188"/>
      <c r="G10" s="192"/>
      <c r="H10" s="192"/>
      <c r="I10" s="188"/>
      <c r="J10" s="161"/>
      <c r="K10" s="19"/>
    </row>
    <row r="11" spans="1:11" x14ac:dyDescent="0.3">
      <c r="A11" s="19"/>
      <c r="B11" s="163" t="s">
        <v>25</v>
      </c>
      <c r="C11" s="163"/>
      <c r="D11" s="167"/>
      <c r="E11" s="167"/>
      <c r="F11" s="167"/>
      <c r="G11" s="168"/>
      <c r="H11" s="168"/>
      <c r="I11" s="167"/>
      <c r="J11" s="161"/>
      <c r="K11" s="19"/>
    </row>
    <row r="12" spans="1:11" x14ac:dyDescent="0.3">
      <c r="A12" s="19"/>
      <c r="B12" s="166" t="s">
        <v>95</v>
      </c>
      <c r="C12" s="166"/>
      <c r="D12" s="167">
        <f>'Revenue Schedule'!J42</f>
        <v>400</v>
      </c>
      <c r="E12" s="167">
        <v>1</v>
      </c>
      <c r="F12" s="167">
        <f>D12*E12</f>
        <v>400</v>
      </c>
      <c r="G12" s="168">
        <f>75000</f>
        <v>75000</v>
      </c>
      <c r="H12" s="168">
        <f>G12*F12</f>
        <v>30000000</v>
      </c>
      <c r="I12" s="167">
        <f>H12*12</f>
        <v>360000000</v>
      </c>
      <c r="J12" s="161"/>
      <c r="K12" s="19"/>
    </row>
    <row r="13" spans="1:11" x14ac:dyDescent="0.3">
      <c r="A13" s="19"/>
      <c r="B13" s="166" t="s">
        <v>160</v>
      </c>
      <c r="C13" s="166"/>
      <c r="D13" s="167">
        <f>'Revenue Schedule'!J49</f>
        <v>300</v>
      </c>
      <c r="E13" s="167">
        <v>1</v>
      </c>
      <c r="F13" s="167">
        <f t="shared" ref="F13:F14" si="4">D13*E13</f>
        <v>300</v>
      </c>
      <c r="G13" s="168">
        <f t="shared" ref="G13:G14" si="5">75000</f>
        <v>75000</v>
      </c>
      <c r="H13" s="168">
        <f>G13*F13</f>
        <v>22500000</v>
      </c>
      <c r="I13" s="167">
        <f>H13*12</f>
        <v>270000000</v>
      </c>
      <c r="J13" s="161"/>
      <c r="K13" s="19"/>
    </row>
    <row r="14" spans="1:11" ht="12.5" thickBot="1" x14ac:dyDescent="0.35">
      <c r="A14" s="19"/>
      <c r="B14" s="166" t="s">
        <v>161</v>
      </c>
      <c r="C14" s="166"/>
      <c r="D14" s="186">
        <v>0</v>
      </c>
      <c r="E14" s="167">
        <v>1</v>
      </c>
      <c r="F14" s="167">
        <f t="shared" si="4"/>
        <v>0</v>
      </c>
      <c r="G14" s="168">
        <f t="shared" si="5"/>
        <v>75000</v>
      </c>
      <c r="H14" s="168">
        <f t="shared" ref="H14" si="6">G14*F14</f>
        <v>0</v>
      </c>
      <c r="I14" s="167">
        <f t="shared" ref="I14" si="7">H14*12</f>
        <v>0</v>
      </c>
      <c r="J14" s="161"/>
      <c r="K14" s="19"/>
    </row>
    <row r="15" spans="1:11" ht="12.5" thickBot="1" x14ac:dyDescent="0.35">
      <c r="A15" s="19"/>
      <c r="B15" s="193" t="s">
        <v>163</v>
      </c>
      <c r="C15" s="219"/>
      <c r="D15" s="194"/>
      <c r="E15" s="194"/>
      <c r="F15" s="194"/>
      <c r="G15" s="195"/>
      <c r="H15" s="196"/>
      <c r="I15" s="197">
        <f>SUM(I12:I14)</f>
        <v>630000000</v>
      </c>
      <c r="J15" s="161"/>
      <c r="K15" s="19"/>
    </row>
    <row r="16" spans="1:11" x14ac:dyDescent="0.3">
      <c r="A16" s="19"/>
      <c r="B16" s="166"/>
      <c r="C16" s="166"/>
      <c r="D16" s="167"/>
      <c r="E16" s="167"/>
      <c r="F16" s="167"/>
      <c r="G16" s="168"/>
      <c r="H16" s="168"/>
      <c r="I16" s="167"/>
      <c r="J16" s="161"/>
      <c r="K16" s="19"/>
    </row>
    <row r="17" spans="1:11" x14ac:dyDescent="0.3">
      <c r="A17" s="19"/>
      <c r="B17" s="166" t="s">
        <v>70</v>
      </c>
      <c r="C17" s="166"/>
      <c r="D17" s="167"/>
      <c r="E17" s="167"/>
      <c r="F17" s="167"/>
      <c r="G17" s="168"/>
      <c r="H17" s="168"/>
      <c r="I17" s="167">
        <f>I15+I9</f>
        <v>3960000000</v>
      </c>
      <c r="J17" s="161"/>
      <c r="K17" s="19"/>
    </row>
    <row r="18" spans="1:11" x14ac:dyDescent="0.3">
      <c r="A18" s="19"/>
      <c r="B18" s="166" t="s">
        <v>54</v>
      </c>
      <c r="C18" s="166"/>
      <c r="D18" s="167"/>
      <c r="E18" s="167"/>
      <c r="F18" s="167"/>
      <c r="G18" s="168"/>
      <c r="H18" s="168"/>
      <c r="I18" s="167">
        <f>CAPEX!C14</f>
        <v>16145783038.720001</v>
      </c>
      <c r="J18" s="161"/>
      <c r="K18" s="19"/>
    </row>
    <row r="19" spans="1:11" x14ac:dyDescent="0.3">
      <c r="A19" s="19"/>
      <c r="B19" s="166"/>
      <c r="C19" s="166"/>
      <c r="D19" s="167"/>
      <c r="E19" s="167"/>
      <c r="F19" s="167"/>
      <c r="G19" s="168"/>
      <c r="H19" s="168"/>
      <c r="I19" s="167"/>
      <c r="J19" s="161"/>
      <c r="K19" s="19"/>
    </row>
    <row r="20" spans="1:11" x14ac:dyDescent="0.3">
      <c r="A20" s="26"/>
      <c r="B20" s="163" t="s">
        <v>56</v>
      </c>
      <c r="C20" s="163"/>
      <c r="D20" s="169"/>
      <c r="E20" s="169"/>
      <c r="F20" s="169"/>
      <c r="G20" s="170"/>
      <c r="H20" s="170"/>
      <c r="I20" s="169">
        <f>SUM(I17:I19)</f>
        <v>20105783038.720001</v>
      </c>
      <c r="J20" s="171"/>
      <c r="K20" s="26"/>
    </row>
    <row r="21" spans="1:11" x14ac:dyDescent="0.3">
      <c r="A21" s="19"/>
      <c r="B21" s="172"/>
      <c r="C21" s="172"/>
      <c r="D21" s="173"/>
      <c r="E21" s="173"/>
      <c r="F21" s="173"/>
      <c r="G21" s="174"/>
      <c r="H21" s="174"/>
      <c r="I21" s="173"/>
      <c r="J21" s="161"/>
      <c r="K21" s="19"/>
    </row>
    <row r="22" spans="1:11" x14ac:dyDescent="0.3">
      <c r="A22" s="19"/>
      <c r="B22" s="172"/>
      <c r="C22" s="172"/>
      <c r="D22" s="173"/>
      <c r="E22" s="173"/>
      <c r="F22" s="173"/>
      <c r="G22" s="174"/>
      <c r="H22" s="174"/>
      <c r="I22" s="173"/>
      <c r="J22" s="161"/>
      <c r="K22" s="19"/>
    </row>
    <row r="23" spans="1:11" x14ac:dyDescent="0.3">
      <c r="A23" s="19"/>
      <c r="B23" s="172"/>
      <c r="C23" s="172"/>
      <c r="D23" s="173"/>
      <c r="E23" s="173"/>
      <c r="F23" s="173"/>
      <c r="G23" s="174"/>
      <c r="H23" s="174"/>
      <c r="I23" s="173"/>
      <c r="J23" s="161"/>
      <c r="K23" s="19"/>
    </row>
    <row r="24" spans="1:11" x14ac:dyDescent="0.3">
      <c r="A24" s="19"/>
      <c r="B24" s="175" t="s">
        <v>23</v>
      </c>
      <c r="C24" s="175"/>
      <c r="D24" s="19"/>
      <c r="E24" s="19"/>
      <c r="F24" s="19"/>
      <c r="G24" s="19"/>
      <c r="H24" s="19"/>
      <c r="I24" s="19"/>
      <c r="J24" s="161"/>
      <c r="K24" s="19"/>
    </row>
    <row r="25" spans="1:11" x14ac:dyDescent="0.3">
      <c r="A25" s="176"/>
      <c r="B25" s="166"/>
      <c r="C25" s="166"/>
      <c r="D25" s="165" t="s">
        <v>36</v>
      </c>
      <c r="E25" s="165" t="s">
        <v>35</v>
      </c>
      <c r="F25" s="165" t="s">
        <v>34</v>
      </c>
      <c r="G25" s="164" t="s">
        <v>38</v>
      </c>
      <c r="H25" s="164" t="s">
        <v>37</v>
      </c>
      <c r="I25" s="164" t="s">
        <v>50</v>
      </c>
      <c r="J25" s="120" t="s">
        <v>52</v>
      </c>
      <c r="K25" s="176"/>
    </row>
    <row r="26" spans="1:11" x14ac:dyDescent="0.3">
      <c r="A26" s="176"/>
      <c r="B26" s="177" t="s">
        <v>49</v>
      </c>
      <c r="C26" s="177"/>
      <c r="D26" s="165"/>
      <c r="E26" s="165"/>
      <c r="F26" s="165"/>
      <c r="G26" s="165" t="s">
        <v>1</v>
      </c>
      <c r="H26" s="165" t="s">
        <v>1</v>
      </c>
      <c r="I26" s="165" t="s">
        <v>1</v>
      </c>
      <c r="J26" s="120"/>
      <c r="K26" s="176"/>
    </row>
    <row r="27" spans="1:11" ht="23.5" x14ac:dyDescent="0.3">
      <c r="A27" s="161"/>
      <c r="B27" s="159" t="s">
        <v>31</v>
      </c>
      <c r="C27" s="159"/>
      <c r="D27" s="22">
        <f>D6</f>
        <v>2000</v>
      </c>
      <c r="E27" s="22">
        <v>25</v>
      </c>
      <c r="F27" s="22">
        <f>D27/E27</f>
        <v>80</v>
      </c>
      <c r="G27" s="21">
        <f>250000</f>
        <v>250000</v>
      </c>
      <c r="H27" s="21">
        <f>G27*F27</f>
        <v>20000000</v>
      </c>
      <c r="I27" s="22">
        <f>H27*12</f>
        <v>240000000</v>
      </c>
      <c r="J27" s="161" t="s">
        <v>33</v>
      </c>
      <c r="K27" s="19"/>
    </row>
    <row r="28" spans="1:11" ht="23.5" x14ac:dyDescent="0.3">
      <c r="A28" s="161"/>
      <c r="B28" s="159" t="s">
        <v>32</v>
      </c>
      <c r="C28" s="159"/>
      <c r="D28" s="22">
        <f>D11</f>
        <v>0</v>
      </c>
      <c r="E28" s="22">
        <v>25</v>
      </c>
      <c r="F28" s="22">
        <f>D28/E28</f>
        <v>0</v>
      </c>
      <c r="G28" s="21">
        <f>G27</f>
        <v>250000</v>
      </c>
      <c r="H28" s="21">
        <f>G28*F28</f>
        <v>0</v>
      </c>
      <c r="I28" s="22">
        <f>H28*12</f>
        <v>0</v>
      </c>
      <c r="J28" s="161" t="s">
        <v>33</v>
      </c>
      <c r="K28" s="19"/>
    </row>
    <row r="29" spans="1:11" x14ac:dyDescent="0.3">
      <c r="A29" s="19"/>
      <c r="B29" s="159"/>
      <c r="C29" s="159"/>
      <c r="D29" s="20"/>
      <c r="E29" s="20"/>
      <c r="F29" s="20"/>
      <c r="G29" s="20"/>
      <c r="H29" s="20"/>
      <c r="I29" s="20"/>
      <c r="J29" s="161"/>
      <c r="K29" s="19"/>
    </row>
    <row r="30" spans="1:11" x14ac:dyDescent="0.3">
      <c r="A30" s="19"/>
      <c r="B30" s="159"/>
      <c r="C30" s="159"/>
      <c r="D30" s="20"/>
      <c r="E30" s="20"/>
      <c r="F30" s="20"/>
      <c r="G30" s="20"/>
      <c r="H30" s="20"/>
      <c r="I30" s="20"/>
      <c r="J30" s="161"/>
      <c r="K30" s="19"/>
    </row>
    <row r="31" spans="1:11" x14ac:dyDescent="0.3">
      <c r="A31" s="19"/>
      <c r="B31" s="159" t="s">
        <v>40</v>
      </c>
      <c r="C31" s="159"/>
      <c r="D31" s="20"/>
      <c r="E31" s="20"/>
      <c r="F31" s="20">
        <v>1</v>
      </c>
      <c r="G31" s="20"/>
      <c r="H31" s="21">
        <v>7500000</v>
      </c>
      <c r="I31" s="22">
        <f>H31*12*F31</f>
        <v>90000000</v>
      </c>
      <c r="J31" s="161"/>
      <c r="K31" s="19"/>
    </row>
    <row r="32" spans="1:11" x14ac:dyDescent="0.3">
      <c r="A32" s="19"/>
      <c r="B32" s="159" t="s">
        <v>41</v>
      </c>
      <c r="C32" s="159"/>
      <c r="D32" s="20"/>
      <c r="E32" s="20"/>
      <c r="F32" s="20">
        <v>1</v>
      </c>
      <c r="G32" s="20"/>
      <c r="H32" s="21">
        <v>6500000</v>
      </c>
      <c r="I32" s="22">
        <f>H32*12*F32</f>
        <v>78000000</v>
      </c>
      <c r="J32" s="161"/>
      <c r="K32" s="19"/>
    </row>
    <row r="33" spans="1:11" x14ac:dyDescent="0.3">
      <c r="A33" s="19"/>
      <c r="B33" s="159" t="s">
        <v>42</v>
      </c>
      <c r="C33" s="159"/>
      <c r="D33" s="20"/>
      <c r="E33" s="20"/>
      <c r="F33" s="20">
        <v>1</v>
      </c>
      <c r="G33" s="20"/>
      <c r="H33" s="21">
        <v>6500000</v>
      </c>
      <c r="I33" s="22">
        <f>H33*12*F33</f>
        <v>78000000</v>
      </c>
      <c r="J33" s="161"/>
      <c r="K33" s="19"/>
    </row>
    <row r="34" spans="1:11" x14ac:dyDescent="0.3">
      <c r="A34" s="19"/>
      <c r="B34" s="159" t="s">
        <v>43</v>
      </c>
      <c r="C34" s="159"/>
      <c r="D34" s="20"/>
      <c r="E34" s="20"/>
      <c r="F34" s="20">
        <v>1</v>
      </c>
      <c r="G34" s="20"/>
      <c r="H34" s="21">
        <v>6500000</v>
      </c>
      <c r="I34" s="22">
        <f>H34*12*F34</f>
        <v>78000000</v>
      </c>
      <c r="J34" s="161"/>
      <c r="K34" s="19"/>
    </row>
    <row r="35" spans="1:11" x14ac:dyDescent="0.3">
      <c r="A35" s="19"/>
      <c r="B35" s="159" t="s">
        <v>44</v>
      </c>
      <c r="C35" s="159"/>
      <c r="D35" s="20"/>
      <c r="E35" s="20"/>
      <c r="F35" s="20">
        <v>2</v>
      </c>
      <c r="G35" s="20"/>
      <c r="H35" s="21">
        <v>1000000</v>
      </c>
      <c r="I35" s="22">
        <f>H35*12*F35</f>
        <v>24000000</v>
      </c>
      <c r="J35" s="161"/>
      <c r="K35" s="19"/>
    </row>
    <row r="36" spans="1:11" x14ac:dyDescent="0.3">
      <c r="A36" s="19"/>
      <c r="B36" s="178" t="s">
        <v>30</v>
      </c>
      <c r="C36" s="178"/>
      <c r="D36" s="19"/>
      <c r="E36" s="19"/>
      <c r="F36" s="19"/>
      <c r="G36" s="19"/>
      <c r="H36" s="19"/>
      <c r="I36" s="23">
        <f>SUM(I27:I35)</f>
        <v>588000000</v>
      </c>
      <c r="J36" s="161"/>
      <c r="K36" s="19"/>
    </row>
    <row r="37" spans="1:11" x14ac:dyDescent="0.3">
      <c r="A37" s="19"/>
      <c r="B37" s="158"/>
      <c r="C37" s="158"/>
      <c r="D37" s="19"/>
      <c r="E37" s="19"/>
      <c r="F37" s="19"/>
      <c r="G37" s="19"/>
      <c r="H37" s="19"/>
      <c r="I37" s="19"/>
      <c r="J37" s="161"/>
      <c r="K37" s="19"/>
    </row>
    <row r="38" spans="1:11" x14ac:dyDescent="0.3">
      <c r="A38" s="121"/>
      <c r="B38" s="163" t="s">
        <v>45</v>
      </c>
      <c r="C38" s="163"/>
      <c r="D38" s="179" t="s">
        <v>36</v>
      </c>
      <c r="E38" s="179" t="s">
        <v>46</v>
      </c>
      <c r="F38" s="179"/>
      <c r="G38" s="179" t="s">
        <v>47</v>
      </c>
      <c r="H38" s="179" t="s">
        <v>48</v>
      </c>
      <c r="I38" s="179" t="s">
        <v>51</v>
      </c>
      <c r="J38" s="180"/>
      <c r="K38" s="121"/>
    </row>
    <row r="39" spans="1:11" x14ac:dyDescent="0.3">
      <c r="A39" s="26"/>
      <c r="B39" s="181"/>
      <c r="C39" s="181"/>
      <c r="D39" s="182"/>
      <c r="E39" s="182"/>
      <c r="F39" s="182"/>
      <c r="G39" s="182" t="s">
        <v>1</v>
      </c>
      <c r="H39" s="182" t="s">
        <v>1</v>
      </c>
      <c r="I39" s="182" t="s">
        <v>1</v>
      </c>
      <c r="J39" s="171"/>
      <c r="K39" s="26"/>
    </row>
    <row r="40" spans="1:11" x14ac:dyDescent="0.3">
      <c r="A40" s="19"/>
      <c r="B40" s="183" t="s">
        <v>11</v>
      </c>
      <c r="C40" s="183"/>
      <c r="D40" s="184">
        <f>D6</f>
        <v>2000</v>
      </c>
      <c r="E40" s="184">
        <v>1</v>
      </c>
      <c r="F40" s="184"/>
      <c r="G40" s="185">
        <v>10000</v>
      </c>
      <c r="H40" s="185">
        <f>G40*E40*D40</f>
        <v>20000000</v>
      </c>
      <c r="I40" s="184">
        <f>H40*12</f>
        <v>240000000</v>
      </c>
      <c r="J40" s="161"/>
      <c r="K40" s="19"/>
    </row>
    <row r="41" spans="1:11" x14ac:dyDescent="0.3">
      <c r="A41" s="19"/>
      <c r="B41" s="183" t="s">
        <v>12</v>
      </c>
      <c r="C41" s="183"/>
      <c r="D41" s="184">
        <f>D12</f>
        <v>400</v>
      </c>
      <c r="E41" s="184">
        <v>1</v>
      </c>
      <c r="F41" s="184"/>
      <c r="G41" s="185">
        <v>25000</v>
      </c>
      <c r="H41" s="185">
        <f>G41*E41*D41</f>
        <v>10000000</v>
      </c>
      <c r="I41" s="184">
        <f>H41*12</f>
        <v>120000000</v>
      </c>
      <c r="J41" s="161"/>
      <c r="K41" s="19"/>
    </row>
    <row r="42" spans="1:11" x14ac:dyDescent="0.3">
      <c r="A42" s="19"/>
      <c r="B42" s="178" t="s">
        <v>0</v>
      </c>
      <c r="C42" s="178"/>
      <c r="D42" s="24"/>
      <c r="E42" s="24"/>
      <c r="F42" s="24"/>
      <c r="G42" s="24"/>
      <c r="H42" s="24"/>
      <c r="I42" s="23">
        <f>SUM(I40:I41)</f>
        <v>360000000</v>
      </c>
      <c r="J42" s="161"/>
      <c r="K42" s="19"/>
    </row>
    <row r="43" spans="1:11" x14ac:dyDescent="0.3">
      <c r="A43" s="19"/>
      <c r="B43" s="158"/>
      <c r="C43" s="158"/>
      <c r="D43" s="24"/>
      <c r="E43" s="24"/>
      <c r="F43" s="24"/>
      <c r="G43" s="24"/>
      <c r="H43" s="24"/>
      <c r="I43" s="24"/>
      <c r="J43" s="161"/>
      <c r="K43" s="19"/>
    </row>
    <row r="44" spans="1:11" x14ac:dyDescent="0.3">
      <c r="A44" s="121"/>
      <c r="B44" s="163" t="s">
        <v>61</v>
      </c>
      <c r="C44" s="163"/>
      <c r="D44" s="179" t="s">
        <v>36</v>
      </c>
      <c r="E44" s="179" t="s">
        <v>46</v>
      </c>
      <c r="F44" s="179"/>
      <c r="G44" s="179" t="s">
        <v>47</v>
      </c>
      <c r="H44" s="179" t="s">
        <v>48</v>
      </c>
      <c r="I44" s="179" t="s">
        <v>51</v>
      </c>
      <c r="J44" s="180"/>
      <c r="K44" s="121"/>
    </row>
    <row r="45" spans="1:11" x14ac:dyDescent="0.3">
      <c r="A45" s="26"/>
      <c r="B45" s="181"/>
      <c r="C45" s="181"/>
      <c r="D45" s="23"/>
      <c r="E45" s="23"/>
      <c r="F45" s="23"/>
      <c r="G45" s="182" t="s">
        <v>1</v>
      </c>
      <c r="H45" s="182" t="s">
        <v>1</v>
      </c>
      <c r="I45" s="182" t="s">
        <v>1</v>
      </c>
      <c r="J45" s="171"/>
      <c r="K45" s="26"/>
    </row>
    <row r="46" spans="1:11" x14ac:dyDescent="0.3">
      <c r="A46" s="19"/>
      <c r="B46" s="183" t="s">
        <v>11</v>
      </c>
      <c r="C46" s="183"/>
      <c r="D46" s="22">
        <f>D40</f>
        <v>2000</v>
      </c>
      <c r="E46" s="22">
        <f>'Parameters and Summary'!E22*'Parameters and Summary'!E21</f>
        <v>24</v>
      </c>
      <c r="F46" s="22"/>
      <c r="G46" s="21">
        <v>6500</v>
      </c>
      <c r="H46" s="21">
        <f>G46*E46*D46</f>
        <v>312000000</v>
      </c>
      <c r="I46" s="22">
        <f>H46*12</f>
        <v>3744000000</v>
      </c>
      <c r="J46" s="161"/>
      <c r="K46" s="19"/>
    </row>
    <row r="47" spans="1:11" x14ac:dyDescent="0.3">
      <c r="A47" s="19"/>
      <c r="B47" s="183" t="s">
        <v>12</v>
      </c>
      <c r="C47" s="183"/>
      <c r="D47" s="22">
        <f>D41</f>
        <v>400</v>
      </c>
      <c r="E47" s="22">
        <f>E46</f>
        <v>24</v>
      </c>
      <c r="F47" s="22"/>
      <c r="G47" s="21">
        <v>13500</v>
      </c>
      <c r="H47" s="21">
        <f>G47*E47*D47</f>
        <v>129600000</v>
      </c>
      <c r="I47" s="22">
        <f>H47*12</f>
        <v>1555200000</v>
      </c>
      <c r="J47" s="161"/>
      <c r="K47" s="19"/>
    </row>
    <row r="48" spans="1:11" x14ac:dyDescent="0.3">
      <c r="A48" s="19"/>
      <c r="B48" s="178" t="s">
        <v>0</v>
      </c>
      <c r="C48" s="178"/>
      <c r="D48" s="24"/>
      <c r="E48" s="24"/>
      <c r="F48" s="24"/>
      <c r="G48" s="24"/>
      <c r="H48" s="24"/>
      <c r="I48" s="23">
        <f>SUM(I46:I47)</f>
        <v>5299200000</v>
      </c>
      <c r="J48" s="161"/>
      <c r="K48" s="19"/>
    </row>
    <row r="49" spans="1:11" x14ac:dyDescent="0.3">
      <c r="A49" s="19"/>
      <c r="B49" s="158"/>
      <c r="C49" s="158"/>
      <c r="D49" s="19"/>
      <c r="E49" s="19"/>
      <c r="F49" s="19"/>
      <c r="G49" s="19"/>
      <c r="H49" s="19"/>
      <c r="I49" s="19"/>
      <c r="J49" s="161"/>
      <c r="K49" s="19"/>
    </row>
    <row r="50" spans="1:11" x14ac:dyDescent="0.3">
      <c r="A50" s="19"/>
      <c r="B50" s="158"/>
      <c r="C50" s="158"/>
      <c r="D50" s="19"/>
      <c r="E50" s="19"/>
      <c r="F50" s="19"/>
      <c r="G50" s="19"/>
      <c r="H50" s="19"/>
      <c r="I50" s="19"/>
      <c r="J50" s="161"/>
      <c r="K50" s="19"/>
    </row>
    <row r="51" spans="1:11" x14ac:dyDescent="0.3">
      <c r="A51" s="19"/>
      <c r="B51" s="158"/>
      <c r="C51" s="158"/>
      <c r="D51" s="19"/>
      <c r="E51" s="19"/>
      <c r="F51" s="19"/>
      <c r="G51" s="19"/>
      <c r="H51" s="19"/>
      <c r="I51" s="19"/>
      <c r="J51" s="161"/>
      <c r="K51" s="19"/>
    </row>
    <row r="52" spans="1:11" x14ac:dyDescent="0.3">
      <c r="A52" s="19"/>
      <c r="B52" s="158"/>
      <c r="C52" s="158"/>
      <c r="D52" s="19"/>
      <c r="E52" s="19"/>
      <c r="F52" s="19"/>
      <c r="G52" s="19"/>
      <c r="H52" s="19"/>
      <c r="I52" s="19"/>
      <c r="J52" s="161"/>
      <c r="K52" s="19"/>
    </row>
    <row r="53" spans="1:11" x14ac:dyDescent="0.3">
      <c r="A53" s="19"/>
      <c r="B53" s="158"/>
      <c r="C53" s="158"/>
      <c r="D53" s="19"/>
      <c r="E53" s="19"/>
      <c r="F53" s="19"/>
      <c r="G53" s="19"/>
      <c r="H53" s="19"/>
      <c r="I53" s="19"/>
      <c r="J53" s="161"/>
      <c r="K53" s="19"/>
    </row>
    <row r="54" spans="1:11" x14ac:dyDescent="0.3">
      <c r="A54" s="19"/>
      <c r="B54" s="158"/>
      <c r="C54" s="158"/>
      <c r="D54" s="19"/>
      <c r="E54" s="19"/>
      <c r="F54" s="19"/>
      <c r="G54" s="19"/>
      <c r="H54" s="19"/>
      <c r="I54" s="19"/>
      <c r="J54" s="161"/>
      <c r="K54" s="19"/>
    </row>
    <row r="55" spans="1:11" x14ac:dyDescent="0.3">
      <c r="A55" s="19"/>
      <c r="B55" s="158"/>
      <c r="C55" s="158"/>
      <c r="D55" s="19"/>
      <c r="E55" s="19"/>
      <c r="F55" s="19"/>
      <c r="G55" s="19"/>
      <c r="H55" s="19"/>
      <c r="I55" s="19"/>
      <c r="J55" s="161"/>
      <c r="K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 Of Financials</vt:lpstr>
      <vt:lpstr>Summary Of Financials $</vt:lpstr>
      <vt:lpstr>Parameters and Summary</vt:lpstr>
      <vt:lpstr>Exchange Rate growth </vt:lpstr>
      <vt:lpstr>Income Statement</vt:lpstr>
      <vt:lpstr>Cashflow Statement</vt:lpstr>
      <vt:lpstr>Fleet Inventory</vt:lpstr>
      <vt:lpstr>Revenue Schedule</vt:lpstr>
      <vt:lpstr>Facility Repayment Plan</vt:lpstr>
      <vt:lpstr>Balance Sheet</vt:lpstr>
      <vt:lpstr>CAPEX</vt:lpstr>
      <vt:lpstr>OPEX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Deji Richard Adeshile</dc:creator>
  <cp:lastModifiedBy>USER</cp:lastModifiedBy>
  <cp:lastPrinted>2023-12-11T07:36:25Z</cp:lastPrinted>
  <dcterms:created xsi:type="dcterms:W3CDTF">2023-12-05T08:54:10Z</dcterms:created>
  <dcterms:modified xsi:type="dcterms:W3CDTF">2024-02-26T12:26:04Z</dcterms:modified>
</cp:coreProperties>
</file>