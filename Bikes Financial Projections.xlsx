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Oga Shamsu\"/>
    </mc:Choice>
  </mc:AlternateContent>
  <bookViews>
    <workbookView xWindow="0" yWindow="0" windowWidth="19200" windowHeight="7310" tabRatio="727" firstSheet="6" activeTab="9"/>
  </bookViews>
  <sheets>
    <sheet name="Parameters" sheetId="6" r:id="rId1"/>
    <sheet name="Exchang Rate Growth" sheetId="7" r:id="rId2"/>
    <sheet name="CAPITAL INFLOW" sheetId="1" r:id="rId3"/>
    <sheet name="INCOME STATEMENT" sheetId="2" r:id="rId4"/>
    <sheet name="INCOME STATEMENT - 3 YEARS" sheetId="12" r:id="rId5"/>
    <sheet name="CASH FLOW STATEMENT" sheetId="3" r:id="rId6"/>
    <sheet name="STATEMENT OF FINANCIAL POSITION" sheetId="4" r:id="rId7"/>
    <sheet name="REVENUE GENERATION" sheetId="10" r:id="rId8"/>
    <sheet name="FLEET INVENTORY" sheetId="11" r:id="rId9"/>
    <sheet name="CAPEX" sheetId="8" r:id="rId10"/>
    <sheet name="OPEX" sheetId="9" r:id="rId11"/>
  </sheets>
  <externalReferences>
    <externalReference r:id="rId12"/>
  </externalReferences>
  <definedNames>
    <definedName name="Type" localSheetId="2">#REF!</definedName>
    <definedName name="Type" localSheetId="5">#REF!</definedName>
    <definedName name="Type" localSheetId="6">#REF!</definedName>
    <definedName name="Type">#REF!</definedName>
  </definedNames>
  <calcPr calcId="152511"/>
  <extLst>
    <ext uri="GoogleSheetsCustomDataVersion1">
      <go:sheetsCustomData xmlns:go="http://customooxmlschemas.google.com/" r:id="rId14" roundtripDataSignature="AMtx7mj39HuC6g4wiwAhaMXjgp/OoxD26g=="/>
    </ext>
  </extLst>
</workbook>
</file>

<file path=xl/calcChain.xml><?xml version="1.0" encoding="utf-8"?>
<calcChain xmlns="http://schemas.openxmlformats.org/spreadsheetml/2006/main">
  <c r="D6" i="4" l="1"/>
  <c r="D38" i="4"/>
  <c r="H39" i="4" l="1"/>
  <c r="F41" i="4"/>
  <c r="H41" i="4" s="1"/>
  <c r="D10" i="4"/>
  <c r="D46" i="2"/>
  <c r="D83" i="8"/>
  <c r="H84" i="8"/>
  <c r="G84" i="8"/>
  <c r="E84" i="8"/>
  <c r="D84" i="8"/>
  <c r="D85" i="8" s="1"/>
  <c r="E82" i="8" s="1"/>
  <c r="E85" i="8" s="1"/>
  <c r="F82" i="8" s="1"/>
  <c r="F85" i="8" s="1"/>
  <c r="G82" i="8" s="1"/>
  <c r="G85" i="8" s="1"/>
  <c r="H82" i="8" s="1"/>
  <c r="H85" i="8" s="1"/>
  <c r="I85" i="8" s="1"/>
  <c r="I83" i="8"/>
  <c r="I82" i="8"/>
  <c r="G19" i="9"/>
  <c r="H16" i="9"/>
  <c r="I16" i="9"/>
  <c r="H17" i="9"/>
  <c r="I17" i="9"/>
  <c r="H18" i="9"/>
  <c r="I18" i="9"/>
  <c r="H19" i="9"/>
  <c r="I19" i="9" s="1"/>
  <c r="H20" i="9"/>
  <c r="I20" i="9"/>
  <c r="H21" i="9"/>
  <c r="I21" i="9"/>
  <c r="G18" i="9"/>
  <c r="I10" i="9"/>
  <c r="D14" i="4"/>
  <c r="I84" i="8" l="1"/>
  <c r="F14" i="4"/>
  <c r="D39" i="4" l="1"/>
  <c r="D34" i="2"/>
  <c r="D7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35" i="8"/>
  <c r="D57" i="10" l="1"/>
  <c r="D48" i="10"/>
  <c r="K48" i="10"/>
  <c r="D39" i="10"/>
  <c r="K39" i="10" s="1"/>
  <c r="D30" i="10"/>
  <c r="K30" i="10"/>
  <c r="K57" i="10"/>
  <c r="K22" i="10"/>
  <c r="D22" i="10"/>
  <c r="K13" i="10"/>
  <c r="H10" i="10"/>
  <c r="G10" i="10"/>
  <c r="F10" i="10"/>
  <c r="J17" i="9"/>
  <c r="B29" i="3" l="1"/>
  <c r="C29" i="3"/>
  <c r="E29" i="3" s="1"/>
  <c r="B30" i="3"/>
  <c r="C30" i="3"/>
  <c r="D30" i="3" s="1"/>
  <c r="D38" i="3"/>
  <c r="E17" i="4" s="1"/>
  <c r="E34" i="4" s="1"/>
  <c r="H37" i="4"/>
  <c r="H33" i="4"/>
  <c r="H35" i="4"/>
  <c r="H32" i="4"/>
  <c r="H26" i="4"/>
  <c r="H27" i="4"/>
  <c r="H29" i="4"/>
  <c r="H30" i="4"/>
  <c r="E30" i="3" l="1"/>
  <c r="G30" i="3" s="1"/>
  <c r="G29" i="3"/>
  <c r="D13" i="4" l="1"/>
  <c r="H16" i="4"/>
  <c r="H18" i="4"/>
  <c r="H13" i="4"/>
  <c r="H15" i="4"/>
  <c r="E36" i="4" l="1"/>
  <c r="D13" i="3"/>
  <c r="E14" i="3"/>
  <c r="F7" i="4" s="1"/>
  <c r="E15" i="3"/>
  <c r="B10" i="3" l="1"/>
  <c r="B9" i="3"/>
  <c r="B19" i="12"/>
  <c r="B18" i="12"/>
  <c r="G12" i="3"/>
  <c r="G16" i="3"/>
  <c r="G18" i="3"/>
  <c r="G43" i="3"/>
  <c r="H67" i="12"/>
  <c r="H68" i="12"/>
  <c r="H66" i="12"/>
  <c r="H26" i="12"/>
  <c r="H24" i="12"/>
  <c r="H25" i="12"/>
  <c r="D41" i="2" l="1"/>
  <c r="B35" i="12"/>
  <c r="B14" i="3" s="1"/>
  <c r="B36" i="12"/>
  <c r="B37" i="12"/>
  <c r="B38" i="12"/>
  <c r="B39" i="12"/>
  <c r="B40" i="12"/>
  <c r="B41" i="12"/>
  <c r="B42" i="12"/>
  <c r="B43" i="12"/>
  <c r="B15" i="3" s="1"/>
  <c r="B44" i="12"/>
  <c r="B45" i="12"/>
  <c r="B46" i="12"/>
  <c r="B47" i="12"/>
  <c r="B48" i="12"/>
  <c r="B34" i="12"/>
  <c r="E13" i="8"/>
  <c r="G13" i="8" s="1"/>
  <c r="D44" i="2" s="1"/>
  <c r="E47" i="2"/>
  <c r="D43" i="2"/>
  <c r="D33" i="2"/>
  <c r="I6" i="8"/>
  <c r="D38" i="2"/>
  <c r="N56" i="10"/>
  <c r="G56" i="10"/>
  <c r="G47" i="10"/>
  <c r="N47" i="10"/>
  <c r="G38" i="10"/>
  <c r="N38" i="10"/>
  <c r="N29" i="10"/>
  <c r="G29" i="10"/>
  <c r="G21" i="10"/>
  <c r="N21" i="10"/>
  <c r="N12" i="10"/>
  <c r="L58" i="10"/>
  <c r="N58" i="10" s="1"/>
  <c r="N5" i="10" s="1"/>
  <c r="L57" i="10"/>
  <c r="N57" i="10" s="1"/>
  <c r="N4" i="10" s="1"/>
  <c r="E58" i="10"/>
  <c r="G58" i="10" s="1"/>
  <c r="M5" i="10" s="1"/>
  <c r="E57" i="10"/>
  <c r="G57" i="10" s="1"/>
  <c r="M4" i="10" s="1"/>
  <c r="L49" i="10"/>
  <c r="N49" i="10" s="1"/>
  <c r="L5" i="10" s="1"/>
  <c r="L48" i="10"/>
  <c r="N48" i="10" s="1"/>
  <c r="L4" i="10" s="1"/>
  <c r="E49" i="10"/>
  <c r="G49" i="10" s="1"/>
  <c r="K5" i="10" s="1"/>
  <c r="E48" i="10"/>
  <c r="G48" i="10" s="1"/>
  <c r="K4" i="10" s="1"/>
  <c r="L40" i="10"/>
  <c r="N40" i="10" s="1"/>
  <c r="J5" i="10" s="1"/>
  <c r="L39" i="10"/>
  <c r="N39" i="10" s="1"/>
  <c r="J4" i="10" s="1"/>
  <c r="E40" i="10"/>
  <c r="G40" i="10" s="1"/>
  <c r="I5" i="10" s="1"/>
  <c r="E39" i="10"/>
  <c r="G39" i="10" s="1"/>
  <c r="I4" i="10" s="1"/>
  <c r="L31" i="10"/>
  <c r="N31" i="10" s="1"/>
  <c r="H5" i="10" s="1"/>
  <c r="L30" i="10"/>
  <c r="N30" i="10" s="1"/>
  <c r="H4" i="10" s="1"/>
  <c r="E31" i="10"/>
  <c r="G31" i="10" s="1"/>
  <c r="G5" i="10" s="1"/>
  <c r="E30" i="10"/>
  <c r="G30" i="10" s="1"/>
  <c r="L23" i="10"/>
  <c r="N23" i="10" s="1"/>
  <c r="F5" i="10" s="1"/>
  <c r="L22" i="10"/>
  <c r="N22" i="10" s="1"/>
  <c r="F4" i="10" s="1"/>
  <c r="E23" i="10"/>
  <c r="G23" i="10" s="1"/>
  <c r="E5" i="10" s="1"/>
  <c r="E22" i="10"/>
  <c r="G22" i="10" s="1"/>
  <c r="L14" i="10"/>
  <c r="N14" i="10" s="1"/>
  <c r="D5" i="10" s="1"/>
  <c r="L13" i="10"/>
  <c r="N13" i="10" s="1"/>
  <c r="D4" i="10" s="1"/>
  <c r="E14" i="10"/>
  <c r="G14" i="10" s="1"/>
  <c r="C5" i="10" s="1"/>
  <c r="I12" i="9"/>
  <c r="H38" i="9"/>
  <c r="H40" i="9"/>
  <c r="H30" i="8"/>
  <c r="G30" i="8"/>
  <c r="F30" i="8"/>
  <c r="E30" i="8"/>
  <c r="D30" i="8"/>
  <c r="F29" i="8"/>
  <c r="G29" i="8" s="1"/>
  <c r="H29" i="8" s="1"/>
  <c r="I28" i="8"/>
  <c r="F36" i="8"/>
  <c r="D6" i="7"/>
  <c r="F55" i="8" l="1"/>
  <c r="D63" i="8"/>
  <c r="C12" i="1"/>
  <c r="C14" i="1"/>
  <c r="D42" i="2"/>
  <c r="O5" i="10"/>
  <c r="C10" i="3" s="1"/>
  <c r="C6" i="1"/>
  <c r="I8" i="8"/>
  <c r="E43" i="2"/>
  <c r="D9" i="8"/>
  <c r="E6" i="8" s="1"/>
  <c r="E9" i="8" s="1"/>
  <c r="F6" i="8" s="1"/>
  <c r="I30" i="8"/>
  <c r="F7" i="8"/>
  <c r="G7" i="8" s="1"/>
  <c r="H7" i="8" s="1"/>
  <c r="G26" i="10"/>
  <c r="G34" i="10"/>
  <c r="G61" i="10"/>
  <c r="E4" i="10"/>
  <c r="G4" i="10"/>
  <c r="N17" i="10"/>
  <c r="N26" i="10"/>
  <c r="N34" i="10"/>
  <c r="N43" i="10"/>
  <c r="N61" i="10"/>
  <c r="N52" i="10"/>
  <c r="G52" i="10"/>
  <c r="G43" i="10"/>
  <c r="I29" i="8"/>
  <c r="D31" i="8"/>
  <c r="E28" i="8" s="1"/>
  <c r="E31" i="8" s="1"/>
  <c r="F28" i="8" s="1"/>
  <c r="F31" i="8" s="1"/>
  <c r="G28" i="8" s="1"/>
  <c r="G31" i="8" s="1"/>
  <c r="H28" i="8" s="1"/>
  <c r="H31" i="8" s="1"/>
  <c r="I31" i="8" s="1"/>
  <c r="F9" i="8" l="1"/>
  <c r="G6" i="8" s="1"/>
  <c r="G9" i="8" s="1"/>
  <c r="H6" i="8" s="1"/>
  <c r="H9" i="8" s="1"/>
  <c r="I9" i="8" s="1"/>
  <c r="I7" i="8"/>
  <c r="C32" i="3" l="1"/>
  <c r="C33" i="3"/>
  <c r="B33" i="3"/>
  <c r="B32" i="3"/>
  <c r="B31" i="3"/>
  <c r="D31" i="3"/>
  <c r="D35" i="3"/>
  <c r="D36" i="3"/>
  <c r="D39" i="3"/>
  <c r="D40" i="3"/>
  <c r="E35" i="3" l="1"/>
  <c r="G35" i="3"/>
  <c r="E36" i="3"/>
  <c r="G36" i="3"/>
  <c r="E40" i="3"/>
  <c r="G40" i="3" s="1"/>
  <c r="E39" i="3"/>
  <c r="G39" i="3" s="1"/>
  <c r="E31" i="3"/>
  <c r="G31" i="3"/>
  <c r="D33" i="3"/>
  <c r="E33" i="3" s="1"/>
  <c r="E32" i="3"/>
  <c r="G32" i="3" s="1"/>
  <c r="G33" i="3" l="1"/>
  <c r="C28" i="3"/>
  <c r="C21" i="3"/>
  <c r="C23" i="3"/>
  <c r="C24" i="3"/>
  <c r="B20" i="3"/>
  <c r="B21" i="3"/>
  <c r="B22" i="3"/>
  <c r="B23" i="3"/>
  <c r="B24" i="3"/>
  <c r="B25" i="3"/>
  <c r="B26" i="3"/>
  <c r="B27" i="3"/>
  <c r="B28" i="3"/>
  <c r="B19" i="3"/>
  <c r="D76" i="8"/>
  <c r="I72" i="8"/>
  <c r="I70" i="8"/>
  <c r="E68" i="8"/>
  <c r="F68" i="8" s="1"/>
  <c r="G64" i="8"/>
  <c r="E64" i="8"/>
  <c r="D64" i="8"/>
  <c r="I62" i="8"/>
  <c r="D21" i="3" l="1"/>
  <c r="D24" i="3"/>
  <c r="E24" i="3" s="1"/>
  <c r="D23" i="3"/>
  <c r="E23" i="3" s="1"/>
  <c r="D28" i="3"/>
  <c r="E28" i="3" s="1"/>
  <c r="E27" i="3"/>
  <c r="E21" i="3"/>
  <c r="D65" i="8"/>
  <c r="D71" i="8" s="1"/>
  <c r="G68" i="8"/>
  <c r="G28" i="3" l="1"/>
  <c r="G21" i="3"/>
  <c r="G24" i="3"/>
  <c r="G23" i="3"/>
  <c r="O53" i="2"/>
  <c r="E62" i="8"/>
  <c r="E65" i="8" s="1"/>
  <c r="E71" i="8" s="1"/>
  <c r="D73" i="8"/>
  <c r="H68" i="8"/>
  <c r="E70" i="8" l="1"/>
  <c r="E76" i="8" s="1"/>
  <c r="D77" i="8"/>
  <c r="F62" i="8"/>
  <c r="E73" i="8" l="1"/>
  <c r="F70" i="8" l="1"/>
  <c r="E77" i="8"/>
  <c r="F76" i="8" l="1"/>
  <c r="H27" i="12" l="1"/>
  <c r="D7" i="3"/>
  <c r="E7" i="3"/>
  <c r="C7" i="3"/>
  <c r="E20" i="8"/>
  <c r="F20" i="8" s="1"/>
  <c r="G20" i="8" s="1"/>
  <c r="H20" i="8" s="1"/>
  <c r="F79" i="12" l="1"/>
  <c r="E79" i="12"/>
  <c r="D79" i="12"/>
  <c r="D73" i="12"/>
  <c r="C38" i="3" s="1"/>
  <c r="D17" i="4" s="1"/>
  <c r="D34" i="4" s="1"/>
  <c r="F69" i="12"/>
  <c r="E69" i="12"/>
  <c r="D69" i="12"/>
  <c r="F47" i="12"/>
  <c r="F34" i="12"/>
  <c r="E13" i="3" s="1"/>
  <c r="E17" i="3" s="1"/>
  <c r="F6" i="4" s="1"/>
  <c r="D78" i="2"/>
  <c r="Q66" i="2"/>
  <c r="Q67" i="2"/>
  <c r="Q65" i="2"/>
  <c r="E68" i="2"/>
  <c r="F68" i="2"/>
  <c r="G68" i="2"/>
  <c r="H68" i="2"/>
  <c r="I68" i="2"/>
  <c r="J68" i="2"/>
  <c r="K68" i="2"/>
  <c r="L68" i="2"/>
  <c r="M68" i="2"/>
  <c r="N68" i="2"/>
  <c r="O68" i="2"/>
  <c r="D68" i="2"/>
  <c r="F54" i="2"/>
  <c r="G54" i="2" s="1"/>
  <c r="E55" i="2"/>
  <c r="F55" i="2" s="1"/>
  <c r="E56" i="2"/>
  <c r="F56" i="2" s="1"/>
  <c r="G56" i="2" s="1"/>
  <c r="E57" i="2"/>
  <c r="F57" i="2" s="1"/>
  <c r="E58" i="2"/>
  <c r="F58" i="2" s="1"/>
  <c r="G58" i="2" s="1"/>
  <c r="H58" i="2" s="1"/>
  <c r="I58" i="2" s="1"/>
  <c r="J58" i="2" s="1"/>
  <c r="K58" i="2" s="1"/>
  <c r="L58" i="2" s="1"/>
  <c r="M58" i="2" s="1"/>
  <c r="N58" i="2" s="1"/>
  <c r="O58" i="2" s="1"/>
  <c r="E53" i="2"/>
  <c r="F53" i="2" s="1"/>
  <c r="G53" i="2" s="1"/>
  <c r="H53" i="2" s="1"/>
  <c r="I53" i="2" s="1"/>
  <c r="J53" i="2" s="1"/>
  <c r="K53" i="2" s="1"/>
  <c r="L53" i="2" s="1"/>
  <c r="M53" i="2" s="1"/>
  <c r="N53" i="2" s="1"/>
  <c r="D59" i="2"/>
  <c r="O47" i="2"/>
  <c r="F34" i="2"/>
  <c r="G34" i="2" s="1"/>
  <c r="H34" i="2" s="1"/>
  <c r="I34" i="2" s="1"/>
  <c r="J34" i="2" s="1"/>
  <c r="K34" i="2" s="1"/>
  <c r="L34" i="2" s="1"/>
  <c r="M34" i="2" s="1"/>
  <c r="N34" i="2" s="1"/>
  <c r="O34" i="2" s="1"/>
  <c r="F38" i="2"/>
  <c r="G38" i="2" s="1"/>
  <c r="H38" i="2" s="1"/>
  <c r="I38" i="2" s="1"/>
  <c r="J38" i="2" s="1"/>
  <c r="K38" i="2" s="1"/>
  <c r="L38" i="2" s="1"/>
  <c r="M38" i="2" s="1"/>
  <c r="N38" i="2" s="1"/>
  <c r="O38" i="2" s="1"/>
  <c r="F42" i="2"/>
  <c r="F43" i="2"/>
  <c r="G43" i="2" s="1"/>
  <c r="H43" i="2" s="1"/>
  <c r="I43" i="2" s="1"/>
  <c r="J43" i="2" s="1"/>
  <c r="K43" i="2" s="1"/>
  <c r="L43" i="2" s="1"/>
  <c r="M43" i="2" s="1"/>
  <c r="N43" i="2" s="1"/>
  <c r="O43" i="2" s="1"/>
  <c r="F46" i="2"/>
  <c r="G46" i="2" s="1"/>
  <c r="H46" i="2" s="1"/>
  <c r="I46" i="2" s="1"/>
  <c r="J46" i="2" s="1"/>
  <c r="K46" i="2" s="1"/>
  <c r="L46" i="2" s="1"/>
  <c r="M46" i="2" s="1"/>
  <c r="N46" i="2" s="1"/>
  <c r="O46" i="2" s="1"/>
  <c r="F47" i="2"/>
  <c r="G47" i="2" s="1"/>
  <c r="H47" i="2" s="1"/>
  <c r="I47" i="2" s="1"/>
  <c r="J47" i="2" s="1"/>
  <c r="K47" i="2" s="1"/>
  <c r="L47" i="2" s="1"/>
  <c r="M47" i="2" s="1"/>
  <c r="F33" i="2"/>
  <c r="G33" i="2" s="1"/>
  <c r="H33" i="2" s="1"/>
  <c r="I33" i="2" s="1"/>
  <c r="J33" i="2" s="1"/>
  <c r="K33" i="2" s="1"/>
  <c r="L33" i="2" s="1"/>
  <c r="M33" i="2" s="1"/>
  <c r="N33" i="2" s="1"/>
  <c r="O33" i="2" s="1"/>
  <c r="E45" i="2"/>
  <c r="F45" i="2" s="1"/>
  <c r="G45" i="2" s="1"/>
  <c r="H45" i="2" s="1"/>
  <c r="I45" i="2" s="1"/>
  <c r="J45" i="2" s="1"/>
  <c r="K45" i="2" s="1"/>
  <c r="L45" i="2" s="1"/>
  <c r="M45" i="2" s="1"/>
  <c r="N45" i="2" s="1"/>
  <c r="O45" i="2" s="1"/>
  <c r="F44" i="2"/>
  <c r="G44" i="2" s="1"/>
  <c r="H44" i="2" s="1"/>
  <c r="I44" i="2" s="1"/>
  <c r="J44" i="2" s="1"/>
  <c r="K44" i="2" s="1"/>
  <c r="L44" i="2" s="1"/>
  <c r="M44" i="2" s="1"/>
  <c r="N44" i="2" s="1"/>
  <c r="O44" i="2" s="1"/>
  <c r="E37" i="2"/>
  <c r="F37" i="2" s="1"/>
  <c r="G37" i="2" s="1"/>
  <c r="H37" i="2" s="1"/>
  <c r="I37" i="2" s="1"/>
  <c r="J37" i="2" s="1"/>
  <c r="K37" i="2" s="1"/>
  <c r="L37" i="2" s="1"/>
  <c r="M37" i="2" s="1"/>
  <c r="N37" i="2" s="1"/>
  <c r="O37" i="2" s="1"/>
  <c r="E39" i="2"/>
  <c r="F39" i="2" s="1"/>
  <c r="G39" i="2" s="1"/>
  <c r="H39" i="2" s="1"/>
  <c r="I39" i="2" s="1"/>
  <c r="J39" i="2" s="1"/>
  <c r="K39" i="2" s="1"/>
  <c r="L39" i="2" s="1"/>
  <c r="M39" i="2" s="1"/>
  <c r="N39" i="2" s="1"/>
  <c r="O39" i="2" s="1"/>
  <c r="E40" i="2"/>
  <c r="F40" i="2" s="1"/>
  <c r="G40" i="2" s="1"/>
  <c r="H40" i="2" s="1"/>
  <c r="I40" i="2" s="1"/>
  <c r="J40" i="2" s="1"/>
  <c r="K40" i="2" s="1"/>
  <c r="L40" i="2" s="1"/>
  <c r="M40" i="2" s="1"/>
  <c r="N40" i="2" s="1"/>
  <c r="O40" i="2" s="1"/>
  <c r="E41" i="2"/>
  <c r="F41" i="2" s="1"/>
  <c r="G41" i="2" s="1"/>
  <c r="H41" i="2" s="1"/>
  <c r="I41" i="2" s="1"/>
  <c r="J41" i="2" s="1"/>
  <c r="K41" i="2" s="1"/>
  <c r="L41" i="2" s="1"/>
  <c r="M41" i="2" s="1"/>
  <c r="N41" i="2" s="1"/>
  <c r="O41" i="2" s="1"/>
  <c r="I8" i="11"/>
  <c r="H7" i="11"/>
  <c r="G7" i="11"/>
  <c r="F7" i="11"/>
  <c r="E7" i="11"/>
  <c r="D9" i="11"/>
  <c r="E6" i="11" s="1"/>
  <c r="I6" i="11"/>
  <c r="C22" i="3"/>
  <c r="F12" i="9"/>
  <c r="H12" i="9" s="1"/>
  <c r="F13" i="9"/>
  <c r="F14" i="9"/>
  <c r="F15" i="9"/>
  <c r="H15" i="9" s="1"/>
  <c r="K17" i="9" s="1"/>
  <c r="F16" i="9"/>
  <c r="H13" i="9"/>
  <c r="I13" i="9" s="1"/>
  <c r="H14" i="9"/>
  <c r="I14" i="9" s="1"/>
  <c r="G42" i="2" l="1"/>
  <c r="H42" i="2" s="1"/>
  <c r="I42" i="2" s="1"/>
  <c r="J42" i="2" s="1"/>
  <c r="K42" i="2" s="1"/>
  <c r="L42" i="2" s="1"/>
  <c r="M42" i="2" s="1"/>
  <c r="N42" i="2" s="1"/>
  <c r="O42" i="2" s="1"/>
  <c r="F38" i="4"/>
  <c r="G55" i="2"/>
  <c r="H55" i="2" s="1"/>
  <c r="Q53" i="2"/>
  <c r="D54" i="12" s="1"/>
  <c r="D8" i="4" s="1"/>
  <c r="Q58" i="2"/>
  <c r="D59" i="12" s="1"/>
  <c r="G57" i="2"/>
  <c r="H57" i="2" s="1"/>
  <c r="I57" i="2" s="1"/>
  <c r="J57" i="2" s="1"/>
  <c r="K57" i="2" s="1"/>
  <c r="L57" i="2" s="1"/>
  <c r="M57" i="2" s="1"/>
  <c r="N57" i="2" s="1"/>
  <c r="O57" i="2" s="1"/>
  <c r="E13" i="10"/>
  <c r="G13" i="10" s="1"/>
  <c r="C4" i="10" s="1"/>
  <c r="I15" i="9"/>
  <c r="H22" i="9"/>
  <c r="D35" i="2" s="1"/>
  <c r="Q33" i="2"/>
  <c r="D34" i="12" s="1"/>
  <c r="D22" i="3"/>
  <c r="E22" i="3" s="1"/>
  <c r="D10" i="3"/>
  <c r="E9" i="11"/>
  <c r="F6" i="11" s="1"/>
  <c r="F9" i="11" s="1"/>
  <c r="G6" i="11" s="1"/>
  <c r="G9" i="11" s="1"/>
  <c r="H6" i="11" s="1"/>
  <c r="H9" i="11" s="1"/>
  <c r="I9" i="11" s="1"/>
  <c r="I7" i="11"/>
  <c r="H79" i="12"/>
  <c r="H69" i="12"/>
  <c r="Q68" i="2"/>
  <c r="H54" i="2"/>
  <c r="I54" i="2" s="1"/>
  <c r="J54" i="2" s="1"/>
  <c r="K54" i="2" s="1"/>
  <c r="L54" i="2" s="1"/>
  <c r="M54" i="2" s="1"/>
  <c r="N54" i="2" s="1"/>
  <c r="O54" i="2" s="1"/>
  <c r="F59" i="2"/>
  <c r="E59" i="2"/>
  <c r="Q34" i="2"/>
  <c r="D35" i="12" s="1"/>
  <c r="D19" i="12"/>
  <c r="C10" i="10" l="1"/>
  <c r="D10" i="10" s="1"/>
  <c r="O4" i="10"/>
  <c r="E54" i="12"/>
  <c r="E8" i="4" s="1"/>
  <c r="C13" i="3"/>
  <c r="G13" i="3" s="1"/>
  <c r="H34" i="12"/>
  <c r="E59" i="12"/>
  <c r="F59" i="12" s="1"/>
  <c r="H59" i="12"/>
  <c r="C14" i="3"/>
  <c r="G22" i="3"/>
  <c r="E10" i="3"/>
  <c r="G10" i="3" s="1"/>
  <c r="I55" i="2"/>
  <c r="J55" i="2" s="1"/>
  <c r="K55" i="2" s="1"/>
  <c r="L55" i="2" s="1"/>
  <c r="M55" i="2" s="1"/>
  <c r="N55" i="2" s="1"/>
  <c r="O55" i="2" s="1"/>
  <c r="Q55" i="2"/>
  <c r="D56" i="12" s="1"/>
  <c r="D14" i="3"/>
  <c r="Q57" i="2"/>
  <c r="D58" i="12" s="1"/>
  <c r="G18" i="2"/>
  <c r="H18" i="2" s="1"/>
  <c r="I18" i="2" s="1"/>
  <c r="J18" i="2" s="1"/>
  <c r="E19" i="12"/>
  <c r="F19" i="12" s="1"/>
  <c r="Q54" i="2"/>
  <c r="F18" i="2"/>
  <c r="D18" i="2"/>
  <c r="G17" i="10"/>
  <c r="H19" i="12" l="1"/>
  <c r="C9" i="3"/>
  <c r="D18" i="12"/>
  <c r="O8" i="10"/>
  <c r="E56" i="12"/>
  <c r="F56" i="12" s="1"/>
  <c r="H56" i="12"/>
  <c r="E58" i="12"/>
  <c r="F58" i="12" s="1"/>
  <c r="H58" i="12"/>
  <c r="F54" i="12"/>
  <c r="F8" i="4" s="1"/>
  <c r="H35" i="12"/>
  <c r="E7" i="4"/>
  <c r="D7" i="4"/>
  <c r="H7" i="4" s="1"/>
  <c r="G14" i="3"/>
  <c r="E18" i="2"/>
  <c r="D55" i="12"/>
  <c r="F17" i="2"/>
  <c r="E17" i="2"/>
  <c r="D17" i="2"/>
  <c r="G17" i="2"/>
  <c r="K18" i="2"/>
  <c r="E18" i="12" l="1"/>
  <c r="F18" i="12" s="1"/>
  <c r="F20" i="12" s="1"/>
  <c r="D20" i="12"/>
  <c r="D9" i="3"/>
  <c r="C11" i="3"/>
  <c r="H18" i="12"/>
  <c r="F10" i="4"/>
  <c r="H54" i="12"/>
  <c r="Q37" i="2"/>
  <c r="D38" i="12" s="1"/>
  <c r="E19" i="2"/>
  <c r="F19" i="2"/>
  <c r="H17" i="2"/>
  <c r="G19" i="2"/>
  <c r="D19" i="2"/>
  <c r="D10" i="2" s="1"/>
  <c r="L18" i="2"/>
  <c r="E20" i="12" l="1"/>
  <c r="E11" i="12" s="1"/>
  <c r="D11" i="12"/>
  <c r="D29" i="12"/>
  <c r="E9" i="3"/>
  <c r="D11" i="3"/>
  <c r="E38" i="12"/>
  <c r="F38" i="12" s="1"/>
  <c r="H38" i="12"/>
  <c r="H8" i="4"/>
  <c r="F55" i="12"/>
  <c r="H55" i="12" s="1"/>
  <c r="E29" i="12"/>
  <c r="F11" i="12"/>
  <c r="F29" i="12"/>
  <c r="Q38" i="2"/>
  <c r="D39" i="12" s="1"/>
  <c r="F28" i="2"/>
  <c r="F10" i="2"/>
  <c r="G10" i="2"/>
  <c r="G28" i="2"/>
  <c r="H19" i="2"/>
  <c r="I17" i="2"/>
  <c r="E10" i="2"/>
  <c r="E28" i="2"/>
  <c r="M18" i="2"/>
  <c r="H21" i="8"/>
  <c r="G21" i="8"/>
  <c r="F21" i="8"/>
  <c r="E21" i="8"/>
  <c r="D21" i="8"/>
  <c r="D22" i="8" s="1"/>
  <c r="E19" i="8" s="1"/>
  <c r="I19" i="8"/>
  <c r="E45" i="9"/>
  <c r="F9" i="9"/>
  <c r="E6" i="7"/>
  <c r="G9" i="3" l="1"/>
  <c r="E11" i="3"/>
  <c r="G11" i="3" s="1"/>
  <c r="H11" i="12"/>
  <c r="E39" i="12"/>
  <c r="F39" i="12" s="1"/>
  <c r="C29" i="1"/>
  <c r="F6" i="7"/>
  <c r="I19" i="2"/>
  <c r="J17" i="2"/>
  <c r="H10" i="2"/>
  <c r="H28" i="2"/>
  <c r="N18" i="2"/>
  <c r="E22" i="8"/>
  <c r="F19" i="8" s="1"/>
  <c r="F22" i="8" s="1"/>
  <c r="G19" i="8" s="1"/>
  <c r="G22" i="8" s="1"/>
  <c r="H19" i="8" s="1"/>
  <c r="H22" i="8" s="1"/>
  <c r="I22" i="8" s="1"/>
  <c r="I20" i="8"/>
  <c r="I21" i="8"/>
  <c r="H9" i="9"/>
  <c r="D37" i="9" s="1"/>
  <c r="H45" i="9"/>
  <c r="I45" i="9" s="1"/>
  <c r="I46" i="9" s="1"/>
  <c r="H39" i="12" l="1"/>
  <c r="G6" i="7"/>
  <c r="Q39" i="2"/>
  <c r="D40" i="12" s="1"/>
  <c r="J19" i="2"/>
  <c r="K17" i="2"/>
  <c r="I9" i="9"/>
  <c r="I10" i="2"/>
  <c r="I28" i="2"/>
  <c r="O18" i="2"/>
  <c r="H29" i="9"/>
  <c r="I40" i="9"/>
  <c r="E40" i="12" l="1"/>
  <c r="F40" i="12" s="1"/>
  <c r="H40" i="12"/>
  <c r="H64" i="8"/>
  <c r="F65" i="8"/>
  <c r="F71" i="8" s="1"/>
  <c r="H6" i="7"/>
  <c r="I29" i="9"/>
  <c r="I36" i="9" s="1"/>
  <c r="H36" i="9"/>
  <c r="Q40" i="2"/>
  <c r="D41" i="12" s="1"/>
  <c r="L17" i="2"/>
  <c r="K19" i="2"/>
  <c r="J10" i="2"/>
  <c r="J28" i="2"/>
  <c r="I41" i="9"/>
  <c r="Q18" i="2"/>
  <c r="I22" i="9"/>
  <c r="E41" i="12" l="1"/>
  <c r="F41" i="12" s="1"/>
  <c r="H41" i="12"/>
  <c r="F73" i="8"/>
  <c r="G70" i="8" s="1"/>
  <c r="G62" i="8"/>
  <c r="H56" i="2"/>
  <c r="G59" i="2"/>
  <c r="H20" i="12"/>
  <c r="H29" i="12" s="1"/>
  <c r="Q41" i="2"/>
  <c r="D42" i="12" s="1"/>
  <c r="K28" i="2"/>
  <c r="K10" i="2"/>
  <c r="L19" i="2"/>
  <c r="M17" i="2"/>
  <c r="E42" i="12" l="1"/>
  <c r="C25" i="3"/>
  <c r="E35" i="2"/>
  <c r="F35" i="2" s="1"/>
  <c r="G35" i="2" s="1"/>
  <c r="F77" i="8"/>
  <c r="G65" i="8"/>
  <c r="G76" i="8"/>
  <c r="I64" i="8"/>
  <c r="I63" i="8"/>
  <c r="E36" i="2"/>
  <c r="F36" i="2" s="1"/>
  <c r="G36" i="2" s="1"/>
  <c r="H36" i="2" s="1"/>
  <c r="I36" i="2" s="1"/>
  <c r="J36" i="2" s="1"/>
  <c r="K36" i="2" s="1"/>
  <c r="L36" i="2" s="1"/>
  <c r="M36" i="2" s="1"/>
  <c r="N36" i="2" s="1"/>
  <c r="O36" i="2" s="1"/>
  <c r="C20" i="3"/>
  <c r="I56" i="2"/>
  <c r="H59" i="2"/>
  <c r="M19" i="2"/>
  <c r="N17" i="2"/>
  <c r="L28" i="2"/>
  <c r="L10" i="2"/>
  <c r="F42" i="12" l="1"/>
  <c r="D25" i="3"/>
  <c r="F48" i="2"/>
  <c r="F11" i="2" s="1"/>
  <c r="H62" i="8"/>
  <c r="G71" i="8"/>
  <c r="G73" i="8" s="1"/>
  <c r="H70" i="8" s="1"/>
  <c r="D20" i="3"/>
  <c r="E20" i="3" s="1"/>
  <c r="E48" i="2"/>
  <c r="E11" i="2" s="1"/>
  <c r="Q36" i="2"/>
  <c r="D37" i="12" s="1"/>
  <c r="J56" i="2"/>
  <c r="I59" i="2"/>
  <c r="H35" i="2"/>
  <c r="G48" i="2"/>
  <c r="Q43" i="2"/>
  <c r="D44" i="12" s="1"/>
  <c r="N19" i="2"/>
  <c r="O17" i="2"/>
  <c r="O19" i="2" s="1"/>
  <c r="M10" i="2"/>
  <c r="M28" i="2"/>
  <c r="C33" i="1" l="1"/>
  <c r="E44" i="12"/>
  <c r="C26" i="3"/>
  <c r="E25" i="3"/>
  <c r="G25" i="3" s="1"/>
  <c r="H42" i="12"/>
  <c r="G20" i="3"/>
  <c r="F61" i="2"/>
  <c r="F70" i="2" s="1"/>
  <c r="E61" i="2"/>
  <c r="E70" i="2" s="1"/>
  <c r="H65" i="8"/>
  <c r="I65" i="8" s="1"/>
  <c r="H76" i="8"/>
  <c r="G77" i="8"/>
  <c r="E37" i="12"/>
  <c r="K56" i="2"/>
  <c r="J59" i="2"/>
  <c r="G11" i="2"/>
  <c r="G61" i="2"/>
  <c r="Q17" i="2"/>
  <c r="I35" i="2"/>
  <c r="H48" i="2"/>
  <c r="D48" i="2"/>
  <c r="Q42" i="2"/>
  <c r="D43" i="12" s="1"/>
  <c r="Q44" i="2"/>
  <c r="D45" i="12" s="1"/>
  <c r="O28" i="2"/>
  <c r="O10" i="2"/>
  <c r="N28" i="2"/>
  <c r="N10" i="2"/>
  <c r="D11" i="2" l="1"/>
  <c r="D26" i="3"/>
  <c r="E40" i="4" s="1"/>
  <c r="F44" i="12"/>
  <c r="C20" i="1"/>
  <c r="C27" i="3"/>
  <c r="G27" i="3" s="1"/>
  <c r="H14" i="4"/>
  <c r="C15" i="3"/>
  <c r="C17" i="3" s="1"/>
  <c r="H43" i="12"/>
  <c r="D15" i="3"/>
  <c r="D17" i="3" s="1"/>
  <c r="E6" i="4" s="1"/>
  <c r="E45" i="12"/>
  <c r="F45" i="12" s="1"/>
  <c r="F37" i="12"/>
  <c r="H37" i="12" s="1"/>
  <c r="H71" i="8"/>
  <c r="H73" i="8" s="1"/>
  <c r="I73" i="8" s="1"/>
  <c r="L56" i="2"/>
  <c r="K59" i="2"/>
  <c r="Q19" i="2"/>
  <c r="H11" i="2"/>
  <c r="H61" i="2"/>
  <c r="J35" i="2"/>
  <c r="I48" i="2"/>
  <c r="G70" i="2"/>
  <c r="H45" i="12" l="1"/>
  <c r="D40" i="4"/>
  <c r="H44" i="12"/>
  <c r="E26" i="3"/>
  <c r="F40" i="4" s="1"/>
  <c r="G15" i="3"/>
  <c r="E38" i="4"/>
  <c r="H38" i="4" s="1"/>
  <c r="H42" i="4" s="1"/>
  <c r="H44" i="4" s="1"/>
  <c r="D25" i="4"/>
  <c r="E10" i="4"/>
  <c r="H6" i="4"/>
  <c r="H10" i="4" s="1"/>
  <c r="H21" i="4" s="1"/>
  <c r="G17" i="3"/>
  <c r="H77" i="8"/>
  <c r="M56" i="2"/>
  <c r="L59" i="2"/>
  <c r="K35" i="2"/>
  <c r="J48" i="2"/>
  <c r="H70" i="2"/>
  <c r="I11" i="2"/>
  <c r="I61" i="2"/>
  <c r="D42" i="4" l="1"/>
  <c r="H40" i="4"/>
  <c r="G26" i="3"/>
  <c r="H25" i="4"/>
  <c r="N56" i="2"/>
  <c r="M59" i="2"/>
  <c r="I70" i="2"/>
  <c r="J11" i="2"/>
  <c r="J61" i="2"/>
  <c r="L35" i="2"/>
  <c r="K48" i="2"/>
  <c r="O56" i="2" l="1"/>
  <c r="N59" i="2"/>
  <c r="J70" i="2"/>
  <c r="K11" i="2"/>
  <c r="K61" i="2"/>
  <c r="M35" i="2"/>
  <c r="L48" i="2"/>
  <c r="Q45" i="2"/>
  <c r="D46" i="12" s="1"/>
  <c r="E46" i="12" l="1"/>
  <c r="F46" i="12" s="1"/>
  <c r="O59" i="2"/>
  <c r="Q56" i="2"/>
  <c r="L11" i="2"/>
  <c r="L61" i="2"/>
  <c r="K70" i="2"/>
  <c r="N35" i="2"/>
  <c r="M48" i="2"/>
  <c r="H46" i="12" l="1"/>
  <c r="D57" i="12"/>
  <c r="Q59" i="2"/>
  <c r="M11" i="2"/>
  <c r="M61" i="2"/>
  <c r="L70" i="2"/>
  <c r="N48" i="2"/>
  <c r="O35" i="2"/>
  <c r="Q35" i="2" s="1"/>
  <c r="D36" i="12" l="1"/>
  <c r="E57" i="12"/>
  <c r="D60" i="12"/>
  <c r="O48" i="2"/>
  <c r="M70" i="2"/>
  <c r="N11" i="2"/>
  <c r="N61" i="2"/>
  <c r="E36" i="12" l="1"/>
  <c r="C28" i="1"/>
  <c r="C34" i="1" s="1"/>
  <c r="C19" i="3"/>
  <c r="F57" i="12"/>
  <c r="H57" i="12" s="1"/>
  <c r="E60" i="12"/>
  <c r="F36" i="12"/>
  <c r="N70" i="2"/>
  <c r="O11" i="2"/>
  <c r="O61" i="2"/>
  <c r="Q46" i="2"/>
  <c r="D47" i="12" s="1"/>
  <c r="H47" i="12" s="1"/>
  <c r="H36" i="12" l="1"/>
  <c r="D28" i="4"/>
  <c r="C34" i="3"/>
  <c r="D19" i="3"/>
  <c r="H60" i="12"/>
  <c r="F60" i="12"/>
  <c r="O70" i="2"/>
  <c r="Q47" i="2"/>
  <c r="C37" i="3" l="1"/>
  <c r="C41" i="3" s="1"/>
  <c r="C42" i="3" s="1"/>
  <c r="C44" i="3" s="1"/>
  <c r="E28" i="4"/>
  <c r="E31" i="4" s="1"/>
  <c r="E19" i="3"/>
  <c r="D34" i="3"/>
  <c r="D37" i="3" s="1"/>
  <c r="D31" i="4"/>
  <c r="Q48" i="2"/>
  <c r="D48" i="12"/>
  <c r="E48" i="12" s="1"/>
  <c r="D41" i="3" l="1"/>
  <c r="D42" i="3" s="1"/>
  <c r="D44" i="3" s="1"/>
  <c r="E12" i="4" s="1"/>
  <c r="F48" i="12"/>
  <c r="E49" i="12"/>
  <c r="F28" i="4"/>
  <c r="E34" i="3"/>
  <c r="G19" i="3"/>
  <c r="E12" i="12" l="1"/>
  <c r="E13" i="12" s="1"/>
  <c r="E62" i="12"/>
  <c r="E71" i="12" s="1"/>
  <c r="E75" i="12" s="1"/>
  <c r="E81" i="12" s="1"/>
  <c r="E39" i="4"/>
  <c r="E42" i="4" s="1"/>
  <c r="E44" i="4" s="1"/>
  <c r="E19" i="4"/>
  <c r="E21" i="4" s="1"/>
  <c r="H48" i="12"/>
  <c r="F49" i="12"/>
  <c r="G34" i="3"/>
  <c r="E37" i="3"/>
  <c r="G37" i="3" s="1"/>
  <c r="F31" i="4"/>
  <c r="H28" i="4"/>
  <c r="H31" i="4" s="1"/>
  <c r="I71" i="8"/>
  <c r="D49" i="12"/>
  <c r="D12" i="12" s="1"/>
  <c r="F12" i="12" l="1"/>
  <c r="F13" i="12" s="1"/>
  <c r="F62" i="12"/>
  <c r="F71" i="12" s="1"/>
  <c r="E46" i="4"/>
  <c r="D62" i="12"/>
  <c r="H49" i="12"/>
  <c r="F73" i="12" l="1"/>
  <c r="F75" i="12" s="1"/>
  <c r="F81" i="12" s="1"/>
  <c r="H62" i="12"/>
  <c r="H71" i="12" s="1"/>
  <c r="H12" i="12"/>
  <c r="D13" i="12"/>
  <c r="H13" i="12" s="1"/>
  <c r="D71" i="12"/>
  <c r="E38" i="3" l="1"/>
  <c r="H73" i="12"/>
  <c r="H75" i="12" s="1"/>
  <c r="H81" i="12" s="1"/>
  <c r="D75" i="12"/>
  <c r="D81" i="12" s="1"/>
  <c r="F17" i="4" l="1"/>
  <c r="G38" i="3"/>
  <c r="E41" i="3"/>
  <c r="G41" i="3" s="1"/>
  <c r="E12" i="2"/>
  <c r="F12" i="2"/>
  <c r="G12" i="2"/>
  <c r="H12" i="2"/>
  <c r="I12" i="2"/>
  <c r="J12" i="2"/>
  <c r="K12" i="2"/>
  <c r="L12" i="2"/>
  <c r="M12" i="2"/>
  <c r="N12" i="2"/>
  <c r="O12" i="2"/>
  <c r="E42" i="3" l="1"/>
  <c r="G42" i="3" s="1"/>
  <c r="H17" i="4"/>
  <c r="F34" i="4"/>
  <c r="C15" i="1"/>
  <c r="O78" i="2"/>
  <c r="N78" i="2"/>
  <c r="M78" i="2"/>
  <c r="L78" i="2"/>
  <c r="K78" i="2"/>
  <c r="J78" i="2"/>
  <c r="I78" i="2"/>
  <c r="H78" i="2"/>
  <c r="G78" i="2"/>
  <c r="F78" i="2"/>
  <c r="E78" i="2"/>
  <c r="O72" i="2"/>
  <c r="N72" i="2"/>
  <c r="M72" i="2"/>
  <c r="L72" i="2"/>
  <c r="K72" i="2"/>
  <c r="J72" i="2"/>
  <c r="I72" i="2"/>
  <c r="H72" i="2"/>
  <c r="G72" i="2"/>
  <c r="F72" i="2"/>
  <c r="E72" i="2"/>
  <c r="D72" i="2"/>
  <c r="D28" i="2"/>
  <c r="D61" i="2" s="1"/>
  <c r="Q26" i="2"/>
  <c r="Q25" i="2"/>
  <c r="Q24" i="2"/>
  <c r="D12" i="2"/>
  <c r="Q11" i="2"/>
  <c r="E44" i="3" l="1"/>
  <c r="G44" i="3" s="1"/>
  <c r="F36" i="4"/>
  <c r="H34" i="4"/>
  <c r="H36" i="4" s="1"/>
  <c r="D70" i="2"/>
  <c r="Q28" i="2"/>
  <c r="H74" i="2"/>
  <c r="H80" i="2" s="1"/>
  <c r="L74" i="2"/>
  <c r="L80" i="2" s="1"/>
  <c r="E74" i="2"/>
  <c r="E80" i="2" s="1"/>
  <c r="F74" i="2"/>
  <c r="F80" i="2" s="1"/>
  <c r="J74" i="2"/>
  <c r="J80" i="2" s="1"/>
  <c r="N74" i="2"/>
  <c r="N80" i="2" s="1"/>
  <c r="K74" i="2"/>
  <c r="K80" i="2" s="1"/>
  <c r="O74" i="2"/>
  <c r="O80" i="2" s="1"/>
  <c r="Q78" i="2"/>
  <c r="G74" i="2"/>
  <c r="G80" i="2" s="1"/>
  <c r="I74" i="2"/>
  <c r="I80" i="2" s="1"/>
  <c r="M74" i="2"/>
  <c r="M80" i="2" s="1"/>
  <c r="F12" i="4" l="1"/>
  <c r="F39" i="4" s="1"/>
  <c r="D74" i="2"/>
  <c r="D80" i="2" s="1"/>
  <c r="Q61" i="2"/>
  <c r="Q70" i="2" s="1"/>
  <c r="Q10" i="2"/>
  <c r="Q23" i="2"/>
  <c r="F19" i="4" l="1"/>
  <c r="F21" i="4" s="1"/>
  <c r="H12" i="4"/>
  <c r="H19" i="4" s="1"/>
  <c r="F42" i="4"/>
  <c r="F44" i="4" s="1"/>
  <c r="Q72" i="2"/>
  <c r="D36" i="4" s="1"/>
  <c r="D44" i="4" s="1"/>
  <c r="Q12" i="2"/>
  <c r="H46" i="4" l="1"/>
  <c r="F46" i="4"/>
  <c r="Q74" i="2"/>
  <c r="Q80" i="2" l="1"/>
  <c r="D19" i="4" l="1"/>
  <c r="D21" i="4" s="1"/>
  <c r="D46" i="4" s="1"/>
</calcChain>
</file>

<file path=xl/sharedStrings.xml><?xml version="1.0" encoding="utf-8"?>
<sst xmlns="http://schemas.openxmlformats.org/spreadsheetml/2006/main" count="772" uniqueCount="272">
  <si>
    <t>CAPITAL BUDGET</t>
  </si>
  <si>
    <t>PERAMARE MEDICAL</t>
  </si>
  <si>
    <t>[YEAR]</t>
  </si>
  <si>
    <t xml:space="preserve">1st JANUARY </t>
  </si>
  <si>
    <t>ESTIMATE</t>
  </si>
  <si>
    <t xml:space="preserve">  CAPITAL EXPENDITURE</t>
  </si>
  <si>
    <t>Purchase Of Motor Vehicle</t>
  </si>
  <si>
    <t>Purchase Of Building</t>
  </si>
  <si>
    <t>Construction And Renovation</t>
  </si>
  <si>
    <t>Purchase Of Office Supplies</t>
  </si>
  <si>
    <t>Furnitures and Fittings</t>
  </si>
  <si>
    <t>Purchase Of Land</t>
  </si>
  <si>
    <t>Purchase Of Machinery</t>
  </si>
  <si>
    <t>TOTAL CAPITAL EXPENDITURE</t>
  </si>
  <si>
    <t>EXPENDITURE</t>
  </si>
  <si>
    <t>Training</t>
  </si>
  <si>
    <t>Subscription</t>
  </si>
  <si>
    <t>Office expense</t>
  </si>
  <si>
    <t>Utilities</t>
  </si>
  <si>
    <t>Landscaping</t>
  </si>
  <si>
    <t>Agent fees</t>
  </si>
  <si>
    <t>Legal fees</t>
  </si>
  <si>
    <t xml:space="preserve">Salaries &amp; Wages </t>
  </si>
  <si>
    <t>Rent</t>
  </si>
  <si>
    <t xml:space="preserve">Mortgage </t>
  </si>
  <si>
    <t>Advertising, Marketing, and Promotions</t>
  </si>
  <si>
    <t>Insurance</t>
  </si>
  <si>
    <t>Maintenance and Repairs</t>
  </si>
  <si>
    <t>TOTAL EXPENDITURE</t>
  </si>
  <si>
    <t>PROJECTED INCOME STATEMENT</t>
  </si>
  <si>
    <t>COMPANY NAME</t>
  </si>
  <si>
    <t>TIME PERIOD REPRESENTED</t>
  </si>
  <si>
    <t>TREND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</si>
  <si>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</si>
  <si>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</si>
  <si>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</si>
  <si>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</si>
  <si>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</si>
  <si>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</si>
  <si>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</si>
  <si>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</si>
  <si>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</si>
  <si>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</si>
  <si>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</si>
  <si>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</si>
  <si>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</si>
  <si>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TOTAL EXPENSES</t>
  </si>
  <si>
    <t>PROFIT / LOSS</t>
  </si>
  <si>
    <t>REVENUE</t>
  </si>
  <si>
    <t>TOTAL REVENUE</t>
  </si>
  <si>
    <t>COST OF SALES</t>
  </si>
  <si>
    <t>Less Sales Returns</t>
  </si>
  <si>
    <t>Less Sales Discounts</t>
  </si>
  <si>
    <t>Less Cost of Goods Sold</t>
  </si>
  <si>
    <t>GROSS PROFIT  |  REVENUE - COST OF SALES</t>
  </si>
  <si>
    <t>EXPENSES</t>
  </si>
  <si>
    <t>ADMINISTRATIVE EXPENSE</t>
  </si>
  <si>
    <t xml:space="preserve">Rent and Mortgage </t>
  </si>
  <si>
    <t>Office Supplies</t>
  </si>
  <si>
    <t>Others</t>
  </si>
  <si>
    <t>TOTAL ADMINISTRATIVE EXPENSE</t>
  </si>
  <si>
    <t>SELLING AND DISTRIBUTION COST</t>
  </si>
  <si>
    <t>Fuel</t>
  </si>
  <si>
    <t>Licensing</t>
  </si>
  <si>
    <t>TOTAL SELLING AND DISTRIBUTION COST</t>
  </si>
  <si>
    <t>PROFIT BEFORE INTREST AND TAX</t>
  </si>
  <si>
    <t>FINANCE COST</t>
  </si>
  <si>
    <t>Bad Debts</t>
  </si>
  <si>
    <t>Interest Paid</t>
  </si>
  <si>
    <t>Loan Fees</t>
  </si>
  <si>
    <t>TOTAL FINANCE COST</t>
  </si>
  <si>
    <t>PROFIT BEFORE TAX</t>
  </si>
  <si>
    <t>INCOME TAX EXPENSE</t>
  </si>
  <si>
    <t>PROFIT FOR THE YEAR</t>
  </si>
  <si>
    <t>OTHER COMPREHENSIVE INCOME</t>
  </si>
  <si>
    <t>REVALUATION SURPLUS/DEFICIT</t>
  </si>
  <si>
    <t>TOTAL COMPREHENSIVE INCOME</t>
  </si>
  <si>
    <t>CLICK HERE TO CREATE IN SMARTSHEET</t>
  </si>
  <si>
    <t>PROJECTED CASH FLOW STATEMENT</t>
  </si>
  <si>
    <t>TOTAL</t>
  </si>
  <si>
    <t xml:space="preserve">  OPERATING ACTIVITIES</t>
  </si>
  <si>
    <t>GOVERNMENT GRANT</t>
  </si>
  <si>
    <t>DIVIDEND PAID</t>
  </si>
  <si>
    <t>ORDINARY SHARES</t>
  </si>
  <si>
    <t>CASH AND CASH EQUIVALENT AT THE END OF YEAR</t>
  </si>
  <si>
    <t>PROJECTED STATEMENT OF FINANCIAL POSITION</t>
  </si>
  <si>
    <t>ASSETS</t>
  </si>
  <si>
    <t>LIABILITIES AND OWNER'S EQUITY</t>
  </si>
  <si>
    <t>NON-CURRENT ASSETS (LONG-TERM) ASSETS</t>
  </si>
  <si>
    <t>CURRENT LIABILITIES</t>
  </si>
  <si>
    <t>Long-Term Investments</t>
  </si>
  <si>
    <t>Accounts Payable</t>
  </si>
  <si>
    <t>Property, Plant, and Equipment</t>
  </si>
  <si>
    <t>Short-Term Loans</t>
  </si>
  <si>
    <t>(Less Accumulated Depreciation)</t>
  </si>
  <si>
    <t>Income Taxes Payable</t>
  </si>
  <si>
    <t>Intangible Assets</t>
  </si>
  <si>
    <t>Accrued Salaries and Wages</t>
  </si>
  <si>
    <t>TOTAL NON-CURRENT ASSETS</t>
  </si>
  <si>
    <t>Unearned Revenue</t>
  </si>
  <si>
    <t>CURRENT ASSETS</t>
  </si>
  <si>
    <t>Current Portion of Long-Term Debt</t>
  </si>
  <si>
    <t>Cash</t>
  </si>
  <si>
    <t>TOTAL CURRENT LIABILITIES</t>
  </si>
  <si>
    <t>Accounts Receivable</t>
  </si>
  <si>
    <t>LONG-TERM LIABILITIES</t>
  </si>
  <si>
    <t>Inventory</t>
  </si>
  <si>
    <t>Long-Term Debt</t>
  </si>
  <si>
    <t>Prepaid Expenses</t>
  </si>
  <si>
    <t>Deferred Income Tax</t>
  </si>
  <si>
    <t>Short-Term Investments</t>
  </si>
  <si>
    <t>Other</t>
  </si>
  <si>
    <t>TOTAL LONG-TERM LIABILITIES</t>
  </si>
  <si>
    <t>OWNER'S EQUITY</t>
  </si>
  <si>
    <t>TOTAL CURRENT ASSETS</t>
  </si>
  <si>
    <t>Owner's Investment</t>
  </si>
  <si>
    <t>Retained Earnings</t>
  </si>
  <si>
    <t>TOTAL ASSETS</t>
  </si>
  <si>
    <t>TOTAL OWNER'S EQUITY</t>
  </si>
  <si>
    <t>TOTAL LIABILITIES AND OWNER'S EQUITY</t>
  </si>
  <si>
    <t>Marketing, and Promotions</t>
  </si>
  <si>
    <t>Staff Welfare, Medicals and Entertainment</t>
  </si>
  <si>
    <t>Internet and communication</t>
  </si>
  <si>
    <t>Training and Development</t>
  </si>
  <si>
    <t>Consultancy fees</t>
  </si>
  <si>
    <t>Assumptions</t>
  </si>
  <si>
    <t>USD</t>
  </si>
  <si>
    <t>Rate</t>
  </si>
  <si>
    <t>NGN</t>
  </si>
  <si>
    <t>NO. of Swap Stations</t>
  </si>
  <si>
    <t>Number of Tricycles</t>
  </si>
  <si>
    <t>Year 1</t>
  </si>
  <si>
    <t>Year 2</t>
  </si>
  <si>
    <t>Year 3</t>
  </si>
  <si>
    <t>Year 4</t>
  </si>
  <si>
    <t>Year 5</t>
  </si>
  <si>
    <t>Exchange Rate</t>
  </si>
  <si>
    <t>Depreciation Factor</t>
  </si>
  <si>
    <t>Inflation Rate</t>
  </si>
  <si>
    <t>Operating Hours</t>
  </si>
  <si>
    <t>15 hours</t>
  </si>
  <si>
    <t>Total</t>
  </si>
  <si>
    <t>Cost</t>
  </si>
  <si>
    <t>Opening</t>
  </si>
  <si>
    <t>Additions</t>
  </si>
  <si>
    <t>Disposal</t>
  </si>
  <si>
    <t xml:space="preserve">Closing </t>
  </si>
  <si>
    <t>Depreciation</t>
  </si>
  <si>
    <t>Brought Forward</t>
  </si>
  <si>
    <t>Current year</t>
  </si>
  <si>
    <t>Closing Balance</t>
  </si>
  <si>
    <t>NBV</t>
  </si>
  <si>
    <t>Beginning</t>
  </si>
  <si>
    <t>Closing</t>
  </si>
  <si>
    <t>Operation Cost</t>
  </si>
  <si>
    <t>Direct Cost</t>
  </si>
  <si>
    <t>Units</t>
  </si>
  <si>
    <t>Batch</t>
  </si>
  <si>
    <t>Total Personnel</t>
  </si>
  <si>
    <t>Monthly Pay Per Personnel</t>
  </si>
  <si>
    <t>Monthly Total Pay</t>
  </si>
  <si>
    <t>Annual Total Pay</t>
  </si>
  <si>
    <t>Peak</t>
  </si>
  <si>
    <t xml:space="preserve">Sub-Total </t>
  </si>
  <si>
    <t>Total Direct Cost</t>
  </si>
  <si>
    <t>Overheads</t>
  </si>
  <si>
    <t>Cluster</t>
  </si>
  <si>
    <t>Annual  Total Pay</t>
  </si>
  <si>
    <t>Remarks</t>
  </si>
  <si>
    <t>Salaries and Wages</t>
  </si>
  <si>
    <t>Each cluster contains 25 utility</t>
  </si>
  <si>
    <t xml:space="preserve">Total </t>
  </si>
  <si>
    <t>Repairs and Maintenance</t>
  </si>
  <si>
    <t>Frequency per Month</t>
  </si>
  <si>
    <t>Monthly charge Per Unit</t>
  </si>
  <si>
    <t>Monthly Total charge</t>
  </si>
  <si>
    <t>Annual Total Charge</t>
  </si>
  <si>
    <t>Energy and Power</t>
  </si>
  <si>
    <t>Investment Period</t>
  </si>
  <si>
    <t>10% Annual Depreciation</t>
  </si>
  <si>
    <t xml:space="preserve">Projected Daily Revenue </t>
  </si>
  <si>
    <t xml:space="preserve">Projected Annual Revenue </t>
  </si>
  <si>
    <t>Operating Days in a week</t>
  </si>
  <si>
    <t>Operating Days in a year</t>
  </si>
  <si>
    <t>Monthly Operating Days</t>
  </si>
  <si>
    <t xml:space="preserve">Projected Monthly Revenue </t>
  </si>
  <si>
    <t>Revenue Stream</t>
  </si>
  <si>
    <t>Battery Swap</t>
  </si>
  <si>
    <t>Tricycle</t>
  </si>
  <si>
    <t>`</t>
  </si>
  <si>
    <t>Addition</t>
  </si>
  <si>
    <t>Tricycles</t>
  </si>
  <si>
    <t>Fleet Inventory</t>
  </si>
  <si>
    <t>Once a month</t>
  </si>
  <si>
    <t>Operating Days in a month</t>
  </si>
  <si>
    <t>Shipping and Clearance</t>
  </si>
  <si>
    <t>YEAR 1</t>
  </si>
  <si>
    <t>YEAR 2</t>
  </si>
  <si>
    <t>YEAR 3</t>
  </si>
  <si>
    <t>PERAMARE TRANSPORT COMPANY LTD</t>
  </si>
  <si>
    <t>PERAMARE TRANSPORT</t>
  </si>
  <si>
    <t>PERAMARE TRANSPORT COMAPANY LTD</t>
  </si>
  <si>
    <t xml:space="preserve">Depreciation and amortization </t>
  </si>
  <si>
    <t>Maintenance</t>
  </si>
  <si>
    <t>Depreciation and Amortization</t>
  </si>
  <si>
    <t>INVESTING ACTIVITIES</t>
  </si>
  <si>
    <t>FINANCING OPERATIONS</t>
  </si>
  <si>
    <t>STAMP DUTY</t>
  </si>
  <si>
    <t>BANK CHARGES</t>
  </si>
  <si>
    <t>Purchase of Machinery</t>
  </si>
  <si>
    <t xml:space="preserve">TAX </t>
  </si>
  <si>
    <t>NET CASH INFLOW AFTER FINANCING OPERATIONS</t>
  </si>
  <si>
    <t>NET CASH INFLOW AFTER OPERATING ACTIVITIES</t>
  </si>
  <si>
    <t>TOTAL CASH INFLOWS</t>
  </si>
  <si>
    <t xml:space="preserve">CASH INFLOW </t>
  </si>
  <si>
    <t>TOTAL INVESTING ACTIVITIES</t>
  </si>
  <si>
    <t>Daily Rental per Bike</t>
  </si>
  <si>
    <t>Maintenance Price</t>
  </si>
  <si>
    <t>Solar Installation</t>
  </si>
  <si>
    <t>Procurement of Bikes</t>
  </si>
  <si>
    <t>Price per Bike</t>
  </si>
  <si>
    <t>Bike Assembly</t>
  </si>
  <si>
    <t>Bike Assembly Per Bike</t>
  </si>
  <si>
    <t>Maintenance Price Per Bike</t>
  </si>
  <si>
    <t>Engineer</t>
  </si>
  <si>
    <t>Supervisor</t>
  </si>
  <si>
    <t>Cashier</t>
  </si>
  <si>
    <t>Attendant</t>
  </si>
  <si>
    <t>Manager</t>
  </si>
  <si>
    <t>Drivers- Bike</t>
  </si>
  <si>
    <t>Total Units</t>
  </si>
  <si>
    <t>Bike Rental</t>
  </si>
  <si>
    <t>Bike Sales</t>
  </si>
  <si>
    <t>Sale/Rental Price</t>
  </si>
  <si>
    <t>NO. of Bikes</t>
  </si>
  <si>
    <t>Income from Bike Rental</t>
  </si>
  <si>
    <t>Income from Bike Sales</t>
  </si>
  <si>
    <t>Machinery - Bikes</t>
  </si>
  <si>
    <t>Power and Energy</t>
  </si>
  <si>
    <t>Repairs and Maintainance</t>
  </si>
  <si>
    <t>Bike assembly</t>
  </si>
  <si>
    <t>Income Tax</t>
  </si>
  <si>
    <t>Office Equipment</t>
  </si>
  <si>
    <t>Purchase Of Equpments</t>
  </si>
  <si>
    <t>1 Year</t>
  </si>
  <si>
    <t>3 Years</t>
  </si>
  <si>
    <t>Annual Growth Exchange Rate</t>
  </si>
  <si>
    <t>48V-30ah Lithium ION Battery(Lipo4)</t>
  </si>
  <si>
    <t>450W Solar Panels Mono Crystalline</t>
  </si>
  <si>
    <t>lithium-ion AC-DC battery Charger 10ah-AK-CAN-GLI</t>
  </si>
  <si>
    <t xml:space="preserve"> 503450 3.7V Intelligent  ECU</t>
  </si>
  <si>
    <t xml:space="preserve"> ECU Battery</t>
  </si>
  <si>
    <t xml:space="preserve"> ZD-133  Industrial Socket</t>
  </si>
  <si>
    <t>ZD-033 PLugs</t>
  </si>
  <si>
    <t>2P63A-Isolator Switch</t>
  </si>
  <si>
    <t>KBTM0309-Bicycle Truing Machine</t>
  </si>
  <si>
    <t>PV Solar Panels Mono-Crystalline</t>
  </si>
  <si>
    <t>Solar charge Controllers - PWM</t>
  </si>
  <si>
    <t>Circut Brakers Two pole</t>
  </si>
  <si>
    <t>DC Isolator Switch</t>
  </si>
  <si>
    <t>Two Core pv Wire</t>
  </si>
  <si>
    <t>Male and Female Cable Connectors</t>
  </si>
  <si>
    <t>Cable Ends</t>
  </si>
  <si>
    <t>Panel Rack</t>
  </si>
  <si>
    <t>Battery Swap Cabinet(12 lockers) 220 -240VAC input, 48 -60VDC output</t>
  </si>
  <si>
    <t>Equipments</t>
  </si>
  <si>
    <t>Total Equipments</t>
  </si>
  <si>
    <t>EQUIPMENTS</t>
  </si>
  <si>
    <t>Office Equipments</t>
  </si>
  <si>
    <t>Security Personnel</t>
  </si>
  <si>
    <t>Cleaning Personeel</t>
  </si>
  <si>
    <t>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</si>
</sst>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₦&quot;* #,##0.00_);_(&quot;₦&quot;* \(#,##0.00\);_(&quot;₦&quot;* &quot;-&quot;??_);_(@_)"/>
    <numFmt numFmtId="165" formatCode="0.0%"/>
    <numFmt numFmtId="166" formatCode="_(* #,##0_);_(* \(#,##0\);_(* &quot;-&quot;??_);_(@_)"/>
    <numFmt numFmtId="167" formatCode="[$₦-468]\ #,##0;\-[$₦-468]\ #,##0"/>
    <numFmt numFmtId="168" formatCode="[$₦-468]\ #,##0.00"/>
    <numFmt numFmtId="169" formatCode="_-[$₦-468]\ * #,##0.00_-;\-[$₦-468]\ * #,##0.00_-;_-[$₦-468]\ * &quot;-&quot;??_-;_-@_-"/>
  </numFmts>
  <fonts count="52" x14ac:knownFonts="1">
    <font>
      <sz val="11"/>
      <color rgb="FF000000"/>
      <name val="Calibri"/>
      <scheme val="minor"/>
    </font>
    <font>
      <sz val="10"/>
      <color theme="1"/>
      <name val="Century Gothic"/>
      <family val="2"/>
    </font>
    <font>
      <b/>
      <sz val="20"/>
      <color rgb="FF595959"/>
      <name val="Century Gothic"/>
      <family val="2"/>
    </font>
    <font>
      <sz val="12"/>
      <color theme="1"/>
      <name val="Arial"/>
      <family val="2"/>
    </font>
    <font>
      <sz val="12"/>
      <color theme="1"/>
      <name val="Century Gothic"/>
      <family val="2"/>
    </font>
    <font>
      <b/>
      <sz val="10"/>
      <color theme="1"/>
      <name val="Century Gothic"/>
      <family val="2"/>
    </font>
    <font>
      <sz val="11"/>
      <color theme="1"/>
      <name val="Century Gothic"/>
      <family val="2"/>
    </font>
    <font>
      <b/>
      <sz val="22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rgb="FF000000"/>
      <name val="Century Gothic"/>
      <family val="2"/>
    </font>
    <font>
      <sz val="10"/>
      <color rgb="FF000000"/>
      <name val="Century Gothic"/>
      <family val="2"/>
    </font>
    <font>
      <sz val="11"/>
      <color rgb="FF000000"/>
      <name val="Calibri"/>
      <family val="2"/>
    </font>
    <font>
      <b/>
      <sz val="20"/>
      <color rgb="FF7F7F7F"/>
      <name val="Century Gothic"/>
      <family val="2"/>
    </font>
    <font>
      <sz val="11"/>
      <name val="Calibri"/>
      <family val="2"/>
    </font>
    <font>
      <sz val="12"/>
      <color rgb="FF000000"/>
      <name val="Arial"/>
      <family val="2"/>
    </font>
    <font>
      <b/>
      <sz val="10"/>
      <color theme="0"/>
      <name val="Century Gothic"/>
      <family val="2"/>
    </font>
    <font>
      <i/>
      <sz val="10"/>
      <color rgb="FF000000"/>
      <name val="Century Gothic"/>
      <family val="2"/>
    </font>
    <font>
      <sz val="12"/>
      <color rgb="FF000000"/>
      <name val="Calibri"/>
      <family val="2"/>
    </font>
    <font>
      <b/>
      <sz val="12"/>
      <color rgb="FF000000"/>
      <name val="Arial"/>
      <family val="2"/>
    </font>
    <font>
      <b/>
      <sz val="10"/>
      <color rgb="FF000000"/>
      <name val="Century Gothic"/>
      <family val="2"/>
    </font>
    <font>
      <b/>
      <sz val="12"/>
      <color rgb="FF000000"/>
      <name val="Calibri"/>
      <family val="2"/>
    </font>
    <font>
      <b/>
      <sz val="11"/>
      <color rgb="FF000000"/>
      <name val="Century Gothic"/>
      <family val="2"/>
    </font>
    <font>
      <b/>
      <sz val="20"/>
      <color rgb="FFA5A5A5"/>
      <name val="Century Gothic"/>
      <family val="2"/>
    </font>
    <font>
      <b/>
      <sz val="22"/>
      <color theme="4"/>
      <name val="Century Gothic"/>
      <family val="2"/>
    </font>
    <font>
      <sz val="11"/>
      <color theme="1"/>
      <name val="Calibri"/>
      <family val="2"/>
    </font>
    <font>
      <sz val="20"/>
      <color theme="1"/>
      <name val="Calibri"/>
      <family val="2"/>
    </font>
    <font>
      <sz val="20"/>
      <color theme="1"/>
      <name val="Century Gothic"/>
      <family val="2"/>
    </font>
    <font>
      <sz val="24"/>
      <color rgb="FF8496B0"/>
      <name val="Century Gothic"/>
      <family val="2"/>
    </font>
    <font>
      <sz val="13"/>
      <color theme="1"/>
      <name val="Calibri"/>
      <family val="2"/>
    </font>
    <font>
      <b/>
      <sz val="10"/>
      <color rgb="FFFFFFFF"/>
      <name val="Century Gothic"/>
      <family val="2"/>
    </font>
    <font>
      <b/>
      <sz val="10"/>
      <color rgb="FF333F4F"/>
      <name val="Century Gothic"/>
      <family val="2"/>
    </font>
    <font>
      <sz val="12"/>
      <color theme="1"/>
      <name val="Calibri"/>
      <family val="2"/>
    </font>
    <font>
      <sz val="10"/>
      <color rgb="FF333F4F"/>
      <name val="Century Gothic"/>
      <family val="2"/>
    </font>
    <font>
      <sz val="11"/>
      <color rgb="FF000000"/>
      <name val="Calibri"/>
      <family val="2"/>
      <scheme val="minor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8"/>
      <color theme="1"/>
      <name val="Times New Roman"/>
      <family val="1"/>
    </font>
    <font>
      <b/>
      <u val="singleAccounting"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9"/>
      <color theme="1"/>
      <name val="Times New Roman"/>
      <family val="1"/>
    </font>
    <font>
      <sz val="11"/>
      <color rgb="FF000000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0"/>
      <name val="Century Gothic"/>
      <family val="2"/>
    </font>
    <font>
      <sz val="11"/>
      <color theme="0"/>
      <name val="Calibri"/>
      <family val="2"/>
    </font>
    <font>
      <sz val="11"/>
      <color theme="0"/>
      <name val="Century Gothic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6DCE4"/>
        <bgColor rgb="FFD6DCE4"/>
      </patternFill>
    </fill>
    <fill>
      <patternFill patternType="solid">
        <fgColor rgb="FFF7F9FB"/>
        <bgColor rgb="FFF7F9FB"/>
      </patternFill>
    </fill>
    <fill>
      <patternFill patternType="solid">
        <fgColor rgb="FFFFFFFF"/>
        <bgColor rgb="FFFFFFFF"/>
      </patternFill>
    </fill>
    <fill>
      <patternFill patternType="solid">
        <fgColor rgb="FF333F4F"/>
        <bgColor rgb="FF333F4F"/>
      </patternFill>
    </fill>
    <fill>
      <patternFill patternType="solid">
        <fgColor rgb="FFEAEEF3"/>
        <bgColor rgb="FFEAEEF3"/>
      </patternFill>
    </fill>
    <fill>
      <patternFill patternType="solid">
        <fgColor rgb="FF222A35"/>
        <bgColor rgb="FF222A35"/>
      </patternFill>
    </fill>
    <fill>
      <patternFill patternType="solid">
        <fgColor rgb="FF262626"/>
        <bgColor rgb="FF262626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7F7F7"/>
        <bgColor rgb="FFF7F7F7"/>
      </patternFill>
    </fill>
    <fill>
      <patternFill patternType="solid">
        <fgColor theme="2" tint="-0.14999847407452621"/>
        <bgColor rgb="FFD6DCE4"/>
      </patternFill>
    </fill>
    <fill>
      <patternFill patternType="solid">
        <fgColor theme="2" tint="-0.14999847407452621"/>
        <bgColor rgb="FFFFFFFF"/>
      </patternFill>
    </fill>
    <fill>
      <patternFill patternType="solid">
        <fgColor theme="2" tint="-0.14999847407452621"/>
        <bgColor rgb="FFF2F2F2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/>
      <right/>
      <top/>
      <bottom/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hair">
        <color rgb="FFBFBFBF"/>
      </right>
      <top style="thin">
        <color rgb="FFA5A5A5"/>
      </top>
      <bottom/>
      <diagonal/>
    </border>
    <border>
      <left style="thin">
        <color rgb="FFA5A5A5"/>
      </left>
      <right style="hair">
        <color rgb="FFBFBFBF"/>
      </right>
      <top/>
      <bottom style="thin">
        <color rgb="FFA5A5A5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  <diagonal/>
    </border>
    <border>
      <left style="thin">
        <color rgb="FFBFBFBF"/>
      </left>
      <right style="thin">
        <color rgb="FFBFBFBF"/>
      </right>
      <top style="double">
        <color rgb="FFBFBFBF"/>
      </top>
      <bottom style="medium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A6A6A6"/>
      </left>
      <right style="hair">
        <color rgb="FFBFBFBF"/>
      </right>
      <top/>
      <bottom style="thin">
        <color rgb="FFA6A6A6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rgb="FFBFBFBF"/>
      </right>
      <top/>
      <bottom/>
      <diagonal/>
    </border>
    <border>
      <left style="thin">
        <color rgb="FFA5A5A5"/>
      </left>
      <right style="hair">
        <color rgb="FFBFBFBF"/>
      </right>
      <top/>
      <bottom/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medium">
        <color rgb="FFBFBFBF"/>
      </left>
      <right/>
      <top style="thin">
        <color rgb="FFA5A5A5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3">
    <xf numFmtId="0" fontId="0" fillId="0" borderId="0"/>
    <xf numFmtId="43" fontId="33" fillId="0" borderId="0" applyFont="0" applyFill="0" applyBorder="0" applyAlignment="0" applyProtection="0"/>
    <xf numFmtId="44" fontId="33" fillId="0" borderId="0" applyFont="0" applyFill="0" applyBorder="0" applyAlignment="0" applyProtection="0"/>
  </cellStyleXfs>
  <cellXfs count="319">
    <xf numFmtId="0" fontId="0" fillId="0" borderId="0" xfId="0" applyFont="1" applyAlignment="1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17" fontId="5" fillId="4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164" fontId="8" fillId="0" borderId="4" xfId="0" applyNumberFormat="1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8" fillId="3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9" fillId="5" borderId="7" xfId="0" applyFont="1" applyFill="1" applyBorder="1" applyAlignment="1">
      <alignment horizontal="left" vertical="center"/>
    </xf>
    <xf numFmtId="164" fontId="8" fillId="0" borderId="4" xfId="0" applyNumberFormat="1" applyFont="1" applyBorder="1" applyAlignment="1">
      <alignment horizontal="right" vertical="center"/>
    </xf>
    <xf numFmtId="0" fontId="6" fillId="0" borderId="6" xfId="0" applyFont="1" applyBorder="1" applyAlignment="1">
      <alignment horizontal="left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left" vertical="center"/>
    </xf>
    <xf numFmtId="0" fontId="10" fillId="5" borderId="7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10" fillId="5" borderId="1" xfId="0" applyFont="1" applyFill="1" applyBorder="1" applyAlignment="1">
      <alignment horizontal="left" vertical="center"/>
    </xf>
    <xf numFmtId="164" fontId="8" fillId="0" borderId="0" xfId="0" applyNumberFormat="1" applyFont="1" applyAlignment="1">
      <alignment horizontal="right" vertical="center"/>
    </xf>
    <xf numFmtId="0" fontId="11" fillId="0" borderId="0" xfId="0" applyFont="1"/>
    <xf numFmtId="0" fontId="12" fillId="2" borderId="1" xfId="0" applyFont="1" applyFill="1" applyBorder="1" applyAlignment="1">
      <alignment vertical="center"/>
    </xf>
    <xf numFmtId="0" fontId="14" fillId="5" borderId="1" xfId="0" applyFont="1" applyFill="1" applyBorder="1"/>
    <xf numFmtId="0" fontId="16" fillId="0" borderId="0" xfId="0" applyFont="1" applyAlignment="1">
      <alignment horizontal="left" vertical="center"/>
    </xf>
    <xf numFmtId="0" fontId="17" fillId="5" borderId="1" xfId="0" applyFont="1" applyFill="1" applyBorder="1"/>
    <xf numFmtId="0" fontId="18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wrapText="1"/>
    </xf>
    <xf numFmtId="0" fontId="17" fillId="5" borderId="1" xfId="0" applyFont="1" applyFill="1" applyBorder="1" applyAlignment="1">
      <alignment horizontal="left" wrapText="1"/>
    </xf>
    <xf numFmtId="0" fontId="10" fillId="0" borderId="0" xfId="0" applyFont="1" applyAlignment="1">
      <alignment wrapText="1"/>
    </xf>
    <xf numFmtId="0" fontId="15" fillId="8" borderId="7" xfId="0" applyFont="1" applyFill="1" applyBorder="1" applyAlignment="1">
      <alignment horizontal="center" vertical="center"/>
    </xf>
    <xf numFmtId="0" fontId="15" fillId="8" borderId="7" xfId="0" applyFont="1" applyFill="1" applyBorder="1" applyAlignment="1">
      <alignment horizontal="right" vertical="center"/>
    </xf>
    <xf numFmtId="165" fontId="10" fillId="3" borderId="7" xfId="0" applyNumberFormat="1" applyFont="1" applyFill="1" applyBorder="1" applyAlignment="1">
      <alignment horizontal="left" vertical="center"/>
    </xf>
    <xf numFmtId="164" fontId="19" fillId="3" borderId="7" xfId="0" applyNumberFormat="1" applyFont="1" applyFill="1" applyBorder="1" applyAlignment="1">
      <alignment vertical="center"/>
    </xf>
    <xf numFmtId="165" fontId="10" fillId="5" borderId="1" xfId="0" applyNumberFormat="1" applyFont="1" applyFill="1" applyBorder="1" applyAlignment="1">
      <alignment horizontal="left" vertical="center"/>
    </xf>
    <xf numFmtId="0" fontId="15" fillId="8" borderId="15" xfId="0" applyFont="1" applyFill="1" applyBorder="1" applyAlignment="1">
      <alignment horizontal="right" vertical="center"/>
    </xf>
    <xf numFmtId="0" fontId="15" fillId="9" borderId="16" xfId="0" applyFont="1" applyFill="1" applyBorder="1" applyAlignment="1">
      <alignment horizontal="right" vertical="center"/>
    </xf>
    <xf numFmtId="165" fontId="10" fillId="10" borderId="16" xfId="0" applyNumberFormat="1" applyFont="1" applyFill="1" applyBorder="1" applyAlignment="1">
      <alignment horizontal="left" vertical="center"/>
    </xf>
    <xf numFmtId="0" fontId="17" fillId="5" borderId="1" xfId="0" applyFont="1" applyFill="1" applyBorder="1" applyAlignment="1">
      <alignment vertical="top"/>
    </xf>
    <xf numFmtId="0" fontId="9" fillId="0" borderId="0" xfId="0" applyFont="1" applyAlignment="1">
      <alignment vertical="top"/>
    </xf>
    <xf numFmtId="0" fontId="17" fillId="5" borderId="1" xfId="0" applyFont="1" applyFill="1" applyBorder="1" applyAlignment="1">
      <alignment horizontal="left" vertical="top" wrapText="1"/>
    </xf>
    <xf numFmtId="0" fontId="11" fillId="0" borderId="0" xfId="0" applyFont="1" applyAlignment="1">
      <alignment vertical="top"/>
    </xf>
    <xf numFmtId="0" fontId="15" fillId="8" borderId="5" xfId="0" applyFont="1" applyFill="1" applyBorder="1" applyAlignment="1">
      <alignment horizontal="left" vertical="center"/>
    </xf>
    <xf numFmtId="0" fontId="15" fillId="6" borderId="7" xfId="0" applyFont="1" applyFill="1" applyBorder="1" applyAlignment="1">
      <alignment horizontal="center" vertical="center"/>
    </xf>
    <xf numFmtId="165" fontId="10" fillId="0" borderId="7" xfId="0" applyNumberFormat="1" applyFont="1" applyBorder="1" applyAlignment="1">
      <alignment horizontal="left" vertical="center"/>
    </xf>
    <xf numFmtId="164" fontId="10" fillId="5" borderId="7" xfId="0" applyNumberFormat="1" applyFont="1" applyFill="1" applyBorder="1" applyAlignment="1">
      <alignment vertical="center"/>
    </xf>
    <xf numFmtId="0" fontId="15" fillId="6" borderId="7" xfId="0" applyFont="1" applyFill="1" applyBorder="1" applyAlignment="1">
      <alignment horizontal="right" vertical="center"/>
    </xf>
    <xf numFmtId="0" fontId="20" fillId="5" borderId="1" xfId="0" applyFont="1" applyFill="1" applyBorder="1"/>
    <xf numFmtId="0" fontId="10" fillId="11" borderId="7" xfId="0" applyFont="1" applyFill="1" applyBorder="1" applyAlignment="1">
      <alignment horizontal="left" vertical="center"/>
    </xf>
    <xf numFmtId="0" fontId="15" fillId="8" borderId="17" xfId="0" applyFont="1" applyFill="1" applyBorder="1" applyAlignment="1">
      <alignment vertical="center"/>
    </xf>
    <xf numFmtId="0" fontId="15" fillId="8" borderId="18" xfId="0" applyFont="1" applyFill="1" applyBorder="1" applyAlignment="1">
      <alignment vertical="center"/>
    </xf>
    <xf numFmtId="0" fontId="15" fillId="8" borderId="7" xfId="0" applyFont="1" applyFill="1" applyBorder="1" applyAlignment="1">
      <alignment vertical="center"/>
    </xf>
    <xf numFmtId="0" fontId="14" fillId="5" borderId="1" xfId="0" applyFont="1" applyFill="1" applyBorder="1" applyAlignment="1">
      <alignment vertical="center"/>
    </xf>
    <xf numFmtId="0" fontId="15" fillId="6" borderId="5" xfId="0" applyFont="1" applyFill="1" applyBorder="1" applyAlignment="1">
      <alignment horizontal="left" vertical="center"/>
    </xf>
    <xf numFmtId="0" fontId="18" fillId="5" borderId="1" xfId="0" applyFont="1" applyFill="1" applyBorder="1" applyAlignment="1">
      <alignment vertical="center"/>
    </xf>
    <xf numFmtId="164" fontId="21" fillId="0" borderId="20" xfId="0" applyNumberFormat="1" applyFont="1" applyBorder="1" applyAlignment="1">
      <alignment horizontal="right" vertical="center"/>
    </xf>
    <xf numFmtId="0" fontId="6" fillId="0" borderId="21" xfId="0" applyFont="1" applyBorder="1" applyAlignment="1">
      <alignment horizontal="left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5" fillId="0" borderId="0" xfId="0" applyFont="1"/>
    <xf numFmtId="0" fontId="26" fillId="0" borderId="0" xfId="0" applyFont="1" applyAlignment="1">
      <alignment horizontal="left" vertical="center"/>
    </xf>
    <xf numFmtId="0" fontId="24" fillId="0" borderId="0" xfId="0" applyFont="1"/>
    <xf numFmtId="0" fontId="28" fillId="0" borderId="0" xfId="0" applyFont="1"/>
    <xf numFmtId="0" fontId="30" fillId="10" borderId="23" xfId="0" applyFont="1" applyFill="1" applyBorder="1" applyAlignment="1">
      <alignment horizontal="center" vertical="center"/>
    </xf>
    <xf numFmtId="0" fontId="31" fillId="0" borderId="0" xfId="0" applyFont="1"/>
    <xf numFmtId="0" fontId="30" fillId="11" borderId="5" xfId="0" applyFont="1" applyFill="1" applyBorder="1" applyAlignment="1">
      <alignment horizontal="left" vertical="center"/>
    </xf>
    <xf numFmtId="164" fontId="24" fillId="0" borderId="0" xfId="0" applyNumberFormat="1" applyFont="1"/>
    <xf numFmtId="164" fontId="32" fillId="0" borderId="7" xfId="0" applyNumberFormat="1" applyFont="1" applyBorder="1" applyAlignment="1">
      <alignment vertical="center"/>
    </xf>
    <xf numFmtId="0" fontId="32" fillId="12" borderId="19" xfId="0" applyFont="1" applyFill="1" applyBorder="1" applyAlignment="1">
      <alignment horizontal="left" vertical="center"/>
    </xf>
    <xf numFmtId="164" fontId="32" fillId="11" borderId="17" xfId="0" applyNumberFormat="1" applyFont="1" applyFill="1" applyBorder="1" applyAlignment="1">
      <alignment vertical="center"/>
    </xf>
    <xf numFmtId="0" fontId="32" fillId="12" borderId="7" xfId="0" applyFont="1" applyFill="1" applyBorder="1" applyAlignment="1">
      <alignment horizontal="left" vertical="center"/>
    </xf>
    <xf numFmtId="164" fontId="32" fillId="0" borderId="24" xfId="0" applyNumberFormat="1" applyFont="1" applyBorder="1" applyAlignment="1">
      <alignment vertical="center"/>
    </xf>
    <xf numFmtId="164" fontId="32" fillId="7" borderId="23" xfId="0" applyNumberFormat="1" applyFont="1" applyFill="1" applyBorder="1" applyAlignment="1">
      <alignment vertical="center"/>
    </xf>
    <xf numFmtId="164" fontId="30" fillId="3" borderId="7" xfId="0" applyNumberFormat="1" applyFont="1" applyFill="1" applyBorder="1" applyAlignment="1">
      <alignment vertical="center"/>
    </xf>
    <xf numFmtId="0" fontId="29" fillId="6" borderId="23" xfId="0" applyFont="1" applyFill="1" applyBorder="1" applyAlignment="1">
      <alignment horizontal="left" vertical="center"/>
    </xf>
    <xf numFmtId="0" fontId="32" fillId="11" borderId="5" xfId="0" applyFont="1" applyFill="1" applyBorder="1" applyAlignment="1">
      <alignment horizontal="left" vertical="center"/>
    </xf>
    <xf numFmtId="0" fontId="0" fillId="0" borderId="0" xfId="0" applyFont="1" applyAlignment="1"/>
    <xf numFmtId="165" fontId="10" fillId="0" borderId="18" xfId="0" applyNumberFormat="1" applyFont="1" applyBorder="1" applyAlignment="1">
      <alignment horizontal="left" vertical="center"/>
    </xf>
    <xf numFmtId="0" fontId="17" fillId="5" borderId="10" xfId="0" applyFont="1" applyFill="1" applyBorder="1"/>
    <xf numFmtId="164" fontId="10" fillId="14" borderId="7" xfId="0" applyNumberFormat="1" applyFont="1" applyFill="1" applyBorder="1" applyAlignment="1">
      <alignment vertical="center"/>
    </xf>
    <xf numFmtId="165" fontId="10" fillId="13" borderId="7" xfId="0" applyNumberFormat="1" applyFont="1" applyFill="1" applyBorder="1" applyAlignment="1">
      <alignment horizontal="left" vertical="center"/>
    </xf>
    <xf numFmtId="165" fontId="10" fillId="14" borderId="1" xfId="0" applyNumberFormat="1" applyFont="1" applyFill="1" applyBorder="1" applyAlignment="1">
      <alignment horizontal="left" vertical="center"/>
    </xf>
    <xf numFmtId="164" fontId="10" fillId="15" borderId="7" xfId="0" applyNumberFormat="1" applyFont="1" applyFill="1" applyBorder="1" applyAlignment="1">
      <alignment vertical="center"/>
    </xf>
    <xf numFmtId="164" fontId="10" fillId="0" borderId="7" xfId="0" applyNumberFormat="1" applyFont="1" applyFill="1" applyBorder="1" applyAlignment="1">
      <alignment vertical="center"/>
    </xf>
    <xf numFmtId="10" fontId="10" fillId="0" borderId="1" xfId="0" applyNumberFormat="1" applyFont="1" applyFill="1" applyBorder="1" applyAlignment="1">
      <alignment horizontal="left" vertical="center"/>
    </xf>
    <xf numFmtId="0" fontId="0" fillId="0" borderId="0" xfId="0" applyFont="1" applyAlignment="1"/>
    <xf numFmtId="0" fontId="11" fillId="0" borderId="0" xfId="0" applyFont="1"/>
    <xf numFmtId="0" fontId="0" fillId="0" borderId="0" xfId="0" applyFont="1" applyAlignment="1"/>
    <xf numFmtId="0" fontId="29" fillId="6" borderId="26" xfId="0" applyFont="1" applyFill="1" applyBorder="1" applyAlignment="1">
      <alignment horizontal="center" vertical="center"/>
    </xf>
    <xf numFmtId="166" fontId="24" fillId="0" borderId="0" xfId="1" applyNumberFormat="1" applyFont="1"/>
    <xf numFmtId="0" fontId="19" fillId="5" borderId="10" xfId="0" applyFont="1" applyFill="1" applyBorder="1" applyAlignment="1">
      <alignment horizontal="left" vertical="center" wrapText="1"/>
    </xf>
    <xf numFmtId="0" fontId="18" fillId="5" borderId="10" xfId="0" applyFont="1" applyFill="1" applyBorder="1" applyAlignment="1">
      <alignment horizontal="center" vertical="center" wrapText="1"/>
    </xf>
    <xf numFmtId="0" fontId="17" fillId="5" borderId="10" xfId="0" applyFont="1" applyFill="1" applyBorder="1" applyAlignment="1">
      <alignment wrapText="1"/>
    </xf>
    <xf numFmtId="0" fontId="32" fillId="11" borderId="11" xfId="0" applyFont="1" applyFill="1" applyBorder="1" applyAlignment="1">
      <alignment horizontal="left" vertical="center"/>
    </xf>
    <xf numFmtId="0" fontId="0" fillId="0" borderId="0" xfId="0" applyFont="1" applyAlignment="1"/>
    <xf numFmtId="0" fontId="30" fillId="10" borderId="25" xfId="0" applyFont="1" applyFill="1" applyBorder="1" applyAlignment="1">
      <alignment horizontal="center" vertical="center"/>
    </xf>
    <xf numFmtId="166" fontId="24" fillId="0" borderId="0" xfId="1" applyNumberFormat="1" applyFont="1" applyAlignment="1">
      <alignment horizontal="center" vertical="center"/>
    </xf>
    <xf numFmtId="43" fontId="24" fillId="0" borderId="0" xfId="1" applyNumberFormat="1" applyFont="1"/>
    <xf numFmtId="9" fontId="30" fillId="10" borderId="23" xfId="0" applyNumberFormat="1" applyFont="1" applyFill="1" applyBorder="1" applyAlignment="1">
      <alignment horizontal="center" vertical="center"/>
    </xf>
    <xf numFmtId="0" fontId="34" fillId="0" borderId="0" xfId="0" applyFont="1"/>
    <xf numFmtId="0" fontId="34" fillId="0" borderId="0" xfId="0" applyFont="1" applyAlignment="1">
      <alignment horizontal="left"/>
    </xf>
    <xf numFmtId="0" fontId="34" fillId="0" borderId="33" xfId="0" applyFont="1" applyBorder="1" applyAlignment="1">
      <alignment horizontal="left"/>
    </xf>
    <xf numFmtId="0" fontId="35" fillId="0" borderId="34" xfId="0" applyFont="1" applyBorder="1" applyAlignment="1">
      <alignment horizontal="center"/>
    </xf>
    <xf numFmtId="0" fontId="35" fillId="0" borderId="35" xfId="0" applyFont="1" applyBorder="1" applyAlignment="1">
      <alignment horizontal="center"/>
    </xf>
    <xf numFmtId="166" fontId="35" fillId="0" borderId="36" xfId="1" applyNumberFormat="1" applyFont="1" applyBorder="1" applyAlignment="1">
      <alignment horizontal="center"/>
    </xf>
    <xf numFmtId="0" fontId="36" fillId="0" borderId="37" xfId="0" applyFont="1" applyBorder="1" applyAlignment="1">
      <alignment horizontal="left"/>
    </xf>
    <xf numFmtId="0" fontId="35" fillId="0" borderId="38" xfId="0" applyFont="1" applyBorder="1" applyAlignment="1">
      <alignment horizontal="center"/>
    </xf>
    <xf numFmtId="0" fontId="35" fillId="0" borderId="39" xfId="0" applyFont="1" applyBorder="1" applyAlignment="1">
      <alignment horizontal="center"/>
    </xf>
    <xf numFmtId="0" fontId="35" fillId="0" borderId="36" xfId="0" applyFont="1" applyBorder="1" applyAlignment="1">
      <alignment horizontal="center"/>
    </xf>
    <xf numFmtId="0" fontId="34" fillId="0" borderId="37" xfId="0" applyFont="1" applyBorder="1" applyAlignment="1">
      <alignment horizontal="left"/>
    </xf>
    <xf numFmtId="166" fontId="34" fillId="0" borderId="40" xfId="0" applyNumberFormat="1" applyFont="1" applyBorder="1"/>
    <xf numFmtId="166" fontId="34" fillId="0" borderId="41" xfId="0" applyNumberFormat="1" applyFont="1" applyBorder="1"/>
    <xf numFmtId="166" fontId="34" fillId="0" borderId="42" xfId="1" applyNumberFormat="1" applyFont="1" applyBorder="1"/>
    <xf numFmtId="166" fontId="34" fillId="0" borderId="37" xfId="1" applyNumberFormat="1" applyFont="1" applyBorder="1" applyAlignment="1">
      <alignment horizontal="left"/>
    </xf>
    <xf numFmtId="166" fontId="34" fillId="0" borderId="43" xfId="1" applyNumberFormat="1" applyFont="1" applyBorder="1"/>
    <xf numFmtId="166" fontId="34" fillId="0" borderId="44" xfId="0" applyNumberFormat="1" applyFont="1" applyBorder="1"/>
    <xf numFmtId="166" fontId="34" fillId="0" borderId="45" xfId="1" applyNumberFormat="1" applyFont="1" applyBorder="1"/>
    <xf numFmtId="166" fontId="34" fillId="0" borderId="46" xfId="1" applyNumberFormat="1" applyFont="1" applyBorder="1" applyAlignment="1">
      <alignment horizontal="left"/>
    </xf>
    <xf numFmtId="166" fontId="34" fillId="0" borderId="47" xfId="1" applyNumberFormat="1" applyFont="1" applyBorder="1"/>
    <xf numFmtId="166" fontId="34" fillId="0" borderId="34" xfId="1" applyNumberFormat="1" applyFont="1" applyBorder="1"/>
    <xf numFmtId="166" fontId="34" fillId="0" borderId="48" xfId="1" applyNumberFormat="1" applyFont="1" applyBorder="1"/>
    <xf numFmtId="166" fontId="37" fillId="0" borderId="29" xfId="1" applyNumberFormat="1" applyFont="1" applyFill="1" applyBorder="1" applyAlignment="1">
      <alignment horizontal="left"/>
    </xf>
    <xf numFmtId="0" fontId="34" fillId="0" borderId="29" xfId="0" applyFont="1" applyBorder="1" applyAlignment="1">
      <alignment horizontal="center"/>
    </xf>
    <xf numFmtId="166" fontId="35" fillId="0" borderId="29" xfId="1" applyNumberFormat="1" applyFont="1" applyBorder="1" applyAlignment="1">
      <alignment horizontal="center"/>
    </xf>
    <xf numFmtId="166" fontId="35" fillId="0" borderId="29" xfId="1" applyNumberFormat="1" applyFont="1" applyFill="1" applyBorder="1" applyAlignment="1">
      <alignment horizontal="left"/>
    </xf>
    <xf numFmtId="9" fontId="34" fillId="0" borderId="29" xfId="0" applyNumberFormat="1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166" fontId="34" fillId="0" borderId="29" xfId="1" applyNumberFormat="1" applyFont="1" applyFill="1" applyBorder="1" applyAlignment="1">
      <alignment horizontal="left"/>
    </xf>
    <xf numFmtId="166" fontId="34" fillId="0" borderId="29" xfId="1" applyNumberFormat="1" applyFont="1" applyBorder="1" applyAlignment="1">
      <alignment horizontal="center"/>
    </xf>
    <xf numFmtId="166" fontId="34" fillId="0" borderId="0" xfId="1" applyNumberFormat="1" applyFont="1"/>
    <xf numFmtId="166" fontId="34" fillId="0" borderId="29" xfId="1" applyNumberFormat="1" applyFont="1" applyBorder="1"/>
    <xf numFmtId="166" fontId="34" fillId="0" borderId="29" xfId="0" applyNumberFormat="1" applyFont="1" applyBorder="1"/>
    <xf numFmtId="0" fontId="34" fillId="0" borderId="29" xfId="0" applyFont="1" applyBorder="1"/>
    <xf numFmtId="0" fontId="38" fillId="0" borderId="0" xfId="0" applyFont="1"/>
    <xf numFmtId="0" fontId="39" fillId="0" borderId="0" xfId="0" applyFont="1" applyAlignment="1">
      <alignment horizontal="left" wrapText="1"/>
    </xf>
    <xf numFmtId="0" fontId="38" fillId="0" borderId="0" xfId="0" applyFont="1" applyAlignment="1">
      <alignment wrapText="1"/>
    </xf>
    <xf numFmtId="0" fontId="40" fillId="0" borderId="0" xfId="0" applyFont="1"/>
    <xf numFmtId="0" fontId="39" fillId="0" borderId="29" xfId="0" applyFont="1" applyBorder="1" applyAlignment="1">
      <alignment horizontal="left" vertical="center"/>
    </xf>
    <xf numFmtId="0" fontId="38" fillId="0" borderId="29" xfId="0" applyFont="1" applyBorder="1" applyAlignment="1">
      <alignment horizontal="center" vertical="center" wrapText="1"/>
    </xf>
    <xf numFmtId="0" fontId="38" fillId="0" borderId="29" xfId="0" applyFont="1" applyBorder="1" applyAlignment="1">
      <alignment horizontal="center" vertical="center"/>
    </xf>
    <xf numFmtId="0" fontId="38" fillId="0" borderId="29" xfId="0" applyFont="1" applyBorder="1" applyAlignment="1">
      <alignment horizontal="left" vertical="center"/>
    </xf>
    <xf numFmtId="166" fontId="38" fillId="0" borderId="29" xfId="0" applyNumberFormat="1" applyFont="1" applyBorder="1" applyAlignment="1">
      <alignment horizontal="center" vertical="center"/>
    </xf>
    <xf numFmtId="166" fontId="38" fillId="0" borderId="29" xfId="1" applyNumberFormat="1" applyFont="1" applyBorder="1" applyAlignment="1">
      <alignment horizontal="center" vertical="center"/>
    </xf>
    <xf numFmtId="0" fontId="39" fillId="0" borderId="0" xfId="0" applyFont="1"/>
    <xf numFmtId="0" fontId="39" fillId="0" borderId="47" xfId="0" applyFont="1" applyBorder="1" applyAlignment="1">
      <alignment horizontal="left" vertical="center"/>
    </xf>
    <xf numFmtId="0" fontId="39" fillId="0" borderId="34" xfId="0" applyFont="1" applyBorder="1" applyAlignment="1">
      <alignment horizontal="left" vertical="center"/>
    </xf>
    <xf numFmtId="166" fontId="39" fillId="0" borderId="35" xfId="0" applyNumberFormat="1" applyFont="1" applyBorder="1" applyAlignment="1">
      <alignment horizontal="center" vertical="center"/>
    </xf>
    <xf numFmtId="166" fontId="39" fillId="0" borderId="35" xfId="1" applyNumberFormat="1" applyFont="1" applyBorder="1" applyAlignment="1">
      <alignment horizontal="center" vertical="center"/>
    </xf>
    <xf numFmtId="166" fontId="39" fillId="0" borderId="50" xfId="1" applyNumberFormat="1" applyFont="1" applyBorder="1" applyAlignment="1">
      <alignment horizontal="center" vertical="center"/>
    </xf>
    <xf numFmtId="166" fontId="39" fillId="0" borderId="36" xfId="0" applyNumberFormat="1" applyFont="1" applyBorder="1" applyAlignment="1">
      <alignment horizontal="center" vertical="center"/>
    </xf>
    <xf numFmtId="0" fontId="39" fillId="0" borderId="0" xfId="0" applyFont="1" applyAlignment="1">
      <alignment wrapText="1"/>
    </xf>
    <xf numFmtId="0" fontId="41" fillId="0" borderId="0" xfId="0" applyFont="1"/>
    <xf numFmtId="0" fontId="38" fillId="0" borderId="41" xfId="0" applyFont="1" applyBorder="1" applyAlignment="1">
      <alignment horizontal="left" vertical="center"/>
    </xf>
    <xf numFmtId="166" fontId="38" fillId="0" borderId="41" xfId="0" applyNumberFormat="1" applyFont="1" applyBorder="1" applyAlignment="1">
      <alignment horizontal="center" vertical="center"/>
    </xf>
    <xf numFmtId="166" fontId="38" fillId="0" borderId="41" xfId="1" applyNumberFormat="1" applyFont="1" applyBorder="1" applyAlignment="1">
      <alignment horizontal="center" vertical="center"/>
    </xf>
    <xf numFmtId="166" fontId="39" fillId="0" borderId="29" xfId="0" applyNumberFormat="1" applyFont="1" applyBorder="1" applyAlignment="1">
      <alignment horizontal="center" vertical="center"/>
    </xf>
    <xf numFmtId="166" fontId="39" fillId="0" borderId="29" xfId="1" applyNumberFormat="1" applyFont="1" applyBorder="1" applyAlignment="1">
      <alignment horizontal="center" vertical="center"/>
    </xf>
    <xf numFmtId="0" fontId="38" fillId="0" borderId="0" xfId="0" applyFont="1" applyAlignment="1">
      <alignment horizontal="left" vertical="center"/>
    </xf>
    <xf numFmtId="166" fontId="38" fillId="0" borderId="0" xfId="0" applyNumberFormat="1" applyFont="1" applyAlignment="1">
      <alignment horizontal="center" vertical="center"/>
    </xf>
    <xf numFmtId="166" fontId="38" fillId="0" borderId="10" xfId="1" applyNumberFormat="1" applyFont="1" applyBorder="1" applyAlignment="1">
      <alignment horizontal="center" vertical="center"/>
    </xf>
    <xf numFmtId="0" fontId="42" fillId="0" borderId="0" xfId="0" applyFont="1" applyAlignment="1">
      <alignment horizontal="left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 wrapText="1"/>
    </xf>
    <xf numFmtId="0" fontId="42" fillId="0" borderId="29" xfId="0" applyFont="1" applyBorder="1" applyAlignment="1">
      <alignment horizontal="left" vertical="center"/>
    </xf>
    <xf numFmtId="0" fontId="38" fillId="0" borderId="29" xfId="0" applyFont="1" applyBorder="1" applyAlignment="1">
      <alignment horizontal="left"/>
    </xf>
    <xf numFmtId="166" fontId="38" fillId="0" borderId="29" xfId="0" applyNumberFormat="1" applyFont="1" applyBorder="1"/>
    <xf numFmtId="166" fontId="38" fillId="0" borderId="29" xfId="1" applyNumberFormat="1" applyFont="1" applyBorder="1"/>
    <xf numFmtId="0" fontId="38" fillId="0" borderId="29" xfId="0" applyFont="1" applyBorder="1"/>
    <xf numFmtId="0" fontId="39" fillId="0" borderId="0" xfId="0" applyFont="1" applyAlignment="1">
      <alignment horizontal="left"/>
    </xf>
    <xf numFmtId="166" fontId="39" fillId="0" borderId="29" xfId="0" applyNumberFormat="1" applyFont="1" applyBorder="1"/>
    <xf numFmtId="0" fontId="38" fillId="0" borderId="0" xfId="0" applyFont="1" applyAlignment="1">
      <alignment horizontal="left"/>
    </xf>
    <xf numFmtId="0" fontId="39" fillId="0" borderId="0" xfId="0" applyFont="1" applyAlignment="1">
      <alignment horizontal="center" vertical="center"/>
    </xf>
    <xf numFmtId="0" fontId="39" fillId="0" borderId="29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39" fillId="0" borderId="29" xfId="0" applyFont="1" applyBorder="1" applyAlignment="1">
      <alignment horizontal="left"/>
    </xf>
    <xf numFmtId="0" fontId="39" fillId="0" borderId="29" xfId="0" applyFont="1" applyBorder="1" applyAlignment="1">
      <alignment horizontal="center"/>
    </xf>
    <xf numFmtId="0" fontId="38" fillId="0" borderId="29" xfId="0" applyFont="1" applyBorder="1" applyAlignment="1">
      <alignment horizontal="left" wrapText="1"/>
    </xf>
    <xf numFmtId="166" fontId="38" fillId="0" borderId="29" xfId="0" applyNumberFormat="1" applyFont="1" applyBorder="1" applyAlignment="1">
      <alignment horizontal="center"/>
    </xf>
    <xf numFmtId="166" fontId="38" fillId="0" borderId="29" xfId="1" applyNumberFormat="1" applyFont="1" applyBorder="1" applyAlignment="1">
      <alignment horizontal="center"/>
    </xf>
    <xf numFmtId="166" fontId="38" fillId="0" borderId="0" xfId="0" applyNumberFormat="1" applyFont="1"/>
    <xf numFmtId="166" fontId="34" fillId="0" borderId="10" xfId="1" applyNumberFormat="1" applyFont="1" applyBorder="1" applyAlignment="1">
      <alignment horizontal="left"/>
    </xf>
    <xf numFmtId="166" fontId="34" fillId="0" borderId="10" xfId="1" applyNumberFormat="1" applyFont="1" applyBorder="1"/>
    <xf numFmtId="0" fontId="43" fillId="0" borderId="0" xfId="0" applyFont="1" applyAlignment="1"/>
    <xf numFmtId="0" fontId="9" fillId="0" borderId="0" xfId="0" applyFont="1" applyAlignment="1"/>
    <xf numFmtId="166" fontId="6" fillId="0" borderId="0" xfId="1" applyNumberFormat="1" applyFont="1"/>
    <xf numFmtId="167" fontId="6" fillId="16" borderId="0" xfId="1" applyNumberFormat="1" applyFont="1" applyFill="1"/>
    <xf numFmtId="9" fontId="6" fillId="0" borderId="0" xfId="1" applyNumberFormat="1" applyFont="1"/>
    <xf numFmtId="167" fontId="6" fillId="0" borderId="0" xfId="1" applyNumberFormat="1" applyFont="1"/>
    <xf numFmtId="0" fontId="16" fillId="0" borderId="0" xfId="0" applyFont="1" applyAlignment="1">
      <alignment wrapText="1"/>
    </xf>
    <xf numFmtId="164" fontId="30" fillId="10" borderId="25" xfId="0" applyNumberFormat="1" applyFont="1" applyFill="1" applyBorder="1" applyAlignment="1">
      <alignment horizontal="center" vertical="center"/>
    </xf>
    <xf numFmtId="0" fontId="24" fillId="0" borderId="0" xfId="0" applyNumberFormat="1" applyFont="1"/>
    <xf numFmtId="0" fontId="30" fillId="10" borderId="27" xfId="0" applyFont="1" applyFill="1" applyBorder="1" applyAlignment="1">
      <alignment horizontal="center" vertical="center" wrapText="1"/>
    </xf>
    <xf numFmtId="0" fontId="32" fillId="12" borderId="24" xfId="0" applyFont="1" applyFill="1" applyBorder="1" applyAlignment="1">
      <alignment horizontal="center" vertical="center"/>
    </xf>
    <xf numFmtId="0" fontId="30" fillId="10" borderId="26" xfId="0" applyFont="1" applyFill="1" applyBorder="1" applyAlignment="1">
      <alignment horizontal="center" vertical="center" wrapText="1"/>
    </xf>
    <xf numFmtId="0" fontId="29" fillId="6" borderId="26" xfId="0" applyFont="1" applyFill="1" applyBorder="1" applyAlignment="1">
      <alignment vertical="center"/>
    </xf>
    <xf numFmtId="0" fontId="29" fillId="6" borderId="27" xfId="0" applyFont="1" applyFill="1" applyBorder="1" applyAlignment="1">
      <alignment vertical="center"/>
    </xf>
    <xf numFmtId="166" fontId="0" fillId="0" borderId="0" xfId="0" applyNumberFormat="1" applyFont="1" applyAlignment="1"/>
    <xf numFmtId="0" fontId="32" fillId="12" borderId="7" xfId="0" applyFont="1" applyFill="1" applyBorder="1" applyAlignment="1">
      <alignment horizontal="center" vertical="center"/>
    </xf>
    <xf numFmtId="166" fontId="24" fillId="16" borderId="0" xfId="0" applyNumberFormat="1" applyFont="1" applyFill="1" applyAlignment="1">
      <alignment horizontal="center"/>
    </xf>
    <xf numFmtId="167" fontId="24" fillId="0" borderId="0" xfId="0" applyNumberFormat="1" applyFont="1" applyAlignment="1">
      <alignment horizontal="center"/>
    </xf>
    <xf numFmtId="168" fontId="32" fillId="12" borderId="7" xfId="0" applyNumberFormat="1" applyFont="1" applyFill="1" applyBorder="1" applyAlignment="1">
      <alignment horizontal="center" vertical="center"/>
    </xf>
    <xf numFmtId="0" fontId="39" fillId="0" borderId="36" xfId="0" applyFont="1" applyBorder="1" applyAlignment="1">
      <alignment horizontal="center" vertical="center"/>
    </xf>
    <xf numFmtId="0" fontId="39" fillId="0" borderId="34" xfId="0" applyFont="1" applyBorder="1" applyAlignment="1">
      <alignment horizontal="center" vertical="center"/>
    </xf>
    <xf numFmtId="0" fontId="39" fillId="0" borderId="35" xfId="0" applyFont="1" applyBorder="1" applyAlignment="1">
      <alignment horizontal="center" vertical="center"/>
    </xf>
    <xf numFmtId="0" fontId="39" fillId="0" borderId="36" xfId="0" applyFont="1" applyBorder="1"/>
    <xf numFmtId="0" fontId="39" fillId="0" borderId="34" xfId="0" applyFont="1" applyBorder="1" applyAlignment="1">
      <alignment horizontal="center"/>
    </xf>
    <xf numFmtId="0" fontId="39" fillId="0" borderId="35" xfId="0" applyFont="1" applyBorder="1" applyAlignment="1">
      <alignment horizontal="center"/>
    </xf>
    <xf numFmtId="0" fontId="39" fillId="0" borderId="36" xfId="0" applyFont="1" applyBorder="1" applyAlignment="1">
      <alignment horizontal="center"/>
    </xf>
    <xf numFmtId="0" fontId="38" fillId="0" borderId="51" xfId="0" applyFont="1" applyBorder="1"/>
    <xf numFmtId="166" fontId="38" fillId="0" borderId="40" xfId="1" applyNumberFormat="1" applyFont="1" applyBorder="1"/>
    <xf numFmtId="166" fontId="38" fillId="0" borderId="41" xfId="1" applyNumberFormat="1" applyFont="1" applyBorder="1"/>
    <xf numFmtId="166" fontId="38" fillId="0" borderId="51" xfId="1" applyNumberFormat="1" applyFont="1" applyBorder="1"/>
    <xf numFmtId="0" fontId="38" fillId="0" borderId="37" xfId="0" applyFont="1" applyBorder="1"/>
    <xf numFmtId="166" fontId="38" fillId="0" borderId="52" xfId="1" applyNumberFormat="1" applyFont="1" applyBorder="1"/>
    <xf numFmtId="166" fontId="38" fillId="0" borderId="37" xfId="1" applyNumberFormat="1" applyFont="1" applyBorder="1"/>
    <xf numFmtId="0" fontId="38" fillId="0" borderId="53" xfId="0" applyFont="1" applyBorder="1"/>
    <xf numFmtId="166" fontId="38" fillId="0" borderId="54" xfId="1" applyNumberFormat="1" applyFont="1" applyBorder="1"/>
    <xf numFmtId="166" fontId="38" fillId="0" borderId="49" xfId="1" applyNumberFormat="1" applyFont="1" applyBorder="1"/>
    <xf numFmtId="166" fontId="38" fillId="0" borderId="53" xfId="1" applyNumberFormat="1" applyFont="1" applyBorder="1"/>
    <xf numFmtId="0" fontId="38" fillId="0" borderId="36" xfId="0" applyFont="1" applyBorder="1"/>
    <xf numFmtId="166" fontId="38" fillId="0" borderId="34" xfId="1" applyNumberFormat="1" applyFont="1" applyBorder="1"/>
    <xf numFmtId="166" fontId="38" fillId="0" borderId="35" xfId="1" applyNumberFormat="1" applyFont="1" applyBorder="1"/>
    <xf numFmtId="166" fontId="38" fillId="0" borderId="36" xfId="1" applyNumberFormat="1" applyFont="1" applyBorder="1"/>
    <xf numFmtId="43" fontId="19" fillId="3" borderId="7" xfId="0" applyNumberFormat="1" applyFont="1" applyFill="1" applyBorder="1" applyAlignment="1">
      <alignment vertical="center"/>
    </xf>
    <xf numFmtId="17" fontId="5" fillId="4" borderId="56" xfId="0" applyNumberFormat="1" applyFont="1" applyFill="1" applyBorder="1" applyAlignment="1">
      <alignment horizontal="center" vertical="center" wrapText="1"/>
    </xf>
    <xf numFmtId="0" fontId="30" fillId="11" borderId="5" xfId="0" applyFont="1" applyFill="1" applyBorder="1" applyAlignment="1">
      <alignment horizontal="center" vertical="center"/>
    </xf>
    <xf numFmtId="0" fontId="30" fillId="3" borderId="23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9" fillId="6" borderId="26" xfId="0" applyFont="1" applyFill="1" applyBorder="1" applyAlignment="1">
      <alignment horizontal="center" vertical="center"/>
    </xf>
    <xf numFmtId="0" fontId="0" fillId="0" borderId="0" xfId="0" applyFont="1" applyAlignment="1"/>
    <xf numFmtId="44" fontId="8" fillId="0" borderId="55" xfId="2" applyFont="1" applyBorder="1" applyAlignment="1">
      <alignment horizontal="right" vertical="center"/>
    </xf>
    <xf numFmtId="0" fontId="8" fillId="3" borderId="10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22" xfId="0" applyFont="1" applyFill="1" applyBorder="1" applyAlignment="1">
      <alignment horizontal="left" vertical="center" wrapText="1"/>
    </xf>
    <xf numFmtId="0" fontId="44" fillId="0" borderId="0" xfId="0" applyFont="1" applyAlignment="1">
      <alignment vertical="center"/>
    </xf>
    <xf numFmtId="0" fontId="45" fillId="0" borderId="0" xfId="0" applyFont="1" applyAlignment="1"/>
    <xf numFmtId="164" fontId="6" fillId="0" borderId="4" xfId="0" applyNumberFormat="1" applyFont="1" applyBorder="1" applyAlignment="1">
      <alignment horizontal="right" vertical="center"/>
    </xf>
    <xf numFmtId="44" fontId="6" fillId="0" borderId="55" xfId="2" applyFont="1" applyBorder="1" applyAlignment="1">
      <alignment horizontal="right" vertical="center"/>
    </xf>
    <xf numFmtId="164" fontId="9" fillId="0" borderId="20" xfId="0" applyNumberFormat="1" applyFont="1" applyBorder="1" applyAlignment="1">
      <alignment horizontal="right" vertical="center"/>
    </xf>
    <xf numFmtId="0" fontId="27" fillId="0" borderId="0" xfId="0" applyFont="1" applyAlignment="1">
      <alignment vertical="center"/>
    </xf>
    <xf numFmtId="0" fontId="30" fillId="10" borderId="10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center" vertical="center"/>
    </xf>
    <xf numFmtId="0" fontId="15" fillId="8" borderId="11" xfId="0" applyFont="1" applyFill="1" applyBorder="1" applyAlignment="1">
      <alignment horizontal="center" vertical="center"/>
    </xf>
    <xf numFmtId="0" fontId="15" fillId="8" borderId="30" xfId="0" applyFont="1" applyFill="1" applyBorder="1" applyAlignment="1">
      <alignment horizontal="center" vertical="center"/>
    </xf>
    <xf numFmtId="0" fontId="15" fillId="6" borderId="1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 wrapText="1"/>
    </xf>
    <xf numFmtId="17" fontId="5" fillId="4" borderId="57" xfId="0" applyNumberFormat="1" applyFont="1" applyFill="1" applyBorder="1" applyAlignment="1">
      <alignment horizontal="center" vertical="center" wrapText="1"/>
    </xf>
    <xf numFmtId="17" fontId="5" fillId="4" borderId="58" xfId="0" applyNumberFormat="1" applyFont="1" applyFill="1" applyBorder="1" applyAlignment="1">
      <alignment horizontal="center" vertical="center" wrapText="1"/>
    </xf>
    <xf numFmtId="17" fontId="19" fillId="4" borderId="58" xfId="0" applyNumberFormat="1" applyFont="1" applyFill="1" applyBorder="1" applyAlignment="1">
      <alignment horizontal="center" vertical="center" wrapText="1"/>
    </xf>
    <xf numFmtId="169" fontId="6" fillId="0" borderId="0" xfId="2" applyNumberFormat="1" applyFont="1"/>
    <xf numFmtId="0" fontId="0" fillId="0" borderId="29" xfId="0" applyBorder="1"/>
    <xf numFmtId="43" fontId="0" fillId="0" borderId="29" xfId="1" applyFont="1" applyBorder="1"/>
    <xf numFmtId="43" fontId="46" fillId="0" borderId="29" xfId="0" applyNumberFormat="1" applyFont="1" applyBorder="1"/>
    <xf numFmtId="0" fontId="47" fillId="0" borderId="29" xfId="0" applyFont="1" applyBorder="1"/>
    <xf numFmtId="43" fontId="24" fillId="0" borderId="0" xfId="1" applyFont="1" applyAlignment="1">
      <alignment horizontal="center"/>
    </xf>
    <xf numFmtId="43" fontId="24" fillId="0" borderId="0" xfId="1" applyFont="1"/>
    <xf numFmtId="0" fontId="33" fillId="0" borderId="29" xfId="0" applyFont="1" applyBorder="1" applyAlignment="1"/>
    <xf numFmtId="0" fontId="46" fillId="0" borderId="29" xfId="0" applyFont="1" applyBorder="1"/>
    <xf numFmtId="43" fontId="46" fillId="0" borderId="29" xfId="1" applyFont="1" applyBorder="1"/>
    <xf numFmtId="0" fontId="15" fillId="6" borderId="24" xfId="0" applyFont="1" applyFill="1" applyBorder="1" applyAlignment="1">
      <alignment horizontal="right" vertical="center"/>
    </xf>
    <xf numFmtId="0" fontId="43" fillId="0" borderId="10" xfId="0" applyFont="1" applyBorder="1" applyAlignment="1"/>
    <xf numFmtId="0" fontId="13" fillId="0" borderId="10" xfId="0" applyFont="1" applyBorder="1"/>
    <xf numFmtId="43" fontId="24" fillId="0" borderId="0" xfId="0" applyNumberFormat="1" applyFont="1"/>
    <xf numFmtId="164" fontId="49" fillId="0" borderId="59" xfId="0" applyNumberFormat="1" applyFont="1" applyBorder="1" applyAlignment="1">
      <alignment vertical="center"/>
    </xf>
    <xf numFmtId="0" fontId="50" fillId="0" borderId="0" xfId="0" applyFont="1"/>
    <xf numFmtId="164" fontId="49" fillId="0" borderId="24" xfId="0" applyNumberFormat="1" applyFont="1" applyBorder="1" applyAlignment="1">
      <alignment vertical="center"/>
    </xf>
    <xf numFmtId="164" fontId="30" fillId="7" borderId="23" xfId="0" applyNumberFormat="1" applyFont="1" applyFill="1" applyBorder="1" applyAlignment="1">
      <alignment vertical="center"/>
    </xf>
    <xf numFmtId="0" fontId="48" fillId="0" borderId="0" xfId="0" applyFont="1"/>
    <xf numFmtId="0" fontId="6" fillId="7" borderId="10" xfId="0" applyFont="1" applyFill="1" applyBorder="1" applyAlignment="1">
      <alignment horizontal="left" vertical="center" wrapText="1"/>
    </xf>
    <xf numFmtId="166" fontId="38" fillId="0" borderId="0" xfId="0" applyNumberFormat="1" applyFont="1" applyAlignment="1">
      <alignment wrapText="1"/>
    </xf>
    <xf numFmtId="43" fontId="3" fillId="0" borderId="0" xfId="0" applyNumberFormat="1" applyFont="1" applyAlignment="1">
      <alignment vertical="center"/>
    </xf>
    <xf numFmtId="167" fontId="0" fillId="0" borderId="0" xfId="0" applyNumberFormat="1" applyFont="1" applyAlignment="1"/>
    <xf numFmtId="166" fontId="51" fillId="0" borderId="0" xfId="1" applyNumberFormat="1" applyFont="1" applyAlignment="1">
      <alignment horizontal="center" vertical="center"/>
    </xf>
    <xf numFmtId="166" fontId="51" fillId="0" borderId="0" xfId="1" applyNumberFormat="1" applyFont="1"/>
    <xf numFmtId="43" fontId="0" fillId="0" borderId="0" xfId="1" applyFont="1" applyAlignment="1"/>
    <xf numFmtId="43" fontId="34" fillId="0" borderId="0" xfId="0" applyNumberFormat="1" applyFont="1"/>
    <xf numFmtId="0" fontId="0" fillId="0" borderId="29" xfId="0" applyBorder="1" applyAlignment="1">
      <alignment wrapText="1"/>
    </xf>
    <xf numFmtId="0" fontId="0" fillId="0" borderId="41" xfId="0" applyBorder="1"/>
    <xf numFmtId="43" fontId="0" fillId="0" borderId="10" xfId="1" applyFont="1" applyBorder="1"/>
    <xf numFmtId="0" fontId="33" fillId="0" borderId="0" xfId="0" applyFont="1" applyAlignment="1"/>
    <xf numFmtId="43" fontId="0" fillId="0" borderId="0" xfId="0" applyNumberFormat="1" applyFont="1" applyAlignment="1"/>
    <xf numFmtId="164" fontId="50" fillId="0" borderId="0" xfId="0" applyNumberFormat="1" applyFont="1"/>
    <xf numFmtId="0" fontId="29" fillId="6" borderId="26" xfId="0" applyFont="1" applyFill="1" applyBorder="1" applyAlignment="1">
      <alignment horizontal="center" vertical="center"/>
    </xf>
    <xf numFmtId="0" fontId="29" fillId="6" borderId="28" xfId="0" applyFont="1" applyFill="1" applyBorder="1" applyAlignment="1">
      <alignment horizontal="center" vertical="center"/>
    </xf>
    <xf numFmtId="0" fontId="29" fillId="6" borderId="30" xfId="0" applyFont="1" applyFill="1" applyBorder="1" applyAlignment="1">
      <alignment horizontal="center" vertical="center"/>
    </xf>
    <xf numFmtId="0" fontId="29" fillId="6" borderId="10" xfId="0" applyFont="1" applyFill="1" applyBorder="1" applyAlignment="1">
      <alignment horizontal="center" vertical="center"/>
    </xf>
    <xf numFmtId="0" fontId="15" fillId="6" borderId="27" xfId="0" applyFont="1" applyFill="1" applyBorder="1" applyAlignment="1">
      <alignment horizontal="center" vertical="center"/>
    </xf>
    <xf numFmtId="0" fontId="15" fillId="6" borderId="32" xfId="0" applyFont="1" applyFill="1" applyBorder="1" applyAlignment="1">
      <alignment horizontal="center" vertical="center"/>
    </xf>
    <xf numFmtId="0" fontId="15" fillId="6" borderId="28" xfId="0" applyFont="1" applyFill="1" applyBorder="1" applyAlignment="1">
      <alignment horizontal="center" vertical="center"/>
    </xf>
    <xf numFmtId="0" fontId="15" fillId="6" borderId="31" xfId="0" applyFont="1" applyFill="1" applyBorder="1" applyAlignment="1">
      <alignment horizontal="center" vertical="center"/>
    </xf>
    <xf numFmtId="0" fontId="15" fillId="8" borderId="25" xfId="0" applyFont="1" applyFill="1" applyBorder="1" applyAlignment="1">
      <alignment horizontal="center" vertical="center"/>
    </xf>
    <xf numFmtId="0" fontId="15" fillId="8" borderId="24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3" fillId="0" borderId="9" xfId="0" applyFont="1" applyBorder="1"/>
    <xf numFmtId="0" fontId="13" fillId="0" borderId="10" xfId="0" applyFont="1" applyBorder="1"/>
    <xf numFmtId="0" fontId="15" fillId="6" borderId="11" xfId="0" applyFont="1" applyFill="1" applyBorder="1" applyAlignment="1">
      <alignment horizontal="left" vertical="center" wrapText="1"/>
    </xf>
    <xf numFmtId="0" fontId="13" fillId="0" borderId="12" xfId="0" applyFont="1" applyBorder="1"/>
    <xf numFmtId="0" fontId="6" fillId="7" borderId="13" xfId="0" applyFont="1" applyFill="1" applyBorder="1" applyAlignment="1">
      <alignment horizontal="left" vertical="center" wrapText="1"/>
    </xf>
    <xf numFmtId="0" fontId="13" fillId="0" borderId="14" xfId="0" applyFont="1" applyBorder="1"/>
    <xf numFmtId="0" fontId="15" fillId="6" borderId="25" xfId="0" applyFont="1" applyFill="1" applyBorder="1" applyAlignment="1">
      <alignment horizontal="center" vertical="center"/>
    </xf>
    <xf numFmtId="0" fontId="15" fillId="6" borderId="24" xfId="0" applyFont="1" applyFill="1" applyBorder="1" applyAlignment="1">
      <alignment horizontal="center" vertical="center"/>
    </xf>
    <xf numFmtId="0" fontId="11" fillId="0" borderId="0" xfId="0" applyFont="1"/>
    <xf numFmtId="0" fontId="15" fillId="6" borderId="10" xfId="0" applyFont="1" applyFill="1" applyBorder="1" applyAlignment="1">
      <alignment horizontal="center" vertical="center"/>
    </xf>
    <xf numFmtId="0" fontId="29" fillId="6" borderId="27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46" fillId="0" borderId="29" xfId="0" applyFont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32">
    <dxf>
      <font>
        <color rgb="FFC0000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C0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STATEMENT'!$B$10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'INCOME STATEMENT'!$D$8:$P$9</c:f>
              <c:multiLvlStrCache>
                <c:ptCount val="12"/>
                <c:lvl>
                  <c:pt idx="0">
                    <c:v>NGN</c:v>
                  </c:pt>
                  <c:pt idx="1">
                    <c:v>NGN</c:v>
                  </c:pt>
                  <c:pt idx="2">
                    <c:v>NGN</c:v>
                  </c:pt>
                  <c:pt idx="3">
                    <c:v>NGN</c:v>
                  </c:pt>
                  <c:pt idx="4">
                    <c:v>NGN</c:v>
                  </c:pt>
                  <c:pt idx="5">
                    <c:v>NGN</c:v>
                  </c:pt>
                  <c:pt idx="6">
                    <c:v>NGN</c:v>
                  </c:pt>
                  <c:pt idx="7">
                    <c:v>NGN</c:v>
                  </c:pt>
                  <c:pt idx="8">
                    <c:v>NGN</c:v>
                  </c:pt>
                  <c:pt idx="9">
                    <c:v>NGN</c:v>
                  </c:pt>
                  <c:pt idx="10">
                    <c:v>NGN</c:v>
                  </c:pt>
                  <c:pt idx="11">
                    <c:v>NGN</c:v>
                  </c:pt>
                </c:lvl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</c:lvl>
              </c:multiLvlStrCache>
            </c:multiLvlStrRef>
          </c:cat>
          <c:val>
            <c:numRef>
              <c:f>'INCOME STATEMENT'!$D$10:$P$10</c:f>
              <c:numCache>
                <c:formatCode>_("₦"* #,##0.00_);_("₦"* \(#,##0.00\);_("₦"* "-"??_);_(@_)</c:formatCode>
                <c:ptCount val="13"/>
                <c:pt idx="0">
                  <c:v>11160000</c:v>
                </c:pt>
                <c:pt idx="1">
                  <c:v>11160000</c:v>
                </c:pt>
                <c:pt idx="2">
                  <c:v>11160000</c:v>
                </c:pt>
                <c:pt idx="3">
                  <c:v>11160000</c:v>
                </c:pt>
                <c:pt idx="4">
                  <c:v>11160000</c:v>
                </c:pt>
                <c:pt idx="5">
                  <c:v>11160000</c:v>
                </c:pt>
                <c:pt idx="6">
                  <c:v>11160000</c:v>
                </c:pt>
                <c:pt idx="7">
                  <c:v>11160000</c:v>
                </c:pt>
                <c:pt idx="8">
                  <c:v>11160000</c:v>
                </c:pt>
                <c:pt idx="9">
                  <c:v>11160000</c:v>
                </c:pt>
                <c:pt idx="10">
                  <c:v>11160000</c:v>
                </c:pt>
                <c:pt idx="11">
                  <c:v>11160000</c:v>
                </c:pt>
              </c:numCache>
            </c:numRef>
          </c:val>
        </c:ser>
        <c:ser>
          <c:idx val="1"/>
          <c:order val="1"/>
          <c:tx>
            <c:strRef>
              <c:f>'INCOME STATEMENT'!$B$11</c:f>
              <c:strCache>
                <c:ptCount val="1"/>
                <c:pt idx="0">
                  <c:v>TOTAL EXPENSES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'INCOME STATEMENT'!$D$8:$P$9</c:f>
              <c:multiLvlStrCache>
                <c:ptCount val="12"/>
                <c:lvl>
                  <c:pt idx="0">
                    <c:v>NGN</c:v>
                  </c:pt>
                  <c:pt idx="1">
                    <c:v>NGN</c:v>
                  </c:pt>
                  <c:pt idx="2">
                    <c:v>NGN</c:v>
                  </c:pt>
                  <c:pt idx="3">
                    <c:v>NGN</c:v>
                  </c:pt>
                  <c:pt idx="4">
                    <c:v>NGN</c:v>
                  </c:pt>
                  <c:pt idx="5">
                    <c:v>NGN</c:v>
                  </c:pt>
                  <c:pt idx="6">
                    <c:v>NGN</c:v>
                  </c:pt>
                  <c:pt idx="7">
                    <c:v>NGN</c:v>
                  </c:pt>
                  <c:pt idx="8">
                    <c:v>NGN</c:v>
                  </c:pt>
                  <c:pt idx="9">
                    <c:v>NGN</c:v>
                  </c:pt>
                  <c:pt idx="10">
                    <c:v>NGN</c:v>
                  </c:pt>
                  <c:pt idx="11">
                    <c:v>NGN</c:v>
                  </c:pt>
                </c:lvl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</c:lvl>
              </c:multiLvlStrCache>
            </c:multiLvlStrRef>
          </c:cat>
          <c:val>
            <c:numRef>
              <c:f>'INCOME STATEMENT'!$D$11:$P$11</c:f>
              <c:numCache>
                <c:formatCode>_("₦"* #,##0.00_);_("₦"* \(#,##0.00\);_("₦"* "-"??_);_(@_)</c:formatCode>
                <c:ptCount val="13"/>
                <c:pt idx="0">
                  <c:v>241248604.43333334</c:v>
                </c:pt>
                <c:pt idx="1">
                  <c:v>1676333.3333333333</c:v>
                </c:pt>
                <c:pt idx="2">
                  <c:v>1676333.3333333333</c:v>
                </c:pt>
                <c:pt idx="3">
                  <c:v>1676333.3333333333</c:v>
                </c:pt>
                <c:pt idx="4">
                  <c:v>1676333.3333333333</c:v>
                </c:pt>
                <c:pt idx="5">
                  <c:v>1676333.3333333333</c:v>
                </c:pt>
                <c:pt idx="6">
                  <c:v>1676333.3333333333</c:v>
                </c:pt>
                <c:pt idx="7">
                  <c:v>1676333.3333333333</c:v>
                </c:pt>
                <c:pt idx="8">
                  <c:v>1676333.3333333333</c:v>
                </c:pt>
                <c:pt idx="9">
                  <c:v>1676333.3333333333</c:v>
                </c:pt>
                <c:pt idx="10">
                  <c:v>1651333.3333333333</c:v>
                </c:pt>
                <c:pt idx="11">
                  <c:v>1651333.3333333333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7607480"/>
        <c:axId val="287609440"/>
      </c:barChart>
      <c:lineChart>
        <c:grouping val="standard"/>
        <c:varyColors val="0"/>
        <c:ser>
          <c:idx val="2"/>
          <c:order val="2"/>
          <c:tx>
            <c:strRef>
              <c:f>'INCOME STATEMENT'!$B$12</c:f>
              <c:strCache>
                <c:ptCount val="1"/>
                <c:pt idx="0">
                  <c:v>PROFIT / LOSS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f>'INCOME STATEMENT'!$D$8:$P$9</c:f>
              <c:multiLvlStrCache>
                <c:ptCount val="12"/>
                <c:lvl>
                  <c:pt idx="0">
                    <c:v>NGN</c:v>
                  </c:pt>
                  <c:pt idx="1">
                    <c:v>NGN</c:v>
                  </c:pt>
                  <c:pt idx="2">
                    <c:v>NGN</c:v>
                  </c:pt>
                  <c:pt idx="3">
                    <c:v>NGN</c:v>
                  </c:pt>
                  <c:pt idx="4">
                    <c:v>NGN</c:v>
                  </c:pt>
                  <c:pt idx="5">
                    <c:v>NGN</c:v>
                  </c:pt>
                  <c:pt idx="6">
                    <c:v>NGN</c:v>
                  </c:pt>
                  <c:pt idx="7">
                    <c:v>NGN</c:v>
                  </c:pt>
                  <c:pt idx="8">
                    <c:v>NGN</c:v>
                  </c:pt>
                  <c:pt idx="9">
                    <c:v>NGN</c:v>
                  </c:pt>
                  <c:pt idx="10">
                    <c:v>NGN</c:v>
                  </c:pt>
                  <c:pt idx="11">
                    <c:v>NGN</c:v>
                  </c:pt>
                </c:lvl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</c:lvl>
              </c:multiLvlStrCache>
            </c:multiLvlStrRef>
          </c:cat>
          <c:val>
            <c:numRef>
              <c:f>'INCOME STATEMENT'!$D$12:$P$12</c:f>
              <c:numCache>
                <c:formatCode>_("₦"* #,##0.00_);_("₦"* \(#,##0.00\);_("₦"* "-"??_);_(@_)</c:formatCode>
                <c:ptCount val="13"/>
                <c:pt idx="0">
                  <c:v>-230088604.43333334</c:v>
                </c:pt>
                <c:pt idx="1">
                  <c:v>9483666.666666666</c:v>
                </c:pt>
                <c:pt idx="2">
                  <c:v>9483666.666666666</c:v>
                </c:pt>
                <c:pt idx="3">
                  <c:v>9483666.666666666</c:v>
                </c:pt>
                <c:pt idx="4">
                  <c:v>9483666.666666666</c:v>
                </c:pt>
                <c:pt idx="5">
                  <c:v>9483666.666666666</c:v>
                </c:pt>
                <c:pt idx="6">
                  <c:v>9483666.666666666</c:v>
                </c:pt>
                <c:pt idx="7">
                  <c:v>9483666.666666666</c:v>
                </c:pt>
                <c:pt idx="8">
                  <c:v>9483666.666666666</c:v>
                </c:pt>
                <c:pt idx="9">
                  <c:v>9483666.666666666</c:v>
                </c:pt>
                <c:pt idx="10">
                  <c:v>9508666.666666666</c:v>
                </c:pt>
                <c:pt idx="11">
                  <c:v>9508666.666666666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610224"/>
        <c:axId val="287604736"/>
      </c:lineChart>
      <c:catAx>
        <c:axId val="28760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609440"/>
        <c:crosses val="autoZero"/>
        <c:auto val="1"/>
        <c:lblAlgn val="ctr"/>
        <c:lblOffset val="100"/>
        <c:noMultiLvlLbl val="0"/>
      </c:catAx>
      <c:valAx>
        <c:axId val="28760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₦&quot;* #,##0.00_);_(&quot;₦&quot;* \(#,##0.00\);_(&quot;₦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607480"/>
        <c:crosses val="autoZero"/>
        <c:crossBetween val="between"/>
      </c:valAx>
      <c:valAx>
        <c:axId val="287604736"/>
        <c:scaling>
          <c:orientation val="minMax"/>
        </c:scaling>
        <c:delete val="0"/>
        <c:axPos val="r"/>
        <c:numFmt formatCode="_(&quot;₦&quot;* #,##0.00_);_(&quot;₦&quot;* \(#,##0.00\);_(&quot;₦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610224"/>
        <c:crosses val="max"/>
        <c:crossBetween val="between"/>
      </c:valAx>
      <c:catAx>
        <c:axId val="2876102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876047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STATEMENT - 3 YEARS'!$B$11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'INCOME STATEMENT - 3 YEARS'!$C$5:$F$10</c15:sqref>
                  </c15:fullRef>
                </c:ext>
              </c:extLst>
              <c:f>'INCOME STATEMENT - 3 YEARS'!$D$5:$F$10</c:f>
              <c:multiLvlStrCache>
                <c:ptCount val="3"/>
                <c:lvl>
                  <c:pt idx="0">
                    <c:v>NGN</c:v>
                  </c:pt>
                  <c:pt idx="1">
                    <c:v>NGN</c:v>
                  </c:pt>
                  <c:pt idx="2">
                    <c:v>NGN</c:v>
                  </c:pt>
                </c:lvl>
                <c:lvl>
                  <c:pt idx="0">
                    <c:v>YEAR 1</c:v>
                  </c:pt>
                  <c:pt idx="1">
                    <c:v>YEAR 2</c:v>
                  </c:pt>
                  <c:pt idx="2">
                    <c:v>YEAR 3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'INCOME STATEMENT - 3 YEARS'!$C$11:$F$11</c15:sqref>
                  </c15:fullRef>
                </c:ext>
              </c:extLst>
              <c:f>'INCOME STATEMENT - 3 YEARS'!$D$11:$F$11</c:f>
              <c:numCache>
                <c:formatCode>_("₦"* #,##0.00_);_("₦"* \(#,##0.00\);_("₦"* "-"??_);_(@_)</c:formatCode>
                <c:ptCount val="3"/>
                <c:pt idx="0">
                  <c:v>131400000</c:v>
                </c:pt>
                <c:pt idx="1">
                  <c:v>131400000</c:v>
                </c:pt>
                <c:pt idx="2">
                  <c:v>131400000</c:v>
                </c:pt>
              </c:numCache>
            </c:numRef>
          </c:val>
        </c:ser>
        <c:ser>
          <c:idx val="1"/>
          <c:order val="1"/>
          <c:tx>
            <c:strRef>
              <c:f>'INCOME STATEMENT - 3 YEARS'!$B$12</c:f>
              <c:strCache>
                <c:ptCount val="1"/>
                <c:pt idx="0">
                  <c:v>TOTAL EXPENSES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'INCOME STATEMENT - 3 YEARS'!$C$5:$F$10</c15:sqref>
                  </c15:fullRef>
                </c:ext>
              </c:extLst>
              <c:f>'INCOME STATEMENT - 3 YEARS'!$D$5:$F$10</c:f>
              <c:multiLvlStrCache>
                <c:ptCount val="3"/>
                <c:lvl>
                  <c:pt idx="0">
                    <c:v>NGN</c:v>
                  </c:pt>
                  <c:pt idx="1">
                    <c:v>NGN</c:v>
                  </c:pt>
                  <c:pt idx="2">
                    <c:v>NGN</c:v>
                  </c:pt>
                </c:lvl>
                <c:lvl>
                  <c:pt idx="0">
                    <c:v>YEAR 1</c:v>
                  </c:pt>
                  <c:pt idx="1">
                    <c:v>YEAR 2</c:v>
                  </c:pt>
                  <c:pt idx="2">
                    <c:v>YEAR 3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'INCOME STATEMENT - 3 YEARS'!$C$12:$F$12</c15:sqref>
                  </c15:fullRef>
                </c:ext>
              </c:extLst>
              <c:f>'INCOME STATEMENT - 3 YEARS'!$D$12:$F$12</c:f>
              <c:numCache>
                <c:formatCode>_("₦"* #,##0.00_);_("₦"* \(#,##0.00\);_("₦"* "-"??_);_(@_)</c:formatCode>
                <c:ptCount val="3"/>
                <c:pt idx="0">
                  <c:v>278548748.20999998</c:v>
                </c:pt>
                <c:pt idx="1">
                  <c:v>38176477.109999999</c:v>
                </c:pt>
                <c:pt idx="2">
                  <c:v>38176477.109999999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7609048"/>
        <c:axId val="287607088"/>
      </c:barChart>
      <c:lineChart>
        <c:grouping val="standard"/>
        <c:varyColors val="0"/>
        <c:ser>
          <c:idx val="2"/>
          <c:order val="2"/>
          <c:tx>
            <c:strRef>
              <c:f>'INCOME STATEMENT - 3 YEARS'!$B$13</c:f>
              <c:strCache>
                <c:ptCount val="1"/>
                <c:pt idx="0">
                  <c:v>PROFIT / LOSS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'INCOME STATEMENT - 3 YEARS'!$C$5:$F$10</c15:sqref>
                  </c15:fullRef>
                </c:ext>
              </c:extLst>
              <c:f>'INCOME STATEMENT - 3 YEARS'!$D$5:$F$10</c:f>
              <c:multiLvlStrCache>
                <c:ptCount val="3"/>
                <c:lvl>
                  <c:pt idx="0">
                    <c:v>NGN</c:v>
                  </c:pt>
                  <c:pt idx="1">
                    <c:v>NGN</c:v>
                  </c:pt>
                  <c:pt idx="2">
                    <c:v>NGN</c:v>
                  </c:pt>
                </c:lvl>
                <c:lvl>
                  <c:pt idx="0">
                    <c:v>YEAR 1</c:v>
                  </c:pt>
                  <c:pt idx="1">
                    <c:v>YEAR 2</c:v>
                  </c:pt>
                  <c:pt idx="2">
                    <c:v>YEAR 3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'INCOME STATEMENT - 3 YEARS'!$C$13:$F$13</c15:sqref>
                  </c15:fullRef>
                </c:ext>
              </c:extLst>
              <c:f>'INCOME STATEMENT - 3 YEARS'!$D$13:$F$13</c:f>
              <c:numCache>
                <c:formatCode>_("₦"* #,##0.00_);_("₦"* \(#,##0.00\);_("₦"* "-"??_);_(@_)</c:formatCode>
                <c:ptCount val="3"/>
                <c:pt idx="0">
                  <c:v>-147148748.20999998</c:v>
                </c:pt>
                <c:pt idx="1">
                  <c:v>93223522.890000001</c:v>
                </c:pt>
                <c:pt idx="2">
                  <c:v>93223522.890000001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609048"/>
        <c:axId val="287607088"/>
      </c:lineChart>
      <c:catAx>
        <c:axId val="287609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607088"/>
        <c:crosses val="autoZero"/>
        <c:auto val="1"/>
        <c:lblAlgn val="ctr"/>
        <c:lblOffset val="100"/>
        <c:noMultiLvlLbl val="0"/>
      </c:catAx>
      <c:valAx>
        <c:axId val="28760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609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241300</xdr:colOff>
      <xdr:row>0</xdr:row>
      <xdr:rowOff>444500</xdr:rowOff>
    </xdr:from>
    <xdr:to>
      <xdr:col>16</xdr:col>
      <xdr:colOff>50800</xdr:colOff>
      <xdr:row>7</xdr:row>
      <xdr:rowOff>69850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58206</xdr:colOff>
      <xdr:row>1</xdr:row>
      <xdr:rowOff>31752</xdr:rowOff>
    </xdr:from>
    <xdr:to>
      <xdr:col>8</xdr:col>
      <xdr:colOff>42333</xdr:colOff>
      <xdr:row>8</xdr:row>
      <xdr:rowOff>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CTA-%20Transport%20Investment-%20Abridged%20Financials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Of Financials"/>
      <sheetName val="Summary Of Financials $"/>
      <sheetName val="Parameters and Summary"/>
      <sheetName val="Exchange Rate growth "/>
      <sheetName val="Income Statement"/>
      <sheetName val="Cashflow Statement"/>
      <sheetName val="Fleet Inventory"/>
      <sheetName val="Revenue Schedule"/>
      <sheetName val="Facility Repayment Plan"/>
      <sheetName val="Balance Sheet"/>
      <sheetName val="CAPEX"/>
      <sheetName val="OPEX"/>
    </sheetNames>
    <sheetDataSet>
      <sheetData sheetId="0"/>
      <sheetData sheetId="1"/>
      <sheetData sheetId="2">
        <row r="21">
          <cell r="E21">
            <v>6</v>
          </cell>
        </row>
        <row r="22">
          <cell r="E22">
            <v>4</v>
          </cell>
        </row>
      </sheetData>
      <sheetData sheetId="3"/>
      <sheetData sheetId="4"/>
      <sheetData sheetId="5"/>
      <sheetData sheetId="6"/>
      <sheetData sheetId="7">
        <row r="9">
          <cell r="N9">
            <v>2000</v>
          </cell>
        </row>
      </sheetData>
      <sheetData sheetId="8">
        <row r="16">
          <cell r="D16">
            <v>0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E32"/>
  <sheetViews>
    <sheetView topLeftCell="A13" zoomScale="80" zoomScaleNormal="80" workbookViewId="0">
      <selection activeCell="C27" sqref="C27"/>
    </sheetView>
  </sheetViews>
  <sheetFormatPr defaultRowHeight="13.5" x14ac:dyDescent="0.25"/>
  <cols>
    <col min="1" max="2" width="8.7265625" style="191"/>
    <col min="3" max="3" width="38" style="191" customWidth="1"/>
    <col min="4" max="4" width="16.6328125" style="191" bestFit="1" customWidth="1"/>
    <col min="5" max="5" width="18.90625" style="191" bestFit="1" customWidth="1"/>
    <col min="6" max="16384" width="8.7265625" style="191"/>
  </cols>
  <sheetData>
    <row r="4" spans="3:4" x14ac:dyDescent="0.25">
      <c r="C4" s="82" t="s">
        <v>125</v>
      </c>
      <c r="D4" s="71"/>
    </row>
    <row r="5" spans="3:4" x14ac:dyDescent="0.25">
      <c r="C5" s="83" t="s">
        <v>219</v>
      </c>
      <c r="D5" s="192">
        <v>60</v>
      </c>
    </row>
    <row r="6" spans="3:4" x14ac:dyDescent="0.25">
      <c r="C6" s="101" t="s">
        <v>220</v>
      </c>
      <c r="D6" s="262">
        <v>1300000</v>
      </c>
    </row>
    <row r="7" spans="3:4" x14ac:dyDescent="0.25">
      <c r="C7" s="101" t="s">
        <v>222</v>
      </c>
      <c r="D7" s="262">
        <v>7000</v>
      </c>
    </row>
    <row r="8" spans="3:4" x14ac:dyDescent="0.25">
      <c r="C8" s="101"/>
      <c r="D8" s="192"/>
    </row>
    <row r="9" spans="3:4" x14ac:dyDescent="0.25">
      <c r="C9" s="101"/>
      <c r="D9" s="192"/>
    </row>
    <row r="10" spans="3:4" x14ac:dyDescent="0.25">
      <c r="C10" s="83" t="s">
        <v>216</v>
      </c>
      <c r="D10" s="193">
        <v>6000</v>
      </c>
    </row>
    <row r="11" spans="3:4" x14ac:dyDescent="0.25">
      <c r="C11" s="101"/>
      <c r="D11" s="192"/>
    </row>
    <row r="12" spans="3:4" x14ac:dyDescent="0.25">
      <c r="C12" s="101" t="s">
        <v>139</v>
      </c>
      <c r="D12" s="285" t="s">
        <v>140</v>
      </c>
    </row>
    <row r="13" spans="3:4" x14ac:dyDescent="0.25">
      <c r="C13" s="101" t="s">
        <v>182</v>
      </c>
      <c r="D13" s="286">
        <v>7</v>
      </c>
    </row>
    <row r="14" spans="3:4" x14ac:dyDescent="0.25">
      <c r="C14" s="101" t="s">
        <v>194</v>
      </c>
      <c r="D14" s="286">
        <v>30</v>
      </c>
    </row>
    <row r="15" spans="3:4" x14ac:dyDescent="0.25">
      <c r="C15" s="101" t="s">
        <v>183</v>
      </c>
      <c r="D15" s="286">
        <v>365</v>
      </c>
    </row>
    <row r="16" spans="3:4" x14ac:dyDescent="0.25">
      <c r="C16" s="101"/>
      <c r="D16" s="192"/>
    </row>
    <row r="17" spans="3:5" x14ac:dyDescent="0.25">
      <c r="C17" s="101" t="s">
        <v>203</v>
      </c>
      <c r="D17" s="192" t="s">
        <v>193</v>
      </c>
    </row>
    <row r="18" spans="3:5" x14ac:dyDescent="0.25">
      <c r="C18" s="101" t="s">
        <v>217</v>
      </c>
      <c r="D18" s="195">
        <v>60000</v>
      </c>
    </row>
    <row r="19" spans="3:5" x14ac:dyDescent="0.25">
      <c r="C19" s="83"/>
      <c r="D19" s="192"/>
    </row>
    <row r="20" spans="3:5" x14ac:dyDescent="0.25">
      <c r="C20" s="83"/>
      <c r="D20" s="192"/>
    </row>
    <row r="21" spans="3:5" x14ac:dyDescent="0.25">
      <c r="C21" s="83" t="s">
        <v>129</v>
      </c>
      <c r="D21" s="192">
        <v>8</v>
      </c>
    </row>
    <row r="22" spans="3:5" x14ac:dyDescent="0.25">
      <c r="C22" s="83"/>
      <c r="D22" s="192"/>
    </row>
    <row r="23" spans="3:5" x14ac:dyDescent="0.25">
      <c r="C23" s="83"/>
      <c r="D23" s="192"/>
    </row>
    <row r="24" spans="3:5" x14ac:dyDescent="0.25">
      <c r="C24" s="83"/>
      <c r="D24" s="192"/>
    </row>
    <row r="25" spans="3:5" x14ac:dyDescent="0.25">
      <c r="C25" s="83"/>
      <c r="D25" s="192"/>
    </row>
    <row r="26" spans="3:5" x14ac:dyDescent="0.25">
      <c r="C26" s="83" t="s">
        <v>246</v>
      </c>
      <c r="D26" s="194">
        <v>0.1</v>
      </c>
    </row>
    <row r="27" spans="3:5" x14ac:dyDescent="0.25">
      <c r="C27" s="83" t="s">
        <v>178</v>
      </c>
      <c r="D27" s="192">
        <v>5</v>
      </c>
    </row>
    <row r="28" spans="3:5" x14ac:dyDescent="0.25">
      <c r="C28" s="83"/>
      <c r="D28" s="192"/>
    </row>
    <row r="29" spans="3:5" ht="25" customHeight="1" x14ac:dyDescent="0.25">
      <c r="C29" s="83" t="s">
        <v>136</v>
      </c>
      <c r="D29" s="192">
        <v>1600</v>
      </c>
      <c r="E29" s="196" t="s">
        <v>179</v>
      </c>
    </row>
    <row r="30" spans="3:5" x14ac:dyDescent="0.25">
      <c r="C30" s="83"/>
      <c r="D30" s="192"/>
    </row>
    <row r="31" spans="3:5" x14ac:dyDescent="0.25">
      <c r="C31" s="83"/>
      <c r="D31" s="192"/>
    </row>
    <row r="32" spans="3:5" x14ac:dyDescent="0.25">
      <c r="C32" s="295"/>
      <c r="D32" s="296"/>
    </row>
  </sheetData>
  <mergeCells count="1"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H12"/>
  <sheetViews>
    <sheetView topLeftCell="B1" workbookViewId="0">
      <selection activeCell="D16" sqref="D16"/>
    </sheetView>
  </sheetViews>
  <sheetFormatPr defaultRowHeight="14.5" x14ac:dyDescent="0.35"/>
  <cols>
    <col min="3" max="3" width="20.54296875" customWidth="1"/>
    <col min="5" max="8" width="8.7265625" style="95"/>
  </cols>
  <sheetData>
    <row r="3" spans="3:8" x14ac:dyDescent="0.35">
      <c r="C3" s="82" t="s">
        <v>136</v>
      </c>
      <c r="D3" s="71" t="s">
        <v>131</v>
      </c>
      <c r="E3" s="103" t="s">
        <v>132</v>
      </c>
      <c r="F3" s="71" t="s">
        <v>133</v>
      </c>
      <c r="G3" s="103" t="s">
        <v>134</v>
      </c>
      <c r="H3" s="71" t="s">
        <v>135</v>
      </c>
    </row>
    <row r="4" spans="3:8" x14ac:dyDescent="0.35">
      <c r="C4" s="83" t="s">
        <v>130</v>
      </c>
      <c r="D4" s="104" t="s">
        <v>128</v>
      </c>
      <c r="E4" s="104" t="s">
        <v>128</v>
      </c>
      <c r="F4" s="104" t="s">
        <v>128</v>
      </c>
      <c r="G4" s="104" t="s">
        <v>128</v>
      </c>
      <c r="H4" s="104" t="s">
        <v>128</v>
      </c>
    </row>
    <row r="5" spans="3:8" x14ac:dyDescent="0.35">
      <c r="C5" s="83" t="s">
        <v>137</v>
      </c>
      <c r="D5" s="97"/>
      <c r="E5" s="105">
        <v>1.1000000000000001</v>
      </c>
      <c r="F5" s="105">
        <v>1.1000000000000001</v>
      </c>
      <c r="G5" s="105">
        <v>1.1000000000000001</v>
      </c>
      <c r="H5" s="105">
        <v>1.1000000000000001</v>
      </c>
    </row>
    <row r="6" spans="3:8" x14ac:dyDescent="0.35">
      <c r="C6" s="101" t="s">
        <v>136</v>
      </c>
      <c r="D6" s="97">
        <f>Parameters!D29</f>
        <v>1600</v>
      </c>
      <c r="E6" s="97">
        <f>D6*E5</f>
        <v>1760.0000000000002</v>
      </c>
      <c r="F6" s="97">
        <f t="shared" ref="F6:G6" si="0">E6*F5</f>
        <v>1936.0000000000005</v>
      </c>
      <c r="G6" s="97">
        <f t="shared" si="0"/>
        <v>2129.6000000000008</v>
      </c>
      <c r="H6" s="97">
        <f>G6*H5</f>
        <v>2342.5600000000013</v>
      </c>
    </row>
    <row r="7" spans="3:8" x14ac:dyDescent="0.35">
      <c r="C7" s="297"/>
      <c r="D7" s="298"/>
      <c r="E7" s="298"/>
      <c r="F7" s="298"/>
      <c r="G7" s="298"/>
      <c r="H7" s="298"/>
    </row>
    <row r="12" spans="3:8" x14ac:dyDescent="0.35">
      <c r="C12" s="82" t="s">
        <v>138</v>
      </c>
      <c r="D12" s="106">
        <v>0.05</v>
      </c>
      <c r="E12" s="106">
        <v>0.05</v>
      </c>
      <c r="F12" s="106">
        <v>0.05</v>
      </c>
      <c r="G12" s="106">
        <v>0.05</v>
      </c>
      <c r="H12" s="106">
        <v>0.05</v>
      </c>
    </row>
  </sheetData>
  <mergeCells count="1">
    <mergeCell ref="C7:H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546A"/>
    <pageSetUpPr fitToPage="1"/>
  </sheetPr>
  <dimension ref="A1:Y1011"/>
  <sheetViews>
    <sheetView showGridLines="0" zoomScale="70" zoomScaleNormal="70" workbookViewId="0">
      <pane ySplit="3" topLeftCell="A4" activePane="bottomLeft" state="frozen"/>
      <selection pane="bottomLeft" activeCell="C1" sqref="C1"/>
    </sheetView>
  </sheetViews>
  <sheetFormatPr defaultColWidth="14.453125" defaultRowHeight="15" customHeight="1" x14ac:dyDescent="0.35"/>
  <cols>
    <col min="1" max="1" width="3.36328125" customWidth="1"/>
    <col min="2" max="2" width="61.1796875" customWidth="1"/>
    <col min="3" max="3" width="18.453125" customWidth="1"/>
    <col min="4" max="5" width="13.81640625" customWidth="1"/>
    <col min="6" max="6" width="15" customWidth="1"/>
    <col min="7" max="25" width="10.81640625" customWidth="1"/>
  </cols>
  <sheetData>
    <row r="1" spans="1:25" ht="42" customHeight="1" x14ac:dyDescent="0.35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.75" customHeight="1" x14ac:dyDescent="0.35">
      <c r="A2" s="3"/>
      <c r="B2" s="4" t="s">
        <v>1</v>
      </c>
      <c r="C2" s="5" t="s">
        <v>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8.75" customHeight="1" x14ac:dyDescent="0.35">
      <c r="A3" s="3"/>
      <c r="B3" s="6" t="s">
        <v>3</v>
      </c>
      <c r="C3" s="7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0.5" customHeight="1" x14ac:dyDescent="0.35">
      <c r="A4" s="3"/>
      <c r="B4" s="8"/>
      <c r="C4" s="9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8" customHeight="1" x14ac:dyDescent="0.35">
      <c r="A5" s="10"/>
      <c r="B5" s="11" t="s">
        <v>5</v>
      </c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ht="18" customHeight="1" x14ac:dyDescent="0.35">
      <c r="A6" s="10"/>
      <c r="B6" s="12" t="s">
        <v>243</v>
      </c>
      <c r="C6" s="9">
        <f>CAPEX!D63</f>
        <v>166904771.09999999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5" ht="18" customHeight="1" x14ac:dyDescent="0.35">
      <c r="A7" s="10"/>
      <c r="B7" s="12" t="s">
        <v>6</v>
      </c>
      <c r="C7" s="9">
        <v>0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18" customHeight="1" x14ac:dyDescent="0.35">
      <c r="A8" s="10"/>
      <c r="B8" s="12" t="s">
        <v>7</v>
      </c>
      <c r="C8" s="14">
        <v>0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5" ht="18" customHeight="1" x14ac:dyDescent="0.35">
      <c r="A9" s="10"/>
      <c r="B9" s="12" t="s">
        <v>177</v>
      </c>
      <c r="C9" s="14">
        <v>6000000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5" ht="18" customHeight="1" x14ac:dyDescent="0.35">
      <c r="A10" s="10"/>
      <c r="B10" s="13" t="s">
        <v>8</v>
      </c>
      <c r="C10" s="14">
        <v>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5" ht="18" customHeight="1" x14ac:dyDescent="0.35">
      <c r="A11" s="10"/>
      <c r="B11" s="12" t="s">
        <v>9</v>
      </c>
      <c r="C11" s="14">
        <v>0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5" ht="18" customHeight="1" x14ac:dyDescent="0.35">
      <c r="A12" s="10"/>
      <c r="B12" s="15" t="s">
        <v>10</v>
      </c>
      <c r="C12" s="14" t="e">
        <f>CAPEX!#REF!</f>
        <v>#REF!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5" ht="18" customHeight="1" x14ac:dyDescent="0.35">
      <c r="A13" s="10"/>
      <c r="B13" s="12" t="s">
        <v>11</v>
      </c>
      <c r="C13" s="9">
        <v>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5" ht="15.75" customHeight="1" x14ac:dyDescent="0.35">
      <c r="A14" s="10"/>
      <c r="B14" s="12" t="s">
        <v>12</v>
      </c>
      <c r="C14" s="9">
        <f>CAPEX!D7</f>
        <v>68647500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5" ht="15.75" customHeight="1" x14ac:dyDescent="0.35">
      <c r="A15" s="10"/>
      <c r="B15" s="16" t="s">
        <v>13</v>
      </c>
      <c r="C15" s="9" t="e">
        <f>SUM(C6:C14)</f>
        <v>#REF!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5" ht="9.75" customHeight="1" x14ac:dyDescent="0.35">
      <c r="A16" s="10"/>
      <c r="B16" s="17"/>
      <c r="C16" s="9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5" ht="18" customHeight="1" x14ac:dyDescent="0.35">
      <c r="A17" s="10"/>
      <c r="B17" s="16" t="s">
        <v>14</v>
      </c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 ht="18" customHeight="1" x14ac:dyDescent="0.35">
      <c r="A18" s="10"/>
      <c r="B18" s="17" t="s">
        <v>15</v>
      </c>
      <c r="C18" s="9">
        <v>0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 ht="18" customHeight="1" x14ac:dyDescent="0.35">
      <c r="A19" s="10"/>
      <c r="B19" s="17" t="s">
        <v>16</v>
      </c>
      <c r="C19" s="14">
        <v>0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ht="18" customHeight="1" x14ac:dyDescent="0.35">
      <c r="A20" s="10"/>
      <c r="B20" s="18" t="s">
        <v>17</v>
      </c>
      <c r="C20" s="14">
        <f>'INCOME STATEMENT - 3 YEARS'!D45</f>
        <v>420000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5" ht="18" customHeight="1" x14ac:dyDescent="0.35">
      <c r="A21" s="10"/>
      <c r="B21" s="18" t="s">
        <v>63</v>
      </c>
      <c r="C21" s="14">
        <v>0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1:25" ht="18" customHeight="1" x14ac:dyDescent="0.35">
      <c r="A22" s="10"/>
      <c r="B22" s="17" t="s">
        <v>18</v>
      </c>
      <c r="C22" s="14">
        <v>0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 ht="18" customHeight="1" x14ac:dyDescent="0.35">
      <c r="A23" s="10"/>
      <c r="B23" s="18" t="s">
        <v>242</v>
      </c>
      <c r="C23" s="14">
        <v>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 ht="18" customHeight="1" x14ac:dyDescent="0.35">
      <c r="A24" s="10"/>
      <c r="B24" s="19" t="s">
        <v>19</v>
      </c>
      <c r="C24" s="14">
        <v>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ht="18" customHeight="1" x14ac:dyDescent="0.35">
      <c r="A25" s="10"/>
      <c r="B25" s="17" t="s">
        <v>20</v>
      </c>
      <c r="C25" s="14">
        <v>0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18" customHeight="1" x14ac:dyDescent="0.35">
      <c r="A26" s="10"/>
      <c r="B26" s="17" t="s">
        <v>21</v>
      </c>
      <c r="C26" s="14">
        <v>0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1:25" ht="18" customHeight="1" x14ac:dyDescent="0.35">
      <c r="A27" s="10"/>
      <c r="B27" s="18" t="s">
        <v>124</v>
      </c>
      <c r="C27" s="14">
        <v>0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1:25" ht="18" customHeight="1" x14ac:dyDescent="0.35">
      <c r="A28" s="10"/>
      <c r="B28" s="17" t="s">
        <v>22</v>
      </c>
      <c r="C28" s="14">
        <f>'INCOME STATEMENT - 3 YEARS'!D36</f>
        <v>14760000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1:25" ht="18" customHeight="1" x14ac:dyDescent="0.35">
      <c r="A29" s="10"/>
      <c r="B29" s="17" t="s">
        <v>23</v>
      </c>
      <c r="C29" s="14">
        <f>'INCOME STATEMENT - 3 YEARS'!D39</f>
        <v>1000000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1:25" ht="18" customHeight="1" x14ac:dyDescent="0.35">
      <c r="A30" s="10"/>
      <c r="B30" s="17" t="s">
        <v>24</v>
      </c>
      <c r="C30" s="14">
        <v>0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 ht="18" customHeight="1" x14ac:dyDescent="0.35">
      <c r="A31" s="10"/>
      <c r="B31" s="17" t="s">
        <v>120</v>
      </c>
      <c r="C31" s="14">
        <v>1000000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1:25" ht="18" customHeight="1" x14ac:dyDescent="0.35">
      <c r="A32" s="10"/>
      <c r="B32" s="17" t="s">
        <v>26</v>
      </c>
      <c r="C32" s="14">
        <v>0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1:25" ht="18" customHeight="1" x14ac:dyDescent="0.35">
      <c r="A33" s="10"/>
      <c r="B33" s="17" t="s">
        <v>27</v>
      </c>
      <c r="C33" s="14">
        <f>'INCOME STATEMENT - 3 YEARS'!D44</f>
        <v>3600000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25" ht="18" customHeight="1" x14ac:dyDescent="0.35">
      <c r="A34" s="10"/>
      <c r="B34" s="16" t="s">
        <v>28</v>
      </c>
      <c r="C34" s="9">
        <f>SUM(C18:C33)</f>
        <v>20780000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spans="1:25" ht="15.75" customHeight="1" x14ac:dyDescent="0.35">
      <c r="A35" s="3"/>
      <c r="B35" s="20"/>
      <c r="C35" s="21"/>
      <c r="D35" s="21"/>
      <c r="E35" s="2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8" customHeight="1" x14ac:dyDescent="0.35">
      <c r="A36" s="10"/>
      <c r="B36" s="22"/>
      <c r="C36" s="23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spans="1:25" ht="15.75" customHeight="1" x14ac:dyDescent="0.35">
      <c r="A37" s="3"/>
      <c r="B37" s="20"/>
      <c r="C37" s="21"/>
      <c r="D37" s="21"/>
      <c r="E37" s="21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.75" customHeight="1" x14ac:dyDescent="0.35">
      <c r="A38" s="3"/>
      <c r="B38" s="20"/>
      <c r="C38" s="21"/>
      <c r="D38" s="21"/>
      <c r="E38" s="21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.75" customHeight="1" x14ac:dyDescent="0.35">
      <c r="A39" s="3"/>
      <c r="B39" s="20"/>
      <c r="C39" s="21"/>
      <c r="D39" s="21"/>
      <c r="E39" s="21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.75" customHeight="1" x14ac:dyDescent="0.35">
      <c r="A40" s="3"/>
      <c r="B40" s="20"/>
      <c r="C40" s="21"/>
      <c r="D40" s="21"/>
      <c r="E40" s="21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75" customHeight="1" x14ac:dyDescent="0.35">
      <c r="A41" s="3"/>
      <c r="B41" s="20"/>
      <c r="C41" s="21"/>
      <c r="D41" s="21"/>
      <c r="E41" s="21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75" customHeight="1" x14ac:dyDescent="0.35">
      <c r="A42" s="3"/>
      <c r="B42" s="3"/>
      <c r="C42" s="21"/>
      <c r="D42" s="21"/>
      <c r="E42" s="21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customHeight="1" x14ac:dyDescent="0.35">
      <c r="A43" s="3"/>
      <c r="B43" s="20"/>
      <c r="C43" s="21"/>
      <c r="D43" s="21"/>
      <c r="E43" s="21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customHeight="1" x14ac:dyDescent="0.35">
      <c r="A44" s="3"/>
      <c r="B44" s="20"/>
      <c r="C44" s="21"/>
      <c r="D44" s="21"/>
      <c r="E44" s="21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customHeight="1" x14ac:dyDescent="0.35">
      <c r="A45" s="3"/>
      <c r="B45" s="20"/>
      <c r="C45" s="21"/>
      <c r="D45" s="21"/>
      <c r="E45" s="21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customHeight="1" x14ac:dyDescent="0.35">
      <c r="A46" s="3"/>
      <c r="B46" s="20"/>
      <c r="C46" s="21"/>
      <c r="D46" s="21"/>
      <c r="E46" s="21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75" customHeight="1" x14ac:dyDescent="0.35">
      <c r="A47" s="3"/>
      <c r="B47" s="20"/>
      <c r="C47" s="21"/>
      <c r="D47" s="21"/>
      <c r="E47" s="21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75" customHeight="1" x14ac:dyDescent="0.35">
      <c r="A48" s="3"/>
      <c r="B48" s="20"/>
      <c r="C48" s="21"/>
      <c r="D48" s="21"/>
      <c r="E48" s="21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75" customHeight="1" x14ac:dyDescent="0.35">
      <c r="A49" s="3"/>
      <c r="B49" s="20"/>
      <c r="C49" s="21"/>
      <c r="D49" s="21"/>
      <c r="E49" s="21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75" customHeight="1" x14ac:dyDescent="0.35">
      <c r="A50" s="3"/>
      <c r="B50" s="20"/>
      <c r="C50" s="21"/>
      <c r="D50" s="21"/>
      <c r="E50" s="21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35">
      <c r="A51" s="3"/>
      <c r="B51" s="20"/>
      <c r="C51" s="21"/>
      <c r="D51" s="21"/>
      <c r="E51" s="21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75" customHeight="1" x14ac:dyDescent="0.35">
      <c r="A52" s="3"/>
      <c r="B52" s="20"/>
      <c r="C52" s="21"/>
      <c r="D52" s="21"/>
      <c r="E52" s="21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75" customHeight="1" x14ac:dyDescent="0.35">
      <c r="A53" s="3"/>
      <c r="B53" s="20"/>
      <c r="C53" s="21"/>
      <c r="D53" s="21"/>
      <c r="E53" s="21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75" customHeight="1" x14ac:dyDescent="0.35">
      <c r="A54" s="3"/>
      <c r="B54" s="20"/>
      <c r="C54" s="21"/>
      <c r="D54" s="21"/>
      <c r="E54" s="21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75" customHeight="1" x14ac:dyDescent="0.35">
      <c r="A55" s="3"/>
      <c r="B55" s="20"/>
      <c r="C55" s="21"/>
      <c r="D55" s="21"/>
      <c r="E55" s="21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75" customHeight="1" x14ac:dyDescent="0.35">
      <c r="A56" s="3"/>
      <c r="B56" s="20"/>
      <c r="C56" s="21"/>
      <c r="D56" s="21"/>
      <c r="E56" s="21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75" customHeight="1" x14ac:dyDescent="0.35">
      <c r="A57" s="3"/>
      <c r="B57" s="20"/>
      <c r="C57" s="21"/>
      <c r="D57" s="21"/>
      <c r="E57" s="21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75" customHeight="1" x14ac:dyDescent="0.35">
      <c r="A58" s="3"/>
      <c r="B58" s="20"/>
      <c r="C58" s="21"/>
      <c r="D58" s="21"/>
      <c r="E58" s="21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75" customHeight="1" x14ac:dyDescent="0.35">
      <c r="A59" s="3"/>
      <c r="B59" s="20"/>
      <c r="C59" s="21"/>
      <c r="D59" s="21"/>
      <c r="E59" s="21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75" customHeight="1" x14ac:dyDescent="0.35">
      <c r="A60" s="3"/>
      <c r="B60" s="20"/>
      <c r="C60" s="21"/>
      <c r="D60" s="21"/>
      <c r="E60" s="21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75" customHeight="1" x14ac:dyDescent="0.35">
      <c r="A61" s="3"/>
      <c r="B61" s="20"/>
      <c r="C61" s="21"/>
      <c r="D61" s="21"/>
      <c r="E61" s="21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75" customHeight="1" x14ac:dyDescent="0.35">
      <c r="A62" s="3"/>
      <c r="B62" s="20"/>
      <c r="C62" s="21"/>
      <c r="D62" s="21"/>
      <c r="E62" s="21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75" customHeight="1" x14ac:dyDescent="0.35">
      <c r="A63" s="3"/>
      <c r="B63" s="20"/>
      <c r="C63" s="21"/>
      <c r="D63" s="21"/>
      <c r="E63" s="21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.75" customHeight="1" x14ac:dyDescent="0.35">
      <c r="A64" s="3"/>
      <c r="B64" s="20"/>
      <c r="C64" s="21"/>
      <c r="D64" s="21"/>
      <c r="E64" s="21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75" customHeight="1" x14ac:dyDescent="0.35">
      <c r="A65" s="3"/>
      <c r="B65" s="20"/>
      <c r="C65" s="21"/>
      <c r="D65" s="21"/>
      <c r="E65" s="21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75" customHeight="1" x14ac:dyDescent="0.35">
      <c r="A66" s="3"/>
      <c r="B66" s="20"/>
      <c r="C66" s="21"/>
      <c r="D66" s="21"/>
      <c r="E66" s="21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75" customHeight="1" x14ac:dyDescent="0.35">
      <c r="A67" s="3"/>
      <c r="B67" s="20"/>
      <c r="C67" s="21"/>
      <c r="D67" s="21"/>
      <c r="E67" s="21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75" customHeight="1" x14ac:dyDescent="0.35">
      <c r="A68" s="3"/>
      <c r="B68" s="20"/>
      <c r="C68" s="21"/>
      <c r="D68" s="21"/>
      <c r="E68" s="21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75" customHeight="1" x14ac:dyDescent="0.35">
      <c r="A69" s="3"/>
      <c r="B69" s="20"/>
      <c r="C69" s="21"/>
      <c r="D69" s="21"/>
      <c r="E69" s="21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75" customHeight="1" x14ac:dyDescent="0.35">
      <c r="A70" s="3"/>
      <c r="B70" s="20"/>
      <c r="C70" s="21"/>
      <c r="D70" s="21"/>
      <c r="E70" s="21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75" customHeight="1" x14ac:dyDescent="0.35">
      <c r="A71" s="3"/>
      <c r="B71" s="20"/>
      <c r="C71" s="21"/>
      <c r="D71" s="21"/>
      <c r="E71" s="21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75" customHeight="1" x14ac:dyDescent="0.35">
      <c r="A72" s="3"/>
      <c r="B72" s="20"/>
      <c r="C72" s="21"/>
      <c r="D72" s="21"/>
      <c r="E72" s="21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75" customHeight="1" x14ac:dyDescent="0.35">
      <c r="A73" s="3"/>
      <c r="B73" s="20"/>
      <c r="C73" s="21"/>
      <c r="D73" s="21"/>
      <c r="E73" s="21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75" customHeight="1" x14ac:dyDescent="0.35">
      <c r="A74" s="3"/>
      <c r="B74" s="20"/>
      <c r="C74" s="21"/>
      <c r="D74" s="21"/>
      <c r="E74" s="21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75" customHeight="1" x14ac:dyDescent="0.35">
      <c r="A75" s="3"/>
      <c r="B75" s="20"/>
      <c r="C75" s="21"/>
      <c r="D75" s="21"/>
      <c r="E75" s="21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customHeight="1" x14ac:dyDescent="0.35">
      <c r="A76" s="3"/>
      <c r="B76" s="20"/>
      <c r="C76" s="21"/>
      <c r="D76" s="21"/>
      <c r="E76" s="21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75" customHeight="1" x14ac:dyDescent="0.35">
      <c r="A77" s="3"/>
      <c r="B77" s="20"/>
      <c r="C77" s="21"/>
      <c r="D77" s="21"/>
      <c r="E77" s="21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75" customHeight="1" x14ac:dyDescent="0.35">
      <c r="A78" s="3"/>
      <c r="B78" s="20"/>
      <c r="C78" s="21"/>
      <c r="D78" s="21"/>
      <c r="E78" s="21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75" customHeight="1" x14ac:dyDescent="0.35">
      <c r="A79" s="3"/>
      <c r="B79" s="20"/>
      <c r="C79" s="21"/>
      <c r="D79" s="21"/>
      <c r="E79" s="21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75" customHeight="1" x14ac:dyDescent="0.35">
      <c r="A80" s="3"/>
      <c r="B80" s="20"/>
      <c r="C80" s="21"/>
      <c r="D80" s="21"/>
      <c r="E80" s="21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75" customHeight="1" x14ac:dyDescent="0.35">
      <c r="A81" s="3"/>
      <c r="B81" s="20"/>
      <c r="C81" s="21"/>
      <c r="D81" s="21"/>
      <c r="E81" s="21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75" customHeight="1" x14ac:dyDescent="0.35">
      <c r="A82" s="3"/>
      <c r="B82" s="20"/>
      <c r="C82" s="21"/>
      <c r="D82" s="21"/>
      <c r="E82" s="21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75" customHeight="1" x14ac:dyDescent="0.35">
      <c r="A83" s="3"/>
      <c r="B83" s="20"/>
      <c r="C83" s="21"/>
      <c r="D83" s="21"/>
      <c r="E83" s="21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75" customHeight="1" x14ac:dyDescent="0.35">
      <c r="A84" s="3"/>
      <c r="B84" s="20"/>
      <c r="C84" s="21"/>
      <c r="D84" s="21"/>
      <c r="E84" s="21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75" customHeight="1" x14ac:dyDescent="0.35">
      <c r="A85" s="3"/>
      <c r="B85" s="20"/>
      <c r="C85" s="21"/>
      <c r="D85" s="21"/>
      <c r="E85" s="21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75" customHeight="1" x14ac:dyDescent="0.35">
      <c r="A86" s="3"/>
      <c r="B86" s="20"/>
      <c r="C86" s="21"/>
      <c r="D86" s="21"/>
      <c r="E86" s="21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75" customHeight="1" x14ac:dyDescent="0.35">
      <c r="A87" s="3"/>
      <c r="B87" s="20"/>
      <c r="C87" s="21"/>
      <c r="D87" s="21"/>
      <c r="E87" s="21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75" customHeight="1" x14ac:dyDescent="0.35">
      <c r="A88" s="3"/>
      <c r="B88" s="20"/>
      <c r="C88" s="21"/>
      <c r="D88" s="21"/>
      <c r="E88" s="21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75" customHeight="1" x14ac:dyDescent="0.35">
      <c r="A89" s="3"/>
      <c r="B89" s="20"/>
      <c r="C89" s="21"/>
      <c r="D89" s="21"/>
      <c r="E89" s="21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75" customHeight="1" x14ac:dyDescent="0.35">
      <c r="A90" s="3"/>
      <c r="B90" s="20"/>
      <c r="C90" s="21"/>
      <c r="D90" s="21"/>
      <c r="E90" s="21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75" customHeight="1" x14ac:dyDescent="0.35">
      <c r="A91" s="3"/>
      <c r="B91" s="20"/>
      <c r="C91" s="21"/>
      <c r="D91" s="21"/>
      <c r="E91" s="21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.75" customHeight="1" x14ac:dyDescent="0.35">
      <c r="A92" s="3"/>
      <c r="B92" s="20"/>
      <c r="C92" s="21"/>
      <c r="D92" s="21"/>
      <c r="E92" s="21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75" customHeight="1" x14ac:dyDescent="0.35">
      <c r="A93" s="3"/>
      <c r="B93" s="20"/>
      <c r="C93" s="21"/>
      <c r="D93" s="21"/>
      <c r="E93" s="21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75" customHeight="1" x14ac:dyDescent="0.35">
      <c r="A94" s="3"/>
      <c r="B94" s="20"/>
      <c r="C94" s="21"/>
      <c r="D94" s="21"/>
      <c r="E94" s="21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.75" customHeight="1" x14ac:dyDescent="0.35">
      <c r="A95" s="3"/>
      <c r="B95" s="20"/>
      <c r="C95" s="21"/>
      <c r="D95" s="21"/>
      <c r="E95" s="21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.75" customHeight="1" x14ac:dyDescent="0.35">
      <c r="A96" s="3"/>
      <c r="B96" s="20"/>
      <c r="C96" s="21"/>
      <c r="D96" s="21"/>
      <c r="E96" s="21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.75" customHeight="1" x14ac:dyDescent="0.35">
      <c r="A97" s="3"/>
      <c r="B97" s="20"/>
      <c r="C97" s="21"/>
      <c r="D97" s="21"/>
      <c r="E97" s="21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75" customHeight="1" x14ac:dyDescent="0.35">
      <c r="A98" s="3"/>
      <c r="B98" s="20"/>
      <c r="C98" s="21"/>
      <c r="D98" s="21"/>
      <c r="E98" s="21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75" customHeight="1" x14ac:dyDescent="0.35">
      <c r="A99" s="3"/>
      <c r="B99" s="20"/>
      <c r="C99" s="21"/>
      <c r="D99" s="21"/>
      <c r="E99" s="21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.75" customHeight="1" x14ac:dyDescent="0.35">
      <c r="A100" s="3"/>
      <c r="B100" s="20"/>
      <c r="C100" s="21"/>
      <c r="D100" s="21"/>
      <c r="E100" s="21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.75" customHeight="1" x14ac:dyDescent="0.35">
      <c r="A101" s="3"/>
      <c r="B101" s="20"/>
      <c r="C101" s="21"/>
      <c r="D101" s="21"/>
      <c r="E101" s="21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.75" customHeight="1" x14ac:dyDescent="0.35">
      <c r="A102" s="3"/>
      <c r="B102" s="20"/>
      <c r="C102" s="21"/>
      <c r="D102" s="21"/>
      <c r="E102" s="21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.75" customHeight="1" x14ac:dyDescent="0.35">
      <c r="A103" s="3"/>
      <c r="B103" s="20"/>
      <c r="C103" s="21"/>
      <c r="D103" s="21"/>
      <c r="E103" s="21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.75" customHeight="1" x14ac:dyDescent="0.35">
      <c r="A104" s="3"/>
      <c r="B104" s="20"/>
      <c r="C104" s="21"/>
      <c r="D104" s="21"/>
      <c r="E104" s="21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.75" customHeight="1" x14ac:dyDescent="0.35">
      <c r="A105" s="3"/>
      <c r="B105" s="20"/>
      <c r="C105" s="21"/>
      <c r="D105" s="21"/>
      <c r="E105" s="21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.75" customHeight="1" x14ac:dyDescent="0.35">
      <c r="A106" s="3"/>
      <c r="B106" s="20"/>
      <c r="C106" s="21"/>
      <c r="D106" s="21"/>
      <c r="E106" s="21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.75" customHeight="1" x14ac:dyDescent="0.35">
      <c r="A107" s="3"/>
      <c r="B107" s="20"/>
      <c r="C107" s="21"/>
      <c r="D107" s="21"/>
      <c r="E107" s="21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.75" customHeight="1" x14ac:dyDescent="0.35">
      <c r="A108" s="3"/>
      <c r="B108" s="20"/>
      <c r="C108" s="21"/>
      <c r="D108" s="21"/>
      <c r="E108" s="21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.75" customHeight="1" x14ac:dyDescent="0.35">
      <c r="A109" s="3"/>
      <c r="B109" s="20"/>
      <c r="C109" s="21"/>
      <c r="D109" s="21"/>
      <c r="E109" s="21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.75" customHeight="1" x14ac:dyDescent="0.35">
      <c r="A110" s="3"/>
      <c r="B110" s="20"/>
      <c r="C110" s="21"/>
      <c r="D110" s="21"/>
      <c r="E110" s="21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.75" customHeight="1" x14ac:dyDescent="0.35">
      <c r="A111" s="3"/>
      <c r="B111" s="20"/>
      <c r="C111" s="21"/>
      <c r="D111" s="21"/>
      <c r="E111" s="21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.75" customHeight="1" x14ac:dyDescent="0.35">
      <c r="A112" s="3"/>
      <c r="B112" s="20"/>
      <c r="C112" s="21"/>
      <c r="D112" s="21"/>
      <c r="E112" s="21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.75" customHeight="1" x14ac:dyDescent="0.35">
      <c r="A113" s="3"/>
      <c r="B113" s="20"/>
      <c r="C113" s="21"/>
      <c r="D113" s="21"/>
      <c r="E113" s="21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.75" customHeight="1" x14ac:dyDescent="0.35">
      <c r="A114" s="3"/>
      <c r="B114" s="20"/>
      <c r="C114" s="21"/>
      <c r="D114" s="21"/>
      <c r="E114" s="21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.75" customHeight="1" x14ac:dyDescent="0.35">
      <c r="A115" s="3"/>
      <c r="B115" s="20"/>
      <c r="C115" s="21"/>
      <c r="D115" s="21"/>
      <c r="E115" s="21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.75" customHeight="1" x14ac:dyDescent="0.35">
      <c r="A116" s="3"/>
      <c r="B116" s="20"/>
      <c r="C116" s="21"/>
      <c r="D116" s="21"/>
      <c r="E116" s="21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.75" customHeight="1" x14ac:dyDescent="0.35">
      <c r="A117" s="3"/>
      <c r="B117" s="20"/>
      <c r="C117" s="21"/>
      <c r="D117" s="21"/>
      <c r="E117" s="21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.75" customHeight="1" x14ac:dyDescent="0.35">
      <c r="A118" s="3"/>
      <c r="B118" s="20"/>
      <c r="C118" s="21"/>
      <c r="D118" s="21"/>
      <c r="E118" s="21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.75" customHeight="1" x14ac:dyDescent="0.35">
      <c r="A119" s="3"/>
      <c r="B119" s="20"/>
      <c r="C119" s="21"/>
      <c r="D119" s="21"/>
      <c r="E119" s="21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.75" customHeight="1" x14ac:dyDescent="0.35">
      <c r="A120" s="3"/>
      <c r="B120" s="20"/>
      <c r="C120" s="21"/>
      <c r="D120" s="21"/>
      <c r="E120" s="21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.75" customHeight="1" x14ac:dyDescent="0.35">
      <c r="A121" s="3"/>
      <c r="B121" s="20"/>
      <c r="C121" s="21"/>
      <c r="D121" s="21"/>
      <c r="E121" s="21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.75" customHeight="1" x14ac:dyDescent="0.35">
      <c r="A122" s="3"/>
      <c r="B122" s="20"/>
      <c r="C122" s="21"/>
      <c r="D122" s="21"/>
      <c r="E122" s="21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.75" customHeight="1" x14ac:dyDescent="0.35">
      <c r="A123" s="3"/>
      <c r="B123" s="20"/>
      <c r="C123" s="21"/>
      <c r="D123" s="21"/>
      <c r="E123" s="21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.75" customHeight="1" x14ac:dyDescent="0.35">
      <c r="A124" s="3"/>
      <c r="B124" s="20"/>
      <c r="C124" s="21"/>
      <c r="D124" s="21"/>
      <c r="E124" s="21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.75" customHeight="1" x14ac:dyDescent="0.35">
      <c r="A125" s="3"/>
      <c r="B125" s="20"/>
      <c r="C125" s="21"/>
      <c r="D125" s="21"/>
      <c r="E125" s="21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.75" customHeight="1" x14ac:dyDescent="0.35">
      <c r="A126" s="3"/>
      <c r="B126" s="20"/>
      <c r="C126" s="21"/>
      <c r="D126" s="21"/>
      <c r="E126" s="21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.75" customHeight="1" x14ac:dyDescent="0.35">
      <c r="A127" s="3"/>
      <c r="B127" s="20"/>
      <c r="C127" s="21"/>
      <c r="D127" s="21"/>
      <c r="E127" s="21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.75" customHeight="1" x14ac:dyDescent="0.35">
      <c r="A128" s="3"/>
      <c r="B128" s="20"/>
      <c r="C128" s="21"/>
      <c r="D128" s="21"/>
      <c r="E128" s="21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.75" customHeight="1" x14ac:dyDescent="0.35">
      <c r="A129" s="3"/>
      <c r="B129" s="20"/>
      <c r="C129" s="21"/>
      <c r="D129" s="21"/>
      <c r="E129" s="21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.75" customHeight="1" x14ac:dyDescent="0.35">
      <c r="A130" s="3"/>
      <c r="B130" s="20"/>
      <c r="C130" s="21"/>
      <c r="D130" s="21"/>
      <c r="E130" s="21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.75" customHeight="1" x14ac:dyDescent="0.35">
      <c r="A131" s="3"/>
      <c r="B131" s="20"/>
      <c r="C131" s="21"/>
      <c r="D131" s="21"/>
      <c r="E131" s="21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.75" customHeight="1" x14ac:dyDescent="0.35">
      <c r="A132" s="3"/>
      <c r="B132" s="20"/>
      <c r="C132" s="21"/>
      <c r="D132" s="21"/>
      <c r="E132" s="21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.75" customHeight="1" x14ac:dyDescent="0.35">
      <c r="A133" s="3"/>
      <c r="B133" s="20"/>
      <c r="C133" s="21"/>
      <c r="D133" s="21"/>
      <c r="E133" s="21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.75" customHeight="1" x14ac:dyDescent="0.35">
      <c r="A134" s="3"/>
      <c r="B134" s="20"/>
      <c r="C134" s="21"/>
      <c r="D134" s="21"/>
      <c r="E134" s="21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.75" customHeight="1" x14ac:dyDescent="0.35">
      <c r="A135" s="3"/>
      <c r="B135" s="20"/>
      <c r="C135" s="21"/>
      <c r="D135" s="21"/>
      <c r="E135" s="21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.75" customHeight="1" x14ac:dyDescent="0.35">
      <c r="A136" s="3"/>
      <c r="B136" s="20"/>
      <c r="C136" s="21"/>
      <c r="D136" s="21"/>
      <c r="E136" s="21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.75" customHeight="1" x14ac:dyDescent="0.35">
      <c r="A137" s="3"/>
      <c r="B137" s="20"/>
      <c r="C137" s="21"/>
      <c r="D137" s="21"/>
      <c r="E137" s="21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.75" customHeight="1" x14ac:dyDescent="0.35">
      <c r="A138" s="3"/>
      <c r="B138" s="20"/>
      <c r="C138" s="21"/>
      <c r="D138" s="21"/>
      <c r="E138" s="21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.75" customHeight="1" x14ac:dyDescent="0.35">
      <c r="A139" s="3"/>
      <c r="B139" s="20"/>
      <c r="C139" s="21"/>
      <c r="D139" s="21"/>
      <c r="E139" s="21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.75" customHeight="1" x14ac:dyDescent="0.35">
      <c r="A140" s="3"/>
      <c r="B140" s="20"/>
      <c r="C140" s="21"/>
      <c r="D140" s="21"/>
      <c r="E140" s="21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.75" customHeight="1" x14ac:dyDescent="0.35">
      <c r="A141" s="3"/>
      <c r="B141" s="20"/>
      <c r="C141" s="21"/>
      <c r="D141" s="21"/>
      <c r="E141" s="21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.75" customHeight="1" x14ac:dyDescent="0.35">
      <c r="A142" s="3"/>
      <c r="B142" s="20"/>
      <c r="C142" s="21"/>
      <c r="D142" s="21"/>
      <c r="E142" s="21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.75" customHeight="1" x14ac:dyDescent="0.35">
      <c r="A143" s="3"/>
      <c r="B143" s="20"/>
      <c r="C143" s="21"/>
      <c r="D143" s="21"/>
      <c r="E143" s="21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.75" customHeight="1" x14ac:dyDescent="0.35">
      <c r="A144" s="3"/>
      <c r="B144" s="20"/>
      <c r="C144" s="21"/>
      <c r="D144" s="21"/>
      <c r="E144" s="21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.75" customHeight="1" x14ac:dyDescent="0.35">
      <c r="A145" s="3"/>
      <c r="B145" s="20"/>
      <c r="C145" s="21"/>
      <c r="D145" s="21"/>
      <c r="E145" s="21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.75" customHeight="1" x14ac:dyDescent="0.35">
      <c r="A146" s="3"/>
      <c r="B146" s="20"/>
      <c r="C146" s="21"/>
      <c r="D146" s="21"/>
      <c r="E146" s="21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.75" customHeight="1" x14ac:dyDescent="0.35">
      <c r="A147" s="3"/>
      <c r="B147" s="20"/>
      <c r="C147" s="21"/>
      <c r="D147" s="21"/>
      <c r="E147" s="21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.75" customHeight="1" x14ac:dyDescent="0.35">
      <c r="A148" s="3"/>
      <c r="B148" s="20"/>
      <c r="C148" s="21"/>
      <c r="D148" s="21"/>
      <c r="E148" s="21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.75" customHeight="1" x14ac:dyDescent="0.35">
      <c r="A149" s="3"/>
      <c r="B149" s="20"/>
      <c r="C149" s="21"/>
      <c r="D149" s="21"/>
      <c r="E149" s="21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.75" customHeight="1" x14ac:dyDescent="0.35">
      <c r="A150" s="3"/>
      <c r="B150" s="20"/>
      <c r="C150" s="21"/>
      <c r="D150" s="21"/>
      <c r="E150" s="21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.75" customHeight="1" x14ac:dyDescent="0.35">
      <c r="A151" s="3"/>
      <c r="B151" s="20"/>
      <c r="C151" s="21"/>
      <c r="D151" s="21"/>
      <c r="E151" s="21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.75" customHeight="1" x14ac:dyDescent="0.35">
      <c r="A152" s="3"/>
      <c r="B152" s="20"/>
      <c r="C152" s="21"/>
      <c r="D152" s="21"/>
      <c r="E152" s="21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.75" customHeight="1" x14ac:dyDescent="0.35">
      <c r="A153" s="3"/>
      <c r="B153" s="20"/>
      <c r="C153" s="21"/>
      <c r="D153" s="21"/>
      <c r="E153" s="21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.75" customHeight="1" x14ac:dyDescent="0.35">
      <c r="A154" s="3"/>
      <c r="B154" s="20"/>
      <c r="C154" s="21"/>
      <c r="D154" s="21"/>
      <c r="E154" s="21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.75" customHeight="1" x14ac:dyDescent="0.35">
      <c r="A155" s="3"/>
      <c r="B155" s="20"/>
      <c r="C155" s="21"/>
      <c r="D155" s="21"/>
      <c r="E155" s="21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.75" customHeight="1" x14ac:dyDescent="0.35">
      <c r="A156" s="3"/>
      <c r="B156" s="20"/>
      <c r="C156" s="21"/>
      <c r="D156" s="21"/>
      <c r="E156" s="21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.75" customHeight="1" x14ac:dyDescent="0.35">
      <c r="A157" s="3"/>
      <c r="B157" s="20"/>
      <c r="C157" s="21"/>
      <c r="D157" s="21"/>
      <c r="E157" s="21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.75" customHeight="1" x14ac:dyDescent="0.35">
      <c r="A158" s="3"/>
      <c r="B158" s="20"/>
      <c r="C158" s="21"/>
      <c r="D158" s="21"/>
      <c r="E158" s="21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.75" customHeight="1" x14ac:dyDescent="0.35">
      <c r="A159" s="3"/>
      <c r="B159" s="20"/>
      <c r="C159" s="21"/>
      <c r="D159" s="21"/>
      <c r="E159" s="21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.75" customHeight="1" x14ac:dyDescent="0.35">
      <c r="A160" s="3"/>
      <c r="B160" s="20"/>
      <c r="C160" s="21"/>
      <c r="D160" s="21"/>
      <c r="E160" s="21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.75" customHeight="1" x14ac:dyDescent="0.35">
      <c r="A161" s="3"/>
      <c r="B161" s="20"/>
      <c r="C161" s="21"/>
      <c r="D161" s="21"/>
      <c r="E161" s="21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.75" customHeight="1" x14ac:dyDescent="0.35">
      <c r="A162" s="3"/>
      <c r="B162" s="20"/>
      <c r="C162" s="21"/>
      <c r="D162" s="21"/>
      <c r="E162" s="21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.75" customHeight="1" x14ac:dyDescent="0.35">
      <c r="A163" s="3"/>
      <c r="B163" s="20"/>
      <c r="C163" s="21"/>
      <c r="D163" s="21"/>
      <c r="E163" s="21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.75" customHeight="1" x14ac:dyDescent="0.35">
      <c r="A164" s="3"/>
      <c r="B164" s="20"/>
      <c r="C164" s="21"/>
      <c r="D164" s="21"/>
      <c r="E164" s="21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.75" customHeight="1" x14ac:dyDescent="0.35">
      <c r="A165" s="3"/>
      <c r="B165" s="20"/>
      <c r="C165" s="21"/>
      <c r="D165" s="21"/>
      <c r="E165" s="21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.75" customHeight="1" x14ac:dyDescent="0.35">
      <c r="A166" s="3"/>
      <c r="B166" s="20"/>
      <c r="C166" s="21"/>
      <c r="D166" s="21"/>
      <c r="E166" s="21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.75" customHeight="1" x14ac:dyDescent="0.35">
      <c r="A167" s="3"/>
      <c r="B167" s="20"/>
      <c r="C167" s="21"/>
      <c r="D167" s="21"/>
      <c r="E167" s="21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.75" customHeight="1" x14ac:dyDescent="0.35">
      <c r="A168" s="3"/>
      <c r="B168" s="20"/>
      <c r="C168" s="21"/>
      <c r="D168" s="21"/>
      <c r="E168" s="21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.75" customHeight="1" x14ac:dyDescent="0.35">
      <c r="A169" s="3"/>
      <c r="B169" s="20"/>
      <c r="C169" s="21"/>
      <c r="D169" s="21"/>
      <c r="E169" s="21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.75" customHeight="1" x14ac:dyDescent="0.35">
      <c r="A170" s="3"/>
      <c r="B170" s="20"/>
      <c r="C170" s="21"/>
      <c r="D170" s="21"/>
      <c r="E170" s="21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.75" customHeight="1" x14ac:dyDescent="0.35">
      <c r="A171" s="3"/>
      <c r="B171" s="20"/>
      <c r="C171" s="21"/>
      <c r="D171" s="21"/>
      <c r="E171" s="21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.75" customHeight="1" x14ac:dyDescent="0.35">
      <c r="A172" s="3"/>
      <c r="B172" s="20"/>
      <c r="C172" s="21"/>
      <c r="D172" s="21"/>
      <c r="E172" s="21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.75" customHeight="1" x14ac:dyDescent="0.35">
      <c r="A173" s="3"/>
      <c r="B173" s="20"/>
      <c r="C173" s="21"/>
      <c r="D173" s="21"/>
      <c r="E173" s="21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.75" customHeight="1" x14ac:dyDescent="0.35">
      <c r="A174" s="3"/>
      <c r="B174" s="20"/>
      <c r="C174" s="21"/>
      <c r="D174" s="21"/>
      <c r="E174" s="21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.75" customHeight="1" x14ac:dyDescent="0.35">
      <c r="A175" s="3"/>
      <c r="B175" s="20"/>
      <c r="C175" s="21"/>
      <c r="D175" s="21"/>
      <c r="E175" s="21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.75" customHeight="1" x14ac:dyDescent="0.35">
      <c r="A176" s="3"/>
      <c r="B176" s="20"/>
      <c r="C176" s="21"/>
      <c r="D176" s="21"/>
      <c r="E176" s="21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.75" customHeight="1" x14ac:dyDescent="0.35">
      <c r="A177" s="3"/>
      <c r="B177" s="20"/>
      <c r="C177" s="21"/>
      <c r="D177" s="21"/>
      <c r="E177" s="21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.75" customHeight="1" x14ac:dyDescent="0.35">
      <c r="A178" s="3"/>
      <c r="B178" s="20"/>
      <c r="C178" s="21"/>
      <c r="D178" s="21"/>
      <c r="E178" s="21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.75" customHeight="1" x14ac:dyDescent="0.35">
      <c r="A179" s="3"/>
      <c r="B179" s="20"/>
      <c r="C179" s="21"/>
      <c r="D179" s="21"/>
      <c r="E179" s="21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.75" customHeight="1" x14ac:dyDescent="0.35">
      <c r="A180" s="3"/>
      <c r="B180" s="20"/>
      <c r="C180" s="21"/>
      <c r="D180" s="21"/>
      <c r="E180" s="21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.75" customHeight="1" x14ac:dyDescent="0.35">
      <c r="A181" s="3"/>
      <c r="B181" s="20"/>
      <c r="C181" s="21"/>
      <c r="D181" s="21"/>
      <c r="E181" s="21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.75" customHeight="1" x14ac:dyDescent="0.35">
      <c r="A182" s="3"/>
      <c r="B182" s="20"/>
      <c r="C182" s="21"/>
      <c r="D182" s="21"/>
      <c r="E182" s="21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.75" customHeight="1" x14ac:dyDescent="0.35">
      <c r="A183" s="3"/>
      <c r="B183" s="20"/>
      <c r="C183" s="21"/>
      <c r="D183" s="21"/>
      <c r="E183" s="21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.75" customHeight="1" x14ac:dyDescent="0.35">
      <c r="A184" s="3"/>
      <c r="B184" s="20"/>
      <c r="C184" s="21"/>
      <c r="D184" s="21"/>
      <c r="E184" s="21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.75" customHeight="1" x14ac:dyDescent="0.35">
      <c r="A185" s="3"/>
      <c r="B185" s="20"/>
      <c r="C185" s="21"/>
      <c r="D185" s="21"/>
      <c r="E185" s="21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.75" customHeight="1" x14ac:dyDescent="0.35">
      <c r="A186" s="3"/>
      <c r="B186" s="20"/>
      <c r="C186" s="21"/>
      <c r="D186" s="21"/>
      <c r="E186" s="21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.75" customHeight="1" x14ac:dyDescent="0.35">
      <c r="A187" s="3"/>
      <c r="B187" s="20"/>
      <c r="C187" s="21"/>
      <c r="D187" s="21"/>
      <c r="E187" s="21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.75" customHeight="1" x14ac:dyDescent="0.35">
      <c r="A188" s="3"/>
      <c r="B188" s="20"/>
      <c r="C188" s="21"/>
      <c r="D188" s="21"/>
      <c r="E188" s="21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.75" customHeight="1" x14ac:dyDescent="0.35">
      <c r="A189" s="3"/>
      <c r="B189" s="20"/>
      <c r="C189" s="21"/>
      <c r="D189" s="21"/>
      <c r="E189" s="21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.75" customHeight="1" x14ac:dyDescent="0.35">
      <c r="A190" s="3"/>
      <c r="B190" s="20"/>
      <c r="C190" s="21"/>
      <c r="D190" s="21"/>
      <c r="E190" s="21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.75" customHeight="1" x14ac:dyDescent="0.35">
      <c r="A191" s="3"/>
      <c r="B191" s="20"/>
      <c r="C191" s="21"/>
      <c r="D191" s="21"/>
      <c r="E191" s="21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.75" customHeight="1" x14ac:dyDescent="0.35">
      <c r="A192" s="3"/>
      <c r="B192" s="20"/>
      <c r="C192" s="21"/>
      <c r="D192" s="21"/>
      <c r="E192" s="21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.75" customHeight="1" x14ac:dyDescent="0.35">
      <c r="A193" s="3"/>
      <c r="B193" s="20"/>
      <c r="C193" s="21"/>
      <c r="D193" s="21"/>
      <c r="E193" s="21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.75" customHeight="1" x14ac:dyDescent="0.35">
      <c r="A194" s="3"/>
      <c r="B194" s="20"/>
      <c r="C194" s="21"/>
      <c r="D194" s="21"/>
      <c r="E194" s="21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.75" customHeight="1" x14ac:dyDescent="0.35">
      <c r="A195" s="3"/>
      <c r="B195" s="20"/>
      <c r="C195" s="21"/>
      <c r="D195" s="21"/>
      <c r="E195" s="21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.75" customHeight="1" x14ac:dyDescent="0.35">
      <c r="A196" s="3"/>
      <c r="B196" s="20"/>
      <c r="C196" s="21"/>
      <c r="D196" s="21"/>
      <c r="E196" s="21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.75" customHeight="1" x14ac:dyDescent="0.35">
      <c r="A197" s="3"/>
      <c r="B197" s="20"/>
      <c r="C197" s="21"/>
      <c r="D197" s="21"/>
      <c r="E197" s="21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75" customHeight="1" x14ac:dyDescent="0.35">
      <c r="A198" s="3"/>
      <c r="B198" s="20"/>
      <c r="C198" s="21"/>
      <c r="D198" s="21"/>
      <c r="E198" s="21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.75" customHeight="1" x14ac:dyDescent="0.35">
      <c r="A199" s="3"/>
      <c r="B199" s="20"/>
      <c r="C199" s="21"/>
      <c r="D199" s="21"/>
      <c r="E199" s="21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.75" customHeight="1" x14ac:dyDescent="0.35">
      <c r="A200" s="3"/>
      <c r="B200" s="20"/>
      <c r="C200" s="21"/>
      <c r="D200" s="21"/>
      <c r="E200" s="21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.75" customHeight="1" x14ac:dyDescent="0.35">
      <c r="A201" s="3"/>
      <c r="B201" s="20"/>
      <c r="C201" s="21"/>
      <c r="D201" s="21"/>
      <c r="E201" s="21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.75" customHeight="1" x14ac:dyDescent="0.35">
      <c r="A202" s="3"/>
      <c r="B202" s="20"/>
      <c r="C202" s="21"/>
      <c r="D202" s="21"/>
      <c r="E202" s="21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75" customHeight="1" x14ac:dyDescent="0.35">
      <c r="A203" s="3"/>
      <c r="B203" s="20"/>
      <c r="C203" s="21"/>
      <c r="D203" s="21"/>
      <c r="E203" s="21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.75" customHeight="1" x14ac:dyDescent="0.35">
      <c r="A204" s="3"/>
      <c r="B204" s="20"/>
      <c r="C204" s="21"/>
      <c r="D204" s="21"/>
      <c r="E204" s="21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75" customHeight="1" x14ac:dyDescent="0.35">
      <c r="A205" s="3"/>
      <c r="B205" s="20"/>
      <c r="C205" s="21"/>
      <c r="D205" s="21"/>
      <c r="E205" s="21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.75" customHeight="1" x14ac:dyDescent="0.35">
      <c r="A206" s="3"/>
      <c r="B206" s="20"/>
      <c r="C206" s="21"/>
      <c r="D206" s="21"/>
      <c r="E206" s="21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.75" customHeight="1" x14ac:dyDescent="0.35">
      <c r="A207" s="3"/>
      <c r="B207" s="20"/>
      <c r="C207" s="21"/>
      <c r="D207" s="21"/>
      <c r="E207" s="21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.75" customHeight="1" x14ac:dyDescent="0.35">
      <c r="A208" s="3"/>
      <c r="B208" s="20"/>
      <c r="C208" s="21"/>
      <c r="D208" s="21"/>
      <c r="E208" s="21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.75" customHeight="1" x14ac:dyDescent="0.35">
      <c r="A209" s="3"/>
      <c r="B209" s="20"/>
      <c r="C209" s="21"/>
      <c r="D209" s="21"/>
      <c r="E209" s="21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.75" customHeight="1" x14ac:dyDescent="0.35">
      <c r="A210" s="3"/>
      <c r="B210" s="20"/>
      <c r="C210" s="21"/>
      <c r="D210" s="21"/>
      <c r="E210" s="21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.75" customHeight="1" x14ac:dyDescent="0.35">
      <c r="A211" s="3"/>
      <c r="B211" s="20"/>
      <c r="C211" s="21"/>
      <c r="D211" s="21"/>
      <c r="E211" s="21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.75" customHeight="1" x14ac:dyDescent="0.35">
      <c r="A212" s="3"/>
      <c r="B212" s="20"/>
      <c r="C212" s="21"/>
      <c r="D212" s="21"/>
      <c r="E212" s="21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.75" customHeight="1" x14ac:dyDescent="0.35">
      <c r="A213" s="3"/>
      <c r="B213" s="20"/>
      <c r="C213" s="21"/>
      <c r="D213" s="21"/>
      <c r="E213" s="21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.75" customHeight="1" x14ac:dyDescent="0.35">
      <c r="A214" s="3"/>
      <c r="B214" s="20"/>
      <c r="C214" s="21"/>
      <c r="D214" s="21"/>
      <c r="E214" s="21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.75" customHeight="1" x14ac:dyDescent="0.35">
      <c r="A215" s="3"/>
      <c r="B215" s="20"/>
      <c r="C215" s="21"/>
      <c r="D215" s="21"/>
      <c r="E215" s="21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.75" customHeight="1" x14ac:dyDescent="0.35">
      <c r="A216" s="3"/>
      <c r="B216" s="20"/>
      <c r="C216" s="21"/>
      <c r="D216" s="21"/>
      <c r="E216" s="21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.75" customHeight="1" x14ac:dyDescent="0.35">
      <c r="A217" s="3"/>
      <c r="B217" s="20"/>
      <c r="C217" s="21"/>
      <c r="D217" s="21"/>
      <c r="E217" s="21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.75" customHeight="1" x14ac:dyDescent="0.35">
      <c r="A218" s="3"/>
      <c r="B218" s="20"/>
      <c r="C218" s="21"/>
      <c r="D218" s="21"/>
      <c r="E218" s="21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.75" customHeight="1" x14ac:dyDescent="0.35">
      <c r="A219" s="3"/>
      <c r="B219" s="20"/>
      <c r="C219" s="21"/>
      <c r="D219" s="21"/>
      <c r="E219" s="21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75" customHeight="1" x14ac:dyDescent="0.35">
      <c r="A220" s="3"/>
      <c r="B220" s="20"/>
      <c r="C220" s="21"/>
      <c r="D220" s="21"/>
      <c r="E220" s="21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customHeight="1" x14ac:dyDescent="0.35">
      <c r="A221" s="3"/>
      <c r="B221" s="20"/>
      <c r="C221" s="21"/>
      <c r="D221" s="21"/>
      <c r="E221" s="21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.75" customHeight="1" x14ac:dyDescent="0.35">
      <c r="A222" s="3"/>
      <c r="B222" s="20"/>
      <c r="C222" s="21"/>
      <c r="D222" s="21"/>
      <c r="E222" s="21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.75" customHeight="1" x14ac:dyDescent="0.35">
      <c r="A223" s="3"/>
      <c r="B223" s="20"/>
      <c r="C223" s="21"/>
      <c r="D223" s="21"/>
      <c r="E223" s="21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.75" customHeight="1" x14ac:dyDescent="0.35">
      <c r="A224" s="3"/>
      <c r="B224" s="20"/>
      <c r="C224" s="21"/>
      <c r="D224" s="21"/>
      <c r="E224" s="21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.75" customHeight="1" x14ac:dyDescent="0.35">
      <c r="A225" s="3"/>
      <c r="B225" s="20"/>
      <c r="C225" s="21"/>
      <c r="D225" s="21"/>
      <c r="E225" s="21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.75" customHeight="1" x14ac:dyDescent="0.35">
      <c r="A226" s="3"/>
      <c r="B226" s="20"/>
      <c r="C226" s="21"/>
      <c r="D226" s="21"/>
      <c r="E226" s="21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.75" customHeight="1" x14ac:dyDescent="0.35">
      <c r="A227" s="3"/>
      <c r="B227" s="20"/>
      <c r="C227" s="21"/>
      <c r="D227" s="21"/>
      <c r="E227" s="21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.75" customHeight="1" x14ac:dyDescent="0.35">
      <c r="A228" s="3"/>
      <c r="B228" s="20"/>
      <c r="C228" s="21"/>
      <c r="D228" s="21"/>
      <c r="E228" s="21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.75" customHeight="1" x14ac:dyDescent="0.35">
      <c r="A229" s="3"/>
      <c r="B229" s="20"/>
      <c r="C229" s="21"/>
      <c r="D229" s="21"/>
      <c r="E229" s="21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.75" customHeight="1" x14ac:dyDescent="0.35">
      <c r="A230" s="3"/>
      <c r="B230" s="20"/>
      <c r="C230" s="21"/>
      <c r="D230" s="21"/>
      <c r="E230" s="21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.75" customHeight="1" x14ac:dyDescent="0.35">
      <c r="A231" s="3"/>
      <c r="B231" s="20"/>
      <c r="C231" s="21"/>
      <c r="D231" s="21"/>
      <c r="E231" s="21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.75" customHeight="1" x14ac:dyDescent="0.35">
      <c r="A232" s="3"/>
      <c r="B232" s="20"/>
      <c r="C232" s="21"/>
      <c r="D232" s="21"/>
      <c r="E232" s="21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.75" customHeight="1" x14ac:dyDescent="0.35">
      <c r="A233" s="3"/>
      <c r="B233" s="20"/>
      <c r="C233" s="21"/>
      <c r="D233" s="21"/>
      <c r="E233" s="21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.75" customHeight="1" x14ac:dyDescent="0.35">
      <c r="A234" s="3"/>
      <c r="B234" s="20"/>
      <c r="C234" s="21"/>
      <c r="D234" s="21"/>
      <c r="E234" s="21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.75" customHeight="1" x14ac:dyDescent="0.35">
      <c r="A235" s="3"/>
      <c r="B235" s="20"/>
      <c r="C235" s="21"/>
      <c r="D235" s="21"/>
      <c r="E235" s="21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.75" customHeight="1" x14ac:dyDescent="0.35">
      <c r="A236" s="3"/>
      <c r="B236" s="20"/>
      <c r="C236" s="21"/>
      <c r="D236" s="21"/>
      <c r="E236" s="21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.75" customHeight="1" x14ac:dyDescent="0.35">
      <c r="A237" s="3"/>
      <c r="B237" s="20"/>
      <c r="C237" s="21"/>
      <c r="D237" s="21"/>
      <c r="E237" s="21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.75" customHeight="1" x14ac:dyDescent="0.35">
      <c r="A238" s="3"/>
      <c r="B238" s="20"/>
      <c r="C238" s="21"/>
      <c r="D238" s="21"/>
      <c r="E238" s="21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.75" customHeight="1" x14ac:dyDescent="0.35">
      <c r="A239" s="3"/>
      <c r="B239" s="20"/>
      <c r="C239" s="21"/>
      <c r="D239" s="21"/>
      <c r="E239" s="21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.75" customHeight="1" x14ac:dyDescent="0.35">
      <c r="A240" s="3"/>
      <c r="B240" s="20"/>
      <c r="C240" s="21"/>
      <c r="D240" s="21"/>
      <c r="E240" s="21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.75" customHeight="1" x14ac:dyDescent="0.35">
      <c r="A241" s="3"/>
      <c r="B241" s="20"/>
      <c r="C241" s="21"/>
      <c r="D241" s="21"/>
      <c r="E241" s="21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.75" customHeight="1" x14ac:dyDescent="0.35">
      <c r="A242" s="3"/>
      <c r="B242" s="20"/>
      <c r="C242" s="21"/>
      <c r="D242" s="21"/>
      <c r="E242" s="21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.75" customHeight="1" x14ac:dyDescent="0.35">
      <c r="A243" s="3"/>
      <c r="B243" s="20"/>
      <c r="C243" s="21"/>
      <c r="D243" s="21"/>
      <c r="E243" s="21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.75" customHeight="1" x14ac:dyDescent="0.35">
      <c r="A244" s="3"/>
      <c r="B244" s="20"/>
      <c r="C244" s="21"/>
      <c r="D244" s="21"/>
      <c r="E244" s="21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.75" customHeight="1" x14ac:dyDescent="0.35">
      <c r="A245" s="3"/>
      <c r="B245" s="20"/>
      <c r="C245" s="21"/>
      <c r="D245" s="21"/>
      <c r="E245" s="21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.75" customHeight="1" x14ac:dyDescent="0.35">
      <c r="A246" s="3"/>
      <c r="B246" s="20"/>
      <c r="C246" s="21"/>
      <c r="D246" s="21"/>
      <c r="E246" s="21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.75" customHeight="1" x14ac:dyDescent="0.35">
      <c r="A247" s="3"/>
      <c r="B247" s="20"/>
      <c r="C247" s="21"/>
      <c r="D247" s="21"/>
      <c r="E247" s="21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.75" customHeight="1" x14ac:dyDescent="0.35">
      <c r="A248" s="3"/>
      <c r="B248" s="20"/>
      <c r="C248" s="21"/>
      <c r="D248" s="21"/>
      <c r="E248" s="21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.75" customHeight="1" x14ac:dyDescent="0.35">
      <c r="A249" s="3"/>
      <c r="B249" s="20"/>
      <c r="C249" s="21"/>
      <c r="D249" s="21"/>
      <c r="E249" s="21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.75" customHeight="1" x14ac:dyDescent="0.35">
      <c r="A250" s="3"/>
      <c r="B250" s="20"/>
      <c r="C250" s="21"/>
      <c r="D250" s="21"/>
      <c r="E250" s="21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.75" customHeight="1" x14ac:dyDescent="0.35">
      <c r="A251" s="3"/>
      <c r="B251" s="20"/>
      <c r="C251" s="21"/>
      <c r="D251" s="21"/>
      <c r="E251" s="21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.75" customHeight="1" x14ac:dyDescent="0.35">
      <c r="A252" s="3"/>
      <c r="B252" s="20"/>
      <c r="C252" s="21"/>
      <c r="D252" s="21"/>
      <c r="E252" s="21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.75" customHeight="1" x14ac:dyDescent="0.35">
      <c r="A253" s="3"/>
      <c r="B253" s="20"/>
      <c r="C253" s="21"/>
      <c r="D253" s="21"/>
      <c r="E253" s="21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.75" customHeight="1" x14ac:dyDescent="0.35">
      <c r="A254" s="3"/>
      <c r="B254" s="20"/>
      <c r="C254" s="21"/>
      <c r="D254" s="21"/>
      <c r="E254" s="21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.75" customHeight="1" x14ac:dyDescent="0.35">
      <c r="A255" s="3"/>
      <c r="B255" s="20"/>
      <c r="C255" s="21"/>
      <c r="D255" s="21"/>
      <c r="E255" s="21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.75" customHeight="1" x14ac:dyDescent="0.35">
      <c r="A256" s="3"/>
      <c r="B256" s="20"/>
      <c r="C256" s="21"/>
      <c r="D256" s="21"/>
      <c r="E256" s="21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.75" customHeight="1" x14ac:dyDescent="0.35">
      <c r="A257" s="3"/>
      <c r="B257" s="20"/>
      <c r="C257" s="21"/>
      <c r="D257" s="21"/>
      <c r="E257" s="21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.75" customHeight="1" x14ac:dyDescent="0.35">
      <c r="A258" s="3"/>
      <c r="B258" s="20"/>
      <c r="C258" s="21"/>
      <c r="D258" s="21"/>
      <c r="E258" s="21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.75" customHeight="1" x14ac:dyDescent="0.35">
      <c r="A259" s="3"/>
      <c r="B259" s="20"/>
      <c r="C259" s="21"/>
      <c r="D259" s="21"/>
      <c r="E259" s="21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.75" customHeight="1" x14ac:dyDescent="0.35">
      <c r="A260" s="3"/>
      <c r="B260" s="20"/>
      <c r="C260" s="21"/>
      <c r="D260" s="21"/>
      <c r="E260" s="21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.75" customHeight="1" x14ac:dyDescent="0.35">
      <c r="A261" s="3"/>
      <c r="B261" s="20"/>
      <c r="C261" s="21"/>
      <c r="D261" s="21"/>
      <c r="E261" s="21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.75" customHeight="1" x14ac:dyDescent="0.35">
      <c r="A262" s="3"/>
      <c r="B262" s="20"/>
      <c r="C262" s="21"/>
      <c r="D262" s="21"/>
      <c r="E262" s="21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.75" customHeight="1" x14ac:dyDescent="0.35">
      <c r="A263" s="3"/>
      <c r="B263" s="20"/>
      <c r="C263" s="21"/>
      <c r="D263" s="21"/>
      <c r="E263" s="21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.75" customHeight="1" x14ac:dyDescent="0.35">
      <c r="A264" s="3"/>
      <c r="B264" s="20"/>
      <c r="C264" s="21"/>
      <c r="D264" s="21"/>
      <c r="E264" s="21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.75" customHeight="1" x14ac:dyDescent="0.35">
      <c r="A265" s="3"/>
      <c r="B265" s="20"/>
      <c r="C265" s="21"/>
      <c r="D265" s="21"/>
      <c r="E265" s="21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.75" customHeight="1" x14ac:dyDescent="0.35">
      <c r="A266" s="3"/>
      <c r="B266" s="20"/>
      <c r="C266" s="21"/>
      <c r="D266" s="21"/>
      <c r="E266" s="21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.75" customHeight="1" x14ac:dyDescent="0.35">
      <c r="A267" s="3"/>
      <c r="B267" s="20"/>
      <c r="C267" s="21"/>
      <c r="D267" s="21"/>
      <c r="E267" s="21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.75" customHeight="1" x14ac:dyDescent="0.35">
      <c r="A268" s="3"/>
      <c r="B268" s="20"/>
      <c r="C268" s="21"/>
      <c r="D268" s="21"/>
      <c r="E268" s="21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.75" customHeight="1" x14ac:dyDescent="0.35">
      <c r="A269" s="3"/>
      <c r="B269" s="20"/>
      <c r="C269" s="21"/>
      <c r="D269" s="21"/>
      <c r="E269" s="21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.75" customHeight="1" x14ac:dyDescent="0.35">
      <c r="A270" s="3"/>
      <c r="B270" s="20"/>
      <c r="C270" s="21"/>
      <c r="D270" s="21"/>
      <c r="E270" s="21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.75" customHeight="1" x14ac:dyDescent="0.35">
      <c r="A271" s="3"/>
      <c r="B271" s="20"/>
      <c r="C271" s="21"/>
      <c r="D271" s="21"/>
      <c r="E271" s="21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.75" customHeight="1" x14ac:dyDescent="0.35">
      <c r="A272" s="3"/>
      <c r="B272" s="20"/>
      <c r="C272" s="21"/>
      <c r="D272" s="21"/>
      <c r="E272" s="21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.75" customHeight="1" x14ac:dyDescent="0.35">
      <c r="A273" s="3"/>
      <c r="B273" s="20"/>
      <c r="C273" s="21"/>
      <c r="D273" s="21"/>
      <c r="E273" s="21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.75" customHeight="1" x14ac:dyDescent="0.35">
      <c r="A274" s="3"/>
      <c r="B274" s="20"/>
      <c r="C274" s="21"/>
      <c r="D274" s="21"/>
      <c r="E274" s="21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.75" customHeight="1" x14ac:dyDescent="0.35">
      <c r="A275" s="3"/>
      <c r="B275" s="20"/>
      <c r="C275" s="21"/>
      <c r="D275" s="21"/>
      <c r="E275" s="21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.75" customHeight="1" x14ac:dyDescent="0.35">
      <c r="A276" s="3"/>
      <c r="B276" s="20"/>
      <c r="C276" s="21"/>
      <c r="D276" s="21"/>
      <c r="E276" s="21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.75" customHeight="1" x14ac:dyDescent="0.35">
      <c r="A277" s="3"/>
      <c r="B277" s="20"/>
      <c r="C277" s="21"/>
      <c r="D277" s="21"/>
      <c r="E277" s="21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.75" customHeight="1" x14ac:dyDescent="0.35">
      <c r="A278" s="3"/>
      <c r="B278" s="20"/>
      <c r="C278" s="21"/>
      <c r="D278" s="21"/>
      <c r="E278" s="21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.75" customHeight="1" x14ac:dyDescent="0.35">
      <c r="A279" s="3"/>
      <c r="B279" s="20"/>
      <c r="C279" s="21"/>
      <c r="D279" s="21"/>
      <c r="E279" s="21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.75" customHeight="1" x14ac:dyDescent="0.35">
      <c r="A280" s="3"/>
      <c r="B280" s="20"/>
      <c r="C280" s="21"/>
      <c r="D280" s="21"/>
      <c r="E280" s="21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.75" customHeight="1" x14ac:dyDescent="0.35">
      <c r="A281" s="3"/>
      <c r="B281" s="20"/>
      <c r="C281" s="21"/>
      <c r="D281" s="21"/>
      <c r="E281" s="21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.75" customHeight="1" x14ac:dyDescent="0.35">
      <c r="A282" s="3"/>
      <c r="B282" s="20"/>
      <c r="C282" s="21"/>
      <c r="D282" s="21"/>
      <c r="E282" s="21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.75" customHeight="1" x14ac:dyDescent="0.35">
      <c r="A283" s="3"/>
      <c r="B283" s="20"/>
      <c r="C283" s="21"/>
      <c r="D283" s="21"/>
      <c r="E283" s="21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.75" customHeight="1" x14ac:dyDescent="0.35">
      <c r="A284" s="3"/>
      <c r="B284" s="20"/>
      <c r="C284" s="21"/>
      <c r="D284" s="21"/>
      <c r="E284" s="21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.75" customHeight="1" x14ac:dyDescent="0.35">
      <c r="A285" s="3"/>
      <c r="B285" s="20"/>
      <c r="C285" s="21"/>
      <c r="D285" s="21"/>
      <c r="E285" s="21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.75" customHeight="1" x14ac:dyDescent="0.35">
      <c r="A286" s="3"/>
      <c r="B286" s="20"/>
      <c r="C286" s="21"/>
      <c r="D286" s="21"/>
      <c r="E286" s="21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.75" customHeight="1" x14ac:dyDescent="0.35">
      <c r="A287" s="3"/>
      <c r="B287" s="20"/>
      <c r="C287" s="21"/>
      <c r="D287" s="21"/>
      <c r="E287" s="21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.75" customHeight="1" x14ac:dyDescent="0.35">
      <c r="A288" s="3"/>
      <c r="B288" s="20"/>
      <c r="C288" s="21"/>
      <c r="D288" s="21"/>
      <c r="E288" s="21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.75" customHeight="1" x14ac:dyDescent="0.35">
      <c r="A289" s="3"/>
      <c r="B289" s="20"/>
      <c r="C289" s="21"/>
      <c r="D289" s="21"/>
      <c r="E289" s="21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.75" customHeight="1" x14ac:dyDescent="0.35">
      <c r="A290" s="3"/>
      <c r="B290" s="20"/>
      <c r="C290" s="21"/>
      <c r="D290" s="21"/>
      <c r="E290" s="21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.75" customHeight="1" x14ac:dyDescent="0.35">
      <c r="A291" s="3"/>
      <c r="B291" s="20"/>
      <c r="C291" s="21"/>
      <c r="D291" s="21"/>
      <c r="E291" s="21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.75" customHeight="1" x14ac:dyDescent="0.35">
      <c r="A292" s="3"/>
      <c r="B292" s="20"/>
      <c r="C292" s="21"/>
      <c r="D292" s="21"/>
      <c r="E292" s="21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.75" customHeight="1" x14ac:dyDescent="0.35">
      <c r="A293" s="3"/>
      <c r="B293" s="20"/>
      <c r="C293" s="21"/>
      <c r="D293" s="21"/>
      <c r="E293" s="21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.75" customHeight="1" x14ac:dyDescent="0.35">
      <c r="A294" s="3"/>
      <c r="B294" s="20"/>
      <c r="C294" s="21"/>
      <c r="D294" s="21"/>
      <c r="E294" s="21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.75" customHeight="1" x14ac:dyDescent="0.35">
      <c r="A295" s="3"/>
      <c r="B295" s="20"/>
      <c r="C295" s="21"/>
      <c r="D295" s="21"/>
      <c r="E295" s="21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.75" customHeight="1" x14ac:dyDescent="0.35">
      <c r="A296" s="3"/>
      <c r="B296" s="20"/>
      <c r="C296" s="21"/>
      <c r="D296" s="21"/>
      <c r="E296" s="21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.75" customHeight="1" x14ac:dyDescent="0.35">
      <c r="A297" s="3"/>
      <c r="B297" s="20"/>
      <c r="C297" s="21"/>
      <c r="D297" s="21"/>
      <c r="E297" s="21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.75" customHeight="1" x14ac:dyDescent="0.35">
      <c r="A298" s="3"/>
      <c r="B298" s="20"/>
      <c r="C298" s="21"/>
      <c r="D298" s="21"/>
      <c r="E298" s="21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.75" customHeight="1" x14ac:dyDescent="0.35">
      <c r="A299" s="3"/>
      <c r="B299" s="20"/>
      <c r="C299" s="21"/>
      <c r="D299" s="21"/>
      <c r="E299" s="21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.75" customHeight="1" x14ac:dyDescent="0.35">
      <c r="A300" s="3"/>
      <c r="B300" s="20"/>
      <c r="C300" s="21"/>
      <c r="D300" s="21"/>
      <c r="E300" s="21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.75" customHeight="1" x14ac:dyDescent="0.35">
      <c r="A301" s="3"/>
      <c r="B301" s="20"/>
      <c r="C301" s="21"/>
      <c r="D301" s="21"/>
      <c r="E301" s="21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.75" customHeight="1" x14ac:dyDescent="0.35">
      <c r="A302" s="3"/>
      <c r="B302" s="20"/>
      <c r="C302" s="21"/>
      <c r="D302" s="21"/>
      <c r="E302" s="21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.75" customHeight="1" x14ac:dyDescent="0.35">
      <c r="A303" s="3"/>
      <c r="B303" s="20"/>
      <c r="C303" s="21"/>
      <c r="D303" s="21"/>
      <c r="E303" s="21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.75" customHeight="1" x14ac:dyDescent="0.35">
      <c r="A304" s="3"/>
      <c r="B304" s="20"/>
      <c r="C304" s="21"/>
      <c r="D304" s="21"/>
      <c r="E304" s="21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.75" customHeight="1" x14ac:dyDescent="0.35">
      <c r="A305" s="3"/>
      <c r="B305" s="20"/>
      <c r="C305" s="21"/>
      <c r="D305" s="21"/>
      <c r="E305" s="21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.75" customHeight="1" x14ac:dyDescent="0.35">
      <c r="A306" s="3"/>
      <c r="B306" s="20"/>
      <c r="C306" s="21"/>
      <c r="D306" s="21"/>
      <c r="E306" s="21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.75" customHeight="1" x14ac:dyDescent="0.35">
      <c r="A307" s="3"/>
      <c r="B307" s="20"/>
      <c r="C307" s="21"/>
      <c r="D307" s="21"/>
      <c r="E307" s="21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.75" customHeight="1" x14ac:dyDescent="0.35">
      <c r="A308" s="3"/>
      <c r="B308" s="20"/>
      <c r="C308" s="21"/>
      <c r="D308" s="21"/>
      <c r="E308" s="21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.75" customHeight="1" x14ac:dyDescent="0.35">
      <c r="A309" s="3"/>
      <c r="B309" s="20"/>
      <c r="C309" s="21"/>
      <c r="D309" s="21"/>
      <c r="E309" s="21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.75" customHeight="1" x14ac:dyDescent="0.35">
      <c r="A310" s="3"/>
      <c r="B310" s="20"/>
      <c r="C310" s="21"/>
      <c r="D310" s="21"/>
      <c r="E310" s="21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.75" customHeight="1" x14ac:dyDescent="0.35">
      <c r="A311" s="3"/>
      <c r="B311" s="20"/>
      <c r="C311" s="21"/>
      <c r="D311" s="21"/>
      <c r="E311" s="21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.75" customHeight="1" x14ac:dyDescent="0.35">
      <c r="A312" s="3"/>
      <c r="B312" s="20"/>
      <c r="C312" s="21"/>
      <c r="D312" s="21"/>
      <c r="E312" s="21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.75" customHeight="1" x14ac:dyDescent="0.35">
      <c r="A313" s="3"/>
      <c r="B313" s="20"/>
      <c r="C313" s="21"/>
      <c r="D313" s="21"/>
      <c r="E313" s="21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.75" customHeight="1" x14ac:dyDescent="0.35">
      <c r="A314" s="3"/>
      <c r="B314" s="20"/>
      <c r="C314" s="21"/>
      <c r="D314" s="21"/>
      <c r="E314" s="21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.75" customHeight="1" x14ac:dyDescent="0.35">
      <c r="A315" s="3"/>
      <c r="B315" s="20"/>
      <c r="C315" s="21"/>
      <c r="D315" s="21"/>
      <c r="E315" s="21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.75" customHeight="1" x14ac:dyDescent="0.35">
      <c r="A316" s="3"/>
      <c r="B316" s="20"/>
      <c r="C316" s="21"/>
      <c r="D316" s="21"/>
      <c r="E316" s="21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.75" customHeight="1" x14ac:dyDescent="0.35">
      <c r="A317" s="3"/>
      <c r="B317" s="20"/>
      <c r="C317" s="21"/>
      <c r="D317" s="21"/>
      <c r="E317" s="21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.75" customHeight="1" x14ac:dyDescent="0.35">
      <c r="A318" s="3"/>
      <c r="B318" s="20"/>
      <c r="C318" s="21"/>
      <c r="D318" s="21"/>
      <c r="E318" s="21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.75" customHeight="1" x14ac:dyDescent="0.35">
      <c r="A319" s="3"/>
      <c r="B319" s="20"/>
      <c r="C319" s="21"/>
      <c r="D319" s="21"/>
      <c r="E319" s="21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.75" customHeight="1" x14ac:dyDescent="0.35">
      <c r="A320" s="3"/>
      <c r="B320" s="20"/>
      <c r="C320" s="21"/>
      <c r="D320" s="21"/>
      <c r="E320" s="21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.75" customHeight="1" x14ac:dyDescent="0.35">
      <c r="A321" s="3"/>
      <c r="B321" s="20"/>
      <c r="C321" s="21"/>
      <c r="D321" s="21"/>
      <c r="E321" s="21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.75" customHeight="1" x14ac:dyDescent="0.35">
      <c r="A322" s="3"/>
      <c r="B322" s="20"/>
      <c r="C322" s="21"/>
      <c r="D322" s="21"/>
      <c r="E322" s="21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.75" customHeight="1" x14ac:dyDescent="0.35">
      <c r="A323" s="3"/>
      <c r="B323" s="20"/>
      <c r="C323" s="21"/>
      <c r="D323" s="21"/>
      <c r="E323" s="21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.75" customHeight="1" x14ac:dyDescent="0.35">
      <c r="A324" s="3"/>
      <c r="B324" s="20"/>
      <c r="C324" s="21"/>
      <c r="D324" s="21"/>
      <c r="E324" s="21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.75" customHeight="1" x14ac:dyDescent="0.35">
      <c r="A325" s="3"/>
      <c r="B325" s="20"/>
      <c r="C325" s="21"/>
      <c r="D325" s="21"/>
      <c r="E325" s="21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.75" customHeight="1" x14ac:dyDescent="0.35">
      <c r="A326" s="3"/>
      <c r="B326" s="20"/>
      <c r="C326" s="21"/>
      <c r="D326" s="21"/>
      <c r="E326" s="21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.75" customHeight="1" x14ac:dyDescent="0.35">
      <c r="A327" s="3"/>
      <c r="B327" s="20"/>
      <c r="C327" s="21"/>
      <c r="D327" s="21"/>
      <c r="E327" s="21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.75" customHeight="1" x14ac:dyDescent="0.35">
      <c r="A328" s="3"/>
      <c r="B328" s="20"/>
      <c r="C328" s="21"/>
      <c r="D328" s="21"/>
      <c r="E328" s="21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.75" customHeight="1" x14ac:dyDescent="0.35">
      <c r="A329" s="3"/>
      <c r="B329" s="20"/>
      <c r="C329" s="21"/>
      <c r="D329" s="21"/>
      <c r="E329" s="21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5.75" customHeight="1" x14ac:dyDescent="0.35">
      <c r="A330" s="3"/>
      <c r="B330" s="20"/>
      <c r="C330" s="21"/>
      <c r="D330" s="21"/>
      <c r="E330" s="21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.75" customHeight="1" x14ac:dyDescent="0.35">
      <c r="A331" s="3"/>
      <c r="B331" s="20"/>
      <c r="C331" s="21"/>
      <c r="D331" s="21"/>
      <c r="E331" s="21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5.75" customHeight="1" x14ac:dyDescent="0.35">
      <c r="A332" s="3"/>
      <c r="B332" s="20"/>
      <c r="C332" s="21"/>
      <c r="D332" s="21"/>
      <c r="E332" s="21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5.75" customHeight="1" x14ac:dyDescent="0.35">
      <c r="A333" s="3"/>
      <c r="B333" s="20"/>
      <c r="C333" s="21"/>
      <c r="D333" s="21"/>
      <c r="E333" s="21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5.75" customHeight="1" x14ac:dyDescent="0.35">
      <c r="A334" s="3"/>
      <c r="B334" s="20"/>
      <c r="C334" s="21"/>
      <c r="D334" s="21"/>
      <c r="E334" s="21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5.75" customHeight="1" x14ac:dyDescent="0.35">
      <c r="A335" s="3"/>
      <c r="B335" s="20"/>
      <c r="C335" s="21"/>
      <c r="D335" s="21"/>
      <c r="E335" s="21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5.75" customHeight="1" x14ac:dyDescent="0.35">
      <c r="A336" s="3"/>
      <c r="B336" s="20"/>
      <c r="C336" s="21"/>
      <c r="D336" s="21"/>
      <c r="E336" s="21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5.75" customHeight="1" x14ac:dyDescent="0.35">
      <c r="A337" s="3"/>
      <c r="B337" s="20"/>
      <c r="C337" s="21"/>
      <c r="D337" s="21"/>
      <c r="E337" s="21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5.75" customHeight="1" x14ac:dyDescent="0.35">
      <c r="A338" s="3"/>
      <c r="B338" s="20"/>
      <c r="C338" s="21"/>
      <c r="D338" s="21"/>
      <c r="E338" s="21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5.75" customHeight="1" x14ac:dyDescent="0.35">
      <c r="A339" s="3"/>
      <c r="B339" s="20"/>
      <c r="C339" s="21"/>
      <c r="D339" s="21"/>
      <c r="E339" s="21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5.75" customHeight="1" x14ac:dyDescent="0.35">
      <c r="A340" s="3"/>
      <c r="B340" s="20"/>
      <c r="C340" s="21"/>
      <c r="D340" s="21"/>
      <c r="E340" s="21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5.75" customHeight="1" x14ac:dyDescent="0.35">
      <c r="A341" s="3"/>
      <c r="B341" s="20"/>
      <c r="C341" s="21"/>
      <c r="D341" s="21"/>
      <c r="E341" s="21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5.75" customHeight="1" x14ac:dyDescent="0.35">
      <c r="A342" s="3"/>
      <c r="B342" s="20"/>
      <c r="C342" s="21"/>
      <c r="D342" s="21"/>
      <c r="E342" s="21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5.75" customHeight="1" x14ac:dyDescent="0.35">
      <c r="A343" s="3"/>
      <c r="B343" s="20"/>
      <c r="C343" s="21"/>
      <c r="D343" s="21"/>
      <c r="E343" s="21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5.75" customHeight="1" x14ac:dyDescent="0.35">
      <c r="A344" s="3"/>
      <c r="B344" s="20"/>
      <c r="C344" s="21"/>
      <c r="D344" s="21"/>
      <c r="E344" s="21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5.75" customHeight="1" x14ac:dyDescent="0.35">
      <c r="A345" s="3"/>
      <c r="B345" s="20"/>
      <c r="C345" s="21"/>
      <c r="D345" s="21"/>
      <c r="E345" s="21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5.75" customHeight="1" x14ac:dyDescent="0.35">
      <c r="A346" s="3"/>
      <c r="B346" s="20"/>
      <c r="C346" s="21"/>
      <c r="D346" s="21"/>
      <c r="E346" s="21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5.75" customHeight="1" x14ac:dyDescent="0.35">
      <c r="A347" s="3"/>
      <c r="B347" s="20"/>
      <c r="C347" s="21"/>
      <c r="D347" s="21"/>
      <c r="E347" s="21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5.75" customHeight="1" x14ac:dyDescent="0.35">
      <c r="A348" s="3"/>
      <c r="B348" s="20"/>
      <c r="C348" s="21"/>
      <c r="D348" s="21"/>
      <c r="E348" s="21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5.75" customHeight="1" x14ac:dyDescent="0.35">
      <c r="A349" s="3"/>
      <c r="B349" s="20"/>
      <c r="C349" s="21"/>
      <c r="D349" s="21"/>
      <c r="E349" s="21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5.75" customHeight="1" x14ac:dyDescent="0.35">
      <c r="A350" s="3"/>
      <c r="B350" s="20"/>
      <c r="C350" s="21"/>
      <c r="D350" s="21"/>
      <c r="E350" s="21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.75" customHeight="1" x14ac:dyDescent="0.35">
      <c r="A351" s="3"/>
      <c r="B351" s="20"/>
      <c r="C351" s="21"/>
      <c r="D351" s="21"/>
      <c r="E351" s="21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5.75" customHeight="1" x14ac:dyDescent="0.35">
      <c r="A352" s="3"/>
      <c r="B352" s="20"/>
      <c r="C352" s="21"/>
      <c r="D352" s="21"/>
      <c r="E352" s="21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5.75" customHeight="1" x14ac:dyDescent="0.35">
      <c r="A353" s="3"/>
      <c r="B353" s="20"/>
      <c r="C353" s="21"/>
      <c r="D353" s="21"/>
      <c r="E353" s="21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.75" customHeight="1" x14ac:dyDescent="0.35">
      <c r="A354" s="3"/>
      <c r="B354" s="20"/>
      <c r="C354" s="21"/>
      <c r="D354" s="21"/>
      <c r="E354" s="21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5.75" customHeight="1" x14ac:dyDescent="0.35">
      <c r="A355" s="3"/>
      <c r="B355" s="20"/>
      <c r="C355" s="21"/>
      <c r="D355" s="21"/>
      <c r="E355" s="21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.75" customHeight="1" x14ac:dyDescent="0.35">
      <c r="A356" s="3"/>
      <c r="B356" s="20"/>
      <c r="C356" s="21"/>
      <c r="D356" s="21"/>
      <c r="E356" s="21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5.75" customHeight="1" x14ac:dyDescent="0.35">
      <c r="A357" s="3"/>
      <c r="B357" s="20"/>
      <c r="C357" s="21"/>
      <c r="D357" s="21"/>
      <c r="E357" s="21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.75" customHeight="1" x14ac:dyDescent="0.35">
      <c r="A358" s="3"/>
      <c r="B358" s="20"/>
      <c r="C358" s="21"/>
      <c r="D358" s="21"/>
      <c r="E358" s="21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5.75" customHeight="1" x14ac:dyDescent="0.35">
      <c r="A359" s="3"/>
      <c r="B359" s="20"/>
      <c r="C359" s="21"/>
      <c r="D359" s="21"/>
      <c r="E359" s="21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5.75" customHeight="1" x14ac:dyDescent="0.35">
      <c r="A360" s="3"/>
      <c r="B360" s="20"/>
      <c r="C360" s="21"/>
      <c r="D360" s="21"/>
      <c r="E360" s="21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5.75" customHeight="1" x14ac:dyDescent="0.35">
      <c r="A361" s="3"/>
      <c r="B361" s="20"/>
      <c r="C361" s="21"/>
      <c r="D361" s="21"/>
      <c r="E361" s="21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5.75" customHeight="1" x14ac:dyDescent="0.35">
      <c r="A362" s="3"/>
      <c r="B362" s="20"/>
      <c r="C362" s="21"/>
      <c r="D362" s="21"/>
      <c r="E362" s="21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5.75" customHeight="1" x14ac:dyDescent="0.35">
      <c r="A363" s="3"/>
      <c r="B363" s="20"/>
      <c r="C363" s="21"/>
      <c r="D363" s="21"/>
      <c r="E363" s="21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5.75" customHeight="1" x14ac:dyDescent="0.35">
      <c r="A364" s="3"/>
      <c r="B364" s="20"/>
      <c r="C364" s="21"/>
      <c r="D364" s="21"/>
      <c r="E364" s="21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5.75" customHeight="1" x14ac:dyDescent="0.35">
      <c r="A365" s="3"/>
      <c r="B365" s="20"/>
      <c r="C365" s="21"/>
      <c r="D365" s="21"/>
      <c r="E365" s="21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5.75" customHeight="1" x14ac:dyDescent="0.35">
      <c r="A366" s="3"/>
      <c r="B366" s="20"/>
      <c r="C366" s="21"/>
      <c r="D366" s="21"/>
      <c r="E366" s="21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5.75" customHeight="1" x14ac:dyDescent="0.35">
      <c r="A367" s="3"/>
      <c r="B367" s="20"/>
      <c r="C367" s="21"/>
      <c r="D367" s="21"/>
      <c r="E367" s="21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.75" customHeight="1" x14ac:dyDescent="0.35">
      <c r="A368" s="3"/>
      <c r="B368" s="20"/>
      <c r="C368" s="21"/>
      <c r="D368" s="21"/>
      <c r="E368" s="21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5.75" customHeight="1" x14ac:dyDescent="0.35">
      <c r="A369" s="3"/>
      <c r="B369" s="20"/>
      <c r="C369" s="21"/>
      <c r="D369" s="21"/>
      <c r="E369" s="21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5.75" customHeight="1" x14ac:dyDescent="0.35">
      <c r="A370" s="3"/>
      <c r="B370" s="20"/>
      <c r="C370" s="21"/>
      <c r="D370" s="21"/>
      <c r="E370" s="21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5.75" customHeight="1" x14ac:dyDescent="0.35">
      <c r="A371" s="3"/>
      <c r="B371" s="20"/>
      <c r="C371" s="21"/>
      <c r="D371" s="21"/>
      <c r="E371" s="21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5.75" customHeight="1" x14ac:dyDescent="0.35">
      <c r="A372" s="3"/>
      <c r="B372" s="20"/>
      <c r="C372" s="21"/>
      <c r="D372" s="21"/>
      <c r="E372" s="21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5.75" customHeight="1" x14ac:dyDescent="0.35">
      <c r="A373" s="3"/>
      <c r="B373" s="20"/>
      <c r="C373" s="21"/>
      <c r="D373" s="21"/>
      <c r="E373" s="21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5.75" customHeight="1" x14ac:dyDescent="0.35">
      <c r="A374" s="3"/>
      <c r="B374" s="20"/>
      <c r="C374" s="21"/>
      <c r="D374" s="21"/>
      <c r="E374" s="21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5.75" customHeight="1" x14ac:dyDescent="0.35">
      <c r="A375" s="3"/>
      <c r="B375" s="20"/>
      <c r="C375" s="21"/>
      <c r="D375" s="21"/>
      <c r="E375" s="21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5.75" customHeight="1" x14ac:dyDescent="0.35">
      <c r="A376" s="3"/>
      <c r="B376" s="20"/>
      <c r="C376" s="21"/>
      <c r="D376" s="21"/>
      <c r="E376" s="21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5.75" customHeight="1" x14ac:dyDescent="0.35">
      <c r="A377" s="3"/>
      <c r="B377" s="20"/>
      <c r="C377" s="21"/>
      <c r="D377" s="21"/>
      <c r="E377" s="21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5.75" customHeight="1" x14ac:dyDescent="0.35">
      <c r="A378" s="3"/>
      <c r="B378" s="20"/>
      <c r="C378" s="21"/>
      <c r="D378" s="21"/>
      <c r="E378" s="21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5.75" customHeight="1" x14ac:dyDescent="0.35">
      <c r="A379" s="3"/>
      <c r="B379" s="20"/>
      <c r="C379" s="21"/>
      <c r="D379" s="21"/>
      <c r="E379" s="21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5.75" customHeight="1" x14ac:dyDescent="0.35">
      <c r="A380" s="3"/>
      <c r="B380" s="20"/>
      <c r="C380" s="21"/>
      <c r="D380" s="21"/>
      <c r="E380" s="21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5.75" customHeight="1" x14ac:dyDescent="0.35">
      <c r="A381" s="3"/>
      <c r="B381" s="20"/>
      <c r="C381" s="21"/>
      <c r="D381" s="21"/>
      <c r="E381" s="21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5.75" customHeight="1" x14ac:dyDescent="0.35">
      <c r="A382" s="3"/>
      <c r="B382" s="20"/>
      <c r="C382" s="21"/>
      <c r="D382" s="21"/>
      <c r="E382" s="21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5.75" customHeight="1" x14ac:dyDescent="0.35">
      <c r="A383" s="3"/>
      <c r="B383" s="20"/>
      <c r="C383" s="21"/>
      <c r="D383" s="21"/>
      <c r="E383" s="21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5.75" customHeight="1" x14ac:dyDescent="0.35">
      <c r="A384" s="3"/>
      <c r="B384" s="20"/>
      <c r="C384" s="21"/>
      <c r="D384" s="21"/>
      <c r="E384" s="21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5.75" customHeight="1" x14ac:dyDescent="0.35">
      <c r="A385" s="3"/>
      <c r="B385" s="20"/>
      <c r="C385" s="21"/>
      <c r="D385" s="21"/>
      <c r="E385" s="21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5.75" customHeight="1" x14ac:dyDescent="0.35">
      <c r="A386" s="3"/>
      <c r="B386" s="20"/>
      <c r="C386" s="21"/>
      <c r="D386" s="21"/>
      <c r="E386" s="21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5.75" customHeight="1" x14ac:dyDescent="0.35">
      <c r="A387" s="3"/>
      <c r="B387" s="20"/>
      <c r="C387" s="21"/>
      <c r="D387" s="21"/>
      <c r="E387" s="21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5.75" customHeight="1" x14ac:dyDescent="0.35">
      <c r="A388" s="3"/>
      <c r="B388" s="20"/>
      <c r="C388" s="21"/>
      <c r="D388" s="21"/>
      <c r="E388" s="21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5.75" customHeight="1" x14ac:dyDescent="0.35">
      <c r="A389" s="3"/>
      <c r="B389" s="20"/>
      <c r="C389" s="21"/>
      <c r="D389" s="21"/>
      <c r="E389" s="21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5.75" customHeight="1" x14ac:dyDescent="0.35">
      <c r="A390" s="3"/>
      <c r="B390" s="20"/>
      <c r="C390" s="21"/>
      <c r="D390" s="21"/>
      <c r="E390" s="21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5.75" customHeight="1" x14ac:dyDescent="0.35">
      <c r="A391" s="3"/>
      <c r="B391" s="20"/>
      <c r="C391" s="21"/>
      <c r="D391" s="21"/>
      <c r="E391" s="21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5.75" customHeight="1" x14ac:dyDescent="0.35">
      <c r="A392" s="3"/>
      <c r="B392" s="20"/>
      <c r="C392" s="21"/>
      <c r="D392" s="21"/>
      <c r="E392" s="21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5.75" customHeight="1" x14ac:dyDescent="0.35">
      <c r="A393" s="3"/>
      <c r="B393" s="20"/>
      <c r="C393" s="21"/>
      <c r="D393" s="21"/>
      <c r="E393" s="21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5.75" customHeight="1" x14ac:dyDescent="0.35">
      <c r="A394" s="3"/>
      <c r="B394" s="20"/>
      <c r="C394" s="21"/>
      <c r="D394" s="21"/>
      <c r="E394" s="21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5.75" customHeight="1" x14ac:dyDescent="0.35">
      <c r="A395" s="3"/>
      <c r="B395" s="20"/>
      <c r="C395" s="21"/>
      <c r="D395" s="21"/>
      <c r="E395" s="21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5.75" customHeight="1" x14ac:dyDescent="0.35">
      <c r="A396" s="3"/>
      <c r="B396" s="20"/>
      <c r="C396" s="21"/>
      <c r="D396" s="21"/>
      <c r="E396" s="21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5.75" customHeight="1" x14ac:dyDescent="0.35">
      <c r="A397" s="3"/>
      <c r="B397" s="20"/>
      <c r="C397" s="21"/>
      <c r="D397" s="21"/>
      <c r="E397" s="21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5.75" customHeight="1" x14ac:dyDescent="0.35">
      <c r="A398" s="3"/>
      <c r="B398" s="20"/>
      <c r="C398" s="21"/>
      <c r="D398" s="21"/>
      <c r="E398" s="21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5.75" customHeight="1" x14ac:dyDescent="0.35">
      <c r="A399" s="3"/>
      <c r="B399" s="20"/>
      <c r="C399" s="21"/>
      <c r="D399" s="21"/>
      <c r="E399" s="21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5.75" customHeight="1" x14ac:dyDescent="0.35">
      <c r="A400" s="3"/>
      <c r="B400" s="20"/>
      <c r="C400" s="21"/>
      <c r="D400" s="21"/>
      <c r="E400" s="21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5.75" customHeight="1" x14ac:dyDescent="0.35">
      <c r="A401" s="3"/>
      <c r="B401" s="20"/>
      <c r="C401" s="21"/>
      <c r="D401" s="21"/>
      <c r="E401" s="21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5.75" customHeight="1" x14ac:dyDescent="0.35">
      <c r="A402" s="3"/>
      <c r="B402" s="20"/>
      <c r="C402" s="21"/>
      <c r="D402" s="21"/>
      <c r="E402" s="21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5.75" customHeight="1" x14ac:dyDescent="0.35">
      <c r="A403" s="3"/>
      <c r="B403" s="20"/>
      <c r="C403" s="21"/>
      <c r="D403" s="21"/>
      <c r="E403" s="21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5.75" customHeight="1" x14ac:dyDescent="0.35">
      <c r="A404" s="3"/>
      <c r="B404" s="20"/>
      <c r="C404" s="21"/>
      <c r="D404" s="21"/>
      <c r="E404" s="21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5.75" customHeight="1" x14ac:dyDescent="0.35">
      <c r="A405" s="3"/>
      <c r="B405" s="20"/>
      <c r="C405" s="21"/>
      <c r="D405" s="21"/>
      <c r="E405" s="21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5.75" customHeight="1" x14ac:dyDescent="0.35">
      <c r="A406" s="3"/>
      <c r="B406" s="20"/>
      <c r="C406" s="21"/>
      <c r="D406" s="21"/>
      <c r="E406" s="21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5.75" customHeight="1" x14ac:dyDescent="0.35">
      <c r="A407" s="3"/>
      <c r="B407" s="20"/>
      <c r="C407" s="21"/>
      <c r="D407" s="21"/>
      <c r="E407" s="21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5.75" customHeight="1" x14ac:dyDescent="0.35">
      <c r="A408" s="3"/>
      <c r="B408" s="20"/>
      <c r="C408" s="21"/>
      <c r="D408" s="21"/>
      <c r="E408" s="21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5.75" customHeight="1" x14ac:dyDescent="0.35">
      <c r="A409" s="3"/>
      <c r="B409" s="20"/>
      <c r="C409" s="21"/>
      <c r="D409" s="21"/>
      <c r="E409" s="21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5.75" customHeight="1" x14ac:dyDescent="0.35">
      <c r="A410" s="3"/>
      <c r="B410" s="20"/>
      <c r="C410" s="21"/>
      <c r="D410" s="21"/>
      <c r="E410" s="21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5.75" customHeight="1" x14ac:dyDescent="0.35">
      <c r="A411" s="3"/>
      <c r="B411" s="20"/>
      <c r="C411" s="21"/>
      <c r="D411" s="21"/>
      <c r="E411" s="21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5.75" customHeight="1" x14ac:dyDescent="0.35">
      <c r="A412" s="3"/>
      <c r="B412" s="20"/>
      <c r="C412" s="21"/>
      <c r="D412" s="21"/>
      <c r="E412" s="21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5.75" customHeight="1" x14ac:dyDescent="0.35">
      <c r="A413" s="3"/>
      <c r="B413" s="20"/>
      <c r="C413" s="21"/>
      <c r="D413" s="21"/>
      <c r="E413" s="21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5.75" customHeight="1" x14ac:dyDescent="0.35">
      <c r="A414" s="3"/>
      <c r="B414" s="20"/>
      <c r="C414" s="21"/>
      <c r="D414" s="21"/>
      <c r="E414" s="21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5.75" customHeight="1" x14ac:dyDescent="0.35">
      <c r="A415" s="3"/>
      <c r="B415" s="20"/>
      <c r="C415" s="21"/>
      <c r="D415" s="21"/>
      <c r="E415" s="21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5.75" customHeight="1" x14ac:dyDescent="0.35">
      <c r="A416" s="3"/>
      <c r="B416" s="20"/>
      <c r="C416" s="21"/>
      <c r="D416" s="21"/>
      <c r="E416" s="21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5.75" customHeight="1" x14ac:dyDescent="0.35">
      <c r="A417" s="3"/>
      <c r="B417" s="20"/>
      <c r="C417" s="21"/>
      <c r="D417" s="21"/>
      <c r="E417" s="21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5.75" customHeight="1" x14ac:dyDescent="0.35">
      <c r="A418" s="3"/>
      <c r="B418" s="20"/>
      <c r="C418" s="21"/>
      <c r="D418" s="21"/>
      <c r="E418" s="21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5.75" customHeight="1" x14ac:dyDescent="0.35">
      <c r="A419" s="3"/>
      <c r="B419" s="20"/>
      <c r="C419" s="21"/>
      <c r="D419" s="21"/>
      <c r="E419" s="21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5.75" customHeight="1" x14ac:dyDescent="0.35">
      <c r="A420" s="3"/>
      <c r="B420" s="20"/>
      <c r="C420" s="21"/>
      <c r="D420" s="21"/>
      <c r="E420" s="21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5.75" customHeight="1" x14ac:dyDescent="0.35">
      <c r="A421" s="3"/>
      <c r="B421" s="20"/>
      <c r="C421" s="21"/>
      <c r="D421" s="21"/>
      <c r="E421" s="21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5.75" customHeight="1" x14ac:dyDescent="0.35">
      <c r="A422" s="3"/>
      <c r="B422" s="20"/>
      <c r="C422" s="21"/>
      <c r="D422" s="21"/>
      <c r="E422" s="21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5.75" customHeight="1" x14ac:dyDescent="0.35">
      <c r="A423" s="3"/>
      <c r="B423" s="20"/>
      <c r="C423" s="21"/>
      <c r="D423" s="21"/>
      <c r="E423" s="21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5.75" customHeight="1" x14ac:dyDescent="0.35">
      <c r="A424" s="3"/>
      <c r="B424" s="20"/>
      <c r="C424" s="21"/>
      <c r="D424" s="21"/>
      <c r="E424" s="21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5.75" customHeight="1" x14ac:dyDescent="0.35">
      <c r="A425" s="3"/>
      <c r="B425" s="20"/>
      <c r="C425" s="21"/>
      <c r="D425" s="21"/>
      <c r="E425" s="21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5.75" customHeight="1" x14ac:dyDescent="0.35">
      <c r="A426" s="3"/>
      <c r="B426" s="20"/>
      <c r="C426" s="21"/>
      <c r="D426" s="21"/>
      <c r="E426" s="21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5.75" customHeight="1" x14ac:dyDescent="0.35">
      <c r="A427" s="3"/>
      <c r="B427" s="20"/>
      <c r="C427" s="21"/>
      <c r="D427" s="21"/>
      <c r="E427" s="21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5.75" customHeight="1" x14ac:dyDescent="0.35">
      <c r="A428" s="3"/>
      <c r="B428" s="20"/>
      <c r="C428" s="21"/>
      <c r="D428" s="21"/>
      <c r="E428" s="21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5.75" customHeight="1" x14ac:dyDescent="0.35">
      <c r="A429" s="3"/>
      <c r="B429" s="20"/>
      <c r="C429" s="21"/>
      <c r="D429" s="21"/>
      <c r="E429" s="21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5.75" customHeight="1" x14ac:dyDescent="0.35">
      <c r="A430" s="3"/>
      <c r="B430" s="20"/>
      <c r="C430" s="21"/>
      <c r="D430" s="21"/>
      <c r="E430" s="21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5.75" customHeight="1" x14ac:dyDescent="0.35">
      <c r="A431" s="3"/>
      <c r="B431" s="20"/>
      <c r="C431" s="21"/>
      <c r="D431" s="21"/>
      <c r="E431" s="21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5.75" customHeight="1" x14ac:dyDescent="0.35">
      <c r="A432" s="3"/>
      <c r="B432" s="20"/>
      <c r="C432" s="21"/>
      <c r="D432" s="21"/>
      <c r="E432" s="21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5.75" customHeight="1" x14ac:dyDescent="0.35">
      <c r="A433" s="3"/>
      <c r="B433" s="20"/>
      <c r="C433" s="21"/>
      <c r="D433" s="21"/>
      <c r="E433" s="21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5.75" customHeight="1" x14ac:dyDescent="0.35">
      <c r="A434" s="3"/>
      <c r="B434" s="20"/>
      <c r="C434" s="21"/>
      <c r="D434" s="21"/>
      <c r="E434" s="21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5.75" customHeight="1" x14ac:dyDescent="0.35">
      <c r="A435" s="3"/>
      <c r="B435" s="20"/>
      <c r="C435" s="21"/>
      <c r="D435" s="21"/>
      <c r="E435" s="21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5.75" customHeight="1" x14ac:dyDescent="0.35">
      <c r="A436" s="3"/>
      <c r="B436" s="20"/>
      <c r="C436" s="21"/>
      <c r="D436" s="21"/>
      <c r="E436" s="21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5.75" customHeight="1" x14ac:dyDescent="0.35">
      <c r="A437" s="3"/>
      <c r="B437" s="20"/>
      <c r="C437" s="21"/>
      <c r="D437" s="21"/>
      <c r="E437" s="21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5.75" customHeight="1" x14ac:dyDescent="0.35">
      <c r="A438" s="3"/>
      <c r="B438" s="20"/>
      <c r="C438" s="21"/>
      <c r="D438" s="21"/>
      <c r="E438" s="21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5.75" customHeight="1" x14ac:dyDescent="0.35">
      <c r="A439" s="3"/>
      <c r="B439" s="20"/>
      <c r="C439" s="21"/>
      <c r="D439" s="21"/>
      <c r="E439" s="21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5.75" customHeight="1" x14ac:dyDescent="0.35">
      <c r="A440" s="3"/>
      <c r="B440" s="20"/>
      <c r="C440" s="21"/>
      <c r="D440" s="21"/>
      <c r="E440" s="21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5.75" customHeight="1" x14ac:dyDescent="0.35">
      <c r="A441" s="3"/>
      <c r="B441" s="20"/>
      <c r="C441" s="21"/>
      <c r="D441" s="21"/>
      <c r="E441" s="21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5.75" customHeight="1" x14ac:dyDescent="0.35">
      <c r="A442" s="3"/>
      <c r="B442" s="20"/>
      <c r="C442" s="21"/>
      <c r="D442" s="21"/>
      <c r="E442" s="21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5.75" customHeight="1" x14ac:dyDescent="0.35">
      <c r="A443" s="3"/>
      <c r="B443" s="20"/>
      <c r="C443" s="21"/>
      <c r="D443" s="21"/>
      <c r="E443" s="21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5.75" customHeight="1" x14ac:dyDescent="0.35">
      <c r="A444" s="3"/>
      <c r="B444" s="20"/>
      <c r="C444" s="21"/>
      <c r="D444" s="21"/>
      <c r="E444" s="21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5.75" customHeight="1" x14ac:dyDescent="0.35">
      <c r="A445" s="3"/>
      <c r="B445" s="20"/>
      <c r="C445" s="21"/>
      <c r="D445" s="21"/>
      <c r="E445" s="21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5.75" customHeight="1" x14ac:dyDescent="0.35">
      <c r="A446" s="3"/>
      <c r="B446" s="20"/>
      <c r="C446" s="21"/>
      <c r="D446" s="21"/>
      <c r="E446" s="21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5.75" customHeight="1" x14ac:dyDescent="0.35">
      <c r="A447" s="3"/>
      <c r="B447" s="20"/>
      <c r="C447" s="21"/>
      <c r="D447" s="21"/>
      <c r="E447" s="21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5.75" customHeight="1" x14ac:dyDescent="0.35">
      <c r="A448" s="3"/>
      <c r="B448" s="20"/>
      <c r="C448" s="21"/>
      <c r="D448" s="21"/>
      <c r="E448" s="21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5.75" customHeight="1" x14ac:dyDescent="0.35">
      <c r="A449" s="3"/>
      <c r="B449" s="20"/>
      <c r="C449" s="21"/>
      <c r="D449" s="21"/>
      <c r="E449" s="21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5.75" customHeight="1" x14ac:dyDescent="0.35">
      <c r="A450" s="3"/>
      <c r="B450" s="20"/>
      <c r="C450" s="21"/>
      <c r="D450" s="21"/>
      <c r="E450" s="21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5.75" customHeight="1" x14ac:dyDescent="0.35">
      <c r="A451" s="3"/>
      <c r="B451" s="20"/>
      <c r="C451" s="21"/>
      <c r="D451" s="21"/>
      <c r="E451" s="21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5.75" customHeight="1" x14ac:dyDescent="0.35">
      <c r="A452" s="3"/>
      <c r="B452" s="20"/>
      <c r="C452" s="21"/>
      <c r="D452" s="21"/>
      <c r="E452" s="21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5.75" customHeight="1" x14ac:dyDescent="0.35">
      <c r="A453" s="3"/>
      <c r="B453" s="20"/>
      <c r="C453" s="21"/>
      <c r="D453" s="21"/>
      <c r="E453" s="21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5.75" customHeight="1" x14ac:dyDescent="0.35">
      <c r="A454" s="3"/>
      <c r="B454" s="20"/>
      <c r="C454" s="21"/>
      <c r="D454" s="21"/>
      <c r="E454" s="21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5.75" customHeight="1" x14ac:dyDescent="0.35">
      <c r="A455" s="3"/>
      <c r="B455" s="20"/>
      <c r="C455" s="21"/>
      <c r="D455" s="21"/>
      <c r="E455" s="21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5.75" customHeight="1" x14ac:dyDescent="0.35">
      <c r="A456" s="3"/>
      <c r="B456" s="20"/>
      <c r="C456" s="21"/>
      <c r="D456" s="21"/>
      <c r="E456" s="21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5.75" customHeight="1" x14ac:dyDescent="0.35">
      <c r="A457" s="3"/>
      <c r="B457" s="20"/>
      <c r="C457" s="21"/>
      <c r="D457" s="21"/>
      <c r="E457" s="21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5.75" customHeight="1" x14ac:dyDescent="0.35">
      <c r="A458" s="3"/>
      <c r="B458" s="20"/>
      <c r="C458" s="21"/>
      <c r="D458" s="21"/>
      <c r="E458" s="21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5.75" customHeight="1" x14ac:dyDescent="0.35">
      <c r="A459" s="3"/>
      <c r="B459" s="20"/>
      <c r="C459" s="21"/>
      <c r="D459" s="21"/>
      <c r="E459" s="21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5.75" customHeight="1" x14ac:dyDescent="0.35">
      <c r="A460" s="3"/>
      <c r="B460" s="20"/>
      <c r="C460" s="21"/>
      <c r="D460" s="21"/>
      <c r="E460" s="21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5.75" customHeight="1" x14ac:dyDescent="0.35">
      <c r="A461" s="3"/>
      <c r="B461" s="20"/>
      <c r="C461" s="21"/>
      <c r="D461" s="21"/>
      <c r="E461" s="21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5.75" customHeight="1" x14ac:dyDescent="0.35">
      <c r="A462" s="3"/>
      <c r="B462" s="20"/>
      <c r="C462" s="21"/>
      <c r="D462" s="21"/>
      <c r="E462" s="21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5.75" customHeight="1" x14ac:dyDescent="0.35">
      <c r="A463" s="3"/>
      <c r="B463" s="20"/>
      <c r="C463" s="21"/>
      <c r="D463" s="21"/>
      <c r="E463" s="21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5.75" customHeight="1" x14ac:dyDescent="0.35">
      <c r="A464" s="3"/>
      <c r="B464" s="20"/>
      <c r="C464" s="21"/>
      <c r="D464" s="21"/>
      <c r="E464" s="21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5.75" customHeight="1" x14ac:dyDescent="0.35">
      <c r="A465" s="3"/>
      <c r="B465" s="20"/>
      <c r="C465" s="21"/>
      <c r="D465" s="21"/>
      <c r="E465" s="21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5.75" customHeight="1" x14ac:dyDescent="0.35">
      <c r="A466" s="3"/>
      <c r="B466" s="20"/>
      <c r="C466" s="21"/>
      <c r="D466" s="21"/>
      <c r="E466" s="21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5.75" customHeight="1" x14ac:dyDescent="0.35">
      <c r="A467" s="3"/>
      <c r="B467" s="20"/>
      <c r="C467" s="21"/>
      <c r="D467" s="21"/>
      <c r="E467" s="21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5.75" customHeight="1" x14ac:dyDescent="0.35">
      <c r="A468" s="3"/>
      <c r="B468" s="20"/>
      <c r="C468" s="21"/>
      <c r="D468" s="21"/>
      <c r="E468" s="21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5.75" customHeight="1" x14ac:dyDescent="0.35">
      <c r="A469" s="3"/>
      <c r="B469" s="20"/>
      <c r="C469" s="21"/>
      <c r="D469" s="21"/>
      <c r="E469" s="21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5.75" customHeight="1" x14ac:dyDescent="0.35">
      <c r="A470" s="3"/>
      <c r="B470" s="20"/>
      <c r="C470" s="21"/>
      <c r="D470" s="21"/>
      <c r="E470" s="21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5.75" customHeight="1" x14ac:dyDescent="0.35">
      <c r="A471" s="3"/>
      <c r="B471" s="20"/>
      <c r="C471" s="21"/>
      <c r="D471" s="21"/>
      <c r="E471" s="21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5.75" customHeight="1" x14ac:dyDescent="0.35">
      <c r="A472" s="3"/>
      <c r="B472" s="20"/>
      <c r="C472" s="21"/>
      <c r="D472" s="21"/>
      <c r="E472" s="21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5.75" customHeight="1" x14ac:dyDescent="0.35">
      <c r="A473" s="3"/>
      <c r="B473" s="20"/>
      <c r="C473" s="21"/>
      <c r="D473" s="21"/>
      <c r="E473" s="21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5.75" customHeight="1" x14ac:dyDescent="0.35">
      <c r="A474" s="3"/>
      <c r="B474" s="20"/>
      <c r="C474" s="21"/>
      <c r="D474" s="21"/>
      <c r="E474" s="21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5.75" customHeight="1" x14ac:dyDescent="0.35">
      <c r="A475" s="3"/>
      <c r="B475" s="20"/>
      <c r="C475" s="21"/>
      <c r="D475" s="21"/>
      <c r="E475" s="21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5.75" customHeight="1" x14ac:dyDescent="0.35">
      <c r="A476" s="3"/>
      <c r="B476" s="20"/>
      <c r="C476" s="21"/>
      <c r="D476" s="21"/>
      <c r="E476" s="21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5.75" customHeight="1" x14ac:dyDescent="0.35">
      <c r="A477" s="3"/>
      <c r="B477" s="20"/>
      <c r="C477" s="21"/>
      <c r="D477" s="21"/>
      <c r="E477" s="21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5.75" customHeight="1" x14ac:dyDescent="0.35">
      <c r="A478" s="3"/>
      <c r="B478" s="20"/>
      <c r="C478" s="21"/>
      <c r="D478" s="21"/>
      <c r="E478" s="21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5.75" customHeight="1" x14ac:dyDescent="0.35">
      <c r="A479" s="3"/>
      <c r="B479" s="20"/>
      <c r="C479" s="21"/>
      <c r="D479" s="21"/>
      <c r="E479" s="21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5.75" customHeight="1" x14ac:dyDescent="0.35">
      <c r="A480" s="3"/>
      <c r="B480" s="20"/>
      <c r="C480" s="21"/>
      <c r="D480" s="21"/>
      <c r="E480" s="21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5.75" customHeight="1" x14ac:dyDescent="0.35">
      <c r="A481" s="3"/>
      <c r="B481" s="20"/>
      <c r="C481" s="21"/>
      <c r="D481" s="21"/>
      <c r="E481" s="21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5.75" customHeight="1" x14ac:dyDescent="0.35">
      <c r="A482" s="3"/>
      <c r="B482" s="20"/>
      <c r="C482" s="21"/>
      <c r="D482" s="21"/>
      <c r="E482" s="21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5.75" customHeight="1" x14ac:dyDescent="0.35">
      <c r="A483" s="3"/>
      <c r="B483" s="20"/>
      <c r="C483" s="21"/>
      <c r="D483" s="21"/>
      <c r="E483" s="21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5.75" customHeight="1" x14ac:dyDescent="0.35">
      <c r="A484" s="3"/>
      <c r="B484" s="20"/>
      <c r="C484" s="21"/>
      <c r="D484" s="21"/>
      <c r="E484" s="21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5.75" customHeight="1" x14ac:dyDescent="0.35">
      <c r="A485" s="3"/>
      <c r="B485" s="20"/>
      <c r="C485" s="21"/>
      <c r="D485" s="21"/>
      <c r="E485" s="21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5.75" customHeight="1" x14ac:dyDescent="0.35">
      <c r="A486" s="3"/>
      <c r="B486" s="20"/>
      <c r="C486" s="21"/>
      <c r="D486" s="21"/>
      <c r="E486" s="21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5.75" customHeight="1" x14ac:dyDescent="0.35">
      <c r="A487" s="3"/>
      <c r="B487" s="20"/>
      <c r="C487" s="21"/>
      <c r="D487" s="21"/>
      <c r="E487" s="21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5.75" customHeight="1" x14ac:dyDescent="0.35">
      <c r="A488" s="3"/>
      <c r="B488" s="20"/>
      <c r="C488" s="21"/>
      <c r="D488" s="21"/>
      <c r="E488" s="21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5.75" customHeight="1" x14ac:dyDescent="0.35">
      <c r="A489" s="3"/>
      <c r="B489" s="20"/>
      <c r="C489" s="21"/>
      <c r="D489" s="21"/>
      <c r="E489" s="21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5.75" customHeight="1" x14ac:dyDescent="0.35">
      <c r="A490" s="3"/>
      <c r="B490" s="20"/>
      <c r="C490" s="21"/>
      <c r="D490" s="21"/>
      <c r="E490" s="21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5.75" customHeight="1" x14ac:dyDescent="0.35">
      <c r="A491" s="3"/>
      <c r="B491" s="20"/>
      <c r="C491" s="21"/>
      <c r="D491" s="21"/>
      <c r="E491" s="21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5.75" customHeight="1" x14ac:dyDescent="0.35">
      <c r="A492" s="3"/>
      <c r="B492" s="20"/>
      <c r="C492" s="21"/>
      <c r="D492" s="21"/>
      <c r="E492" s="21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5.75" customHeight="1" x14ac:dyDescent="0.35">
      <c r="A493" s="3"/>
      <c r="B493" s="20"/>
      <c r="C493" s="21"/>
      <c r="D493" s="21"/>
      <c r="E493" s="21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5.75" customHeight="1" x14ac:dyDescent="0.35">
      <c r="A494" s="3"/>
      <c r="B494" s="20"/>
      <c r="C494" s="21"/>
      <c r="D494" s="21"/>
      <c r="E494" s="21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5.75" customHeight="1" x14ac:dyDescent="0.35">
      <c r="A495" s="3"/>
      <c r="B495" s="20"/>
      <c r="C495" s="21"/>
      <c r="D495" s="21"/>
      <c r="E495" s="21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5.75" customHeight="1" x14ac:dyDescent="0.35">
      <c r="A496" s="3"/>
      <c r="B496" s="20"/>
      <c r="C496" s="21"/>
      <c r="D496" s="21"/>
      <c r="E496" s="21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5.75" customHeight="1" x14ac:dyDescent="0.35">
      <c r="A497" s="3"/>
      <c r="B497" s="20"/>
      <c r="C497" s="21"/>
      <c r="D497" s="21"/>
      <c r="E497" s="21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5.75" customHeight="1" x14ac:dyDescent="0.35">
      <c r="A498" s="3"/>
      <c r="B498" s="20"/>
      <c r="C498" s="21"/>
      <c r="D498" s="21"/>
      <c r="E498" s="21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5.75" customHeight="1" x14ac:dyDescent="0.35">
      <c r="A499" s="3"/>
      <c r="B499" s="20"/>
      <c r="C499" s="21"/>
      <c r="D499" s="21"/>
      <c r="E499" s="21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5.75" customHeight="1" x14ac:dyDescent="0.35">
      <c r="A500" s="3"/>
      <c r="B500" s="20"/>
      <c r="C500" s="21"/>
      <c r="D500" s="21"/>
      <c r="E500" s="21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5.75" customHeight="1" x14ac:dyDescent="0.35">
      <c r="A501" s="3"/>
      <c r="B501" s="20"/>
      <c r="C501" s="21"/>
      <c r="D501" s="21"/>
      <c r="E501" s="21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5.75" customHeight="1" x14ac:dyDescent="0.35">
      <c r="A502" s="3"/>
      <c r="B502" s="20"/>
      <c r="C502" s="21"/>
      <c r="D502" s="21"/>
      <c r="E502" s="21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5.75" customHeight="1" x14ac:dyDescent="0.35">
      <c r="A503" s="3"/>
      <c r="B503" s="20"/>
      <c r="C503" s="21"/>
      <c r="D503" s="21"/>
      <c r="E503" s="21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5.75" customHeight="1" x14ac:dyDescent="0.35">
      <c r="A504" s="3"/>
      <c r="B504" s="20"/>
      <c r="C504" s="21"/>
      <c r="D504" s="21"/>
      <c r="E504" s="21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5.75" customHeight="1" x14ac:dyDescent="0.35">
      <c r="A505" s="3"/>
      <c r="B505" s="20"/>
      <c r="C505" s="21"/>
      <c r="D505" s="21"/>
      <c r="E505" s="21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5.75" customHeight="1" x14ac:dyDescent="0.35">
      <c r="A506" s="3"/>
      <c r="B506" s="20"/>
      <c r="C506" s="21"/>
      <c r="D506" s="21"/>
      <c r="E506" s="21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5.75" customHeight="1" x14ac:dyDescent="0.35">
      <c r="A507" s="3"/>
      <c r="B507" s="20"/>
      <c r="C507" s="21"/>
      <c r="D507" s="21"/>
      <c r="E507" s="21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5.75" customHeight="1" x14ac:dyDescent="0.35">
      <c r="A508" s="3"/>
      <c r="B508" s="20"/>
      <c r="C508" s="21"/>
      <c r="D508" s="21"/>
      <c r="E508" s="21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5.75" customHeight="1" x14ac:dyDescent="0.35">
      <c r="A509" s="3"/>
      <c r="B509" s="20"/>
      <c r="C509" s="21"/>
      <c r="D509" s="21"/>
      <c r="E509" s="21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5.75" customHeight="1" x14ac:dyDescent="0.35">
      <c r="A510" s="3"/>
      <c r="B510" s="20"/>
      <c r="C510" s="21"/>
      <c r="D510" s="21"/>
      <c r="E510" s="21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5.75" customHeight="1" x14ac:dyDescent="0.35">
      <c r="A511" s="3"/>
      <c r="B511" s="20"/>
      <c r="C511" s="21"/>
      <c r="D511" s="21"/>
      <c r="E511" s="21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5.75" customHeight="1" x14ac:dyDescent="0.35">
      <c r="A512" s="3"/>
      <c r="B512" s="20"/>
      <c r="C512" s="21"/>
      <c r="D512" s="21"/>
      <c r="E512" s="21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5.75" customHeight="1" x14ac:dyDescent="0.35">
      <c r="A513" s="3"/>
      <c r="B513" s="20"/>
      <c r="C513" s="21"/>
      <c r="D513" s="21"/>
      <c r="E513" s="21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5.75" customHeight="1" x14ac:dyDescent="0.35">
      <c r="A514" s="3"/>
      <c r="B514" s="20"/>
      <c r="C514" s="21"/>
      <c r="D514" s="21"/>
      <c r="E514" s="21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5.75" customHeight="1" x14ac:dyDescent="0.35">
      <c r="A515" s="3"/>
      <c r="B515" s="20"/>
      <c r="C515" s="21"/>
      <c r="D515" s="21"/>
      <c r="E515" s="21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5.75" customHeight="1" x14ac:dyDescent="0.35">
      <c r="A516" s="3"/>
      <c r="B516" s="20"/>
      <c r="C516" s="21"/>
      <c r="D516" s="21"/>
      <c r="E516" s="21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5.75" customHeight="1" x14ac:dyDescent="0.35">
      <c r="A517" s="3"/>
      <c r="B517" s="20"/>
      <c r="C517" s="21"/>
      <c r="D517" s="21"/>
      <c r="E517" s="21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5.75" customHeight="1" x14ac:dyDescent="0.35">
      <c r="A518" s="3"/>
      <c r="B518" s="20"/>
      <c r="C518" s="21"/>
      <c r="D518" s="21"/>
      <c r="E518" s="21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5.75" customHeight="1" x14ac:dyDescent="0.35">
      <c r="A519" s="3"/>
      <c r="B519" s="20"/>
      <c r="C519" s="21"/>
      <c r="D519" s="21"/>
      <c r="E519" s="21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5.75" customHeight="1" x14ac:dyDescent="0.35">
      <c r="A520" s="3"/>
      <c r="B520" s="20"/>
      <c r="C520" s="21"/>
      <c r="D520" s="21"/>
      <c r="E520" s="21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5.75" customHeight="1" x14ac:dyDescent="0.35">
      <c r="A521" s="3"/>
      <c r="B521" s="20"/>
      <c r="C521" s="21"/>
      <c r="D521" s="21"/>
      <c r="E521" s="21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5.75" customHeight="1" x14ac:dyDescent="0.35">
      <c r="A522" s="3"/>
      <c r="B522" s="20"/>
      <c r="C522" s="21"/>
      <c r="D522" s="21"/>
      <c r="E522" s="21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5.75" customHeight="1" x14ac:dyDescent="0.35">
      <c r="A523" s="3"/>
      <c r="B523" s="20"/>
      <c r="C523" s="21"/>
      <c r="D523" s="21"/>
      <c r="E523" s="21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5.75" customHeight="1" x14ac:dyDescent="0.35">
      <c r="A524" s="3"/>
      <c r="B524" s="20"/>
      <c r="C524" s="21"/>
      <c r="D524" s="21"/>
      <c r="E524" s="21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5.75" customHeight="1" x14ac:dyDescent="0.35">
      <c r="A525" s="3"/>
      <c r="B525" s="20"/>
      <c r="C525" s="21"/>
      <c r="D525" s="21"/>
      <c r="E525" s="21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5.75" customHeight="1" x14ac:dyDescent="0.35">
      <c r="A526" s="3"/>
      <c r="B526" s="20"/>
      <c r="C526" s="21"/>
      <c r="D526" s="21"/>
      <c r="E526" s="21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5.75" customHeight="1" x14ac:dyDescent="0.35">
      <c r="A527" s="3"/>
      <c r="B527" s="20"/>
      <c r="C527" s="21"/>
      <c r="D527" s="21"/>
      <c r="E527" s="21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5.75" customHeight="1" x14ac:dyDescent="0.35">
      <c r="A528" s="3"/>
      <c r="B528" s="20"/>
      <c r="C528" s="21"/>
      <c r="D528" s="21"/>
      <c r="E528" s="21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5.75" customHeight="1" x14ac:dyDescent="0.35">
      <c r="A529" s="3"/>
      <c r="B529" s="20"/>
      <c r="C529" s="21"/>
      <c r="D529" s="21"/>
      <c r="E529" s="21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5.75" customHeight="1" x14ac:dyDescent="0.35">
      <c r="A530" s="3"/>
      <c r="B530" s="20"/>
      <c r="C530" s="21"/>
      <c r="D530" s="21"/>
      <c r="E530" s="21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5.75" customHeight="1" x14ac:dyDescent="0.35">
      <c r="A531" s="3"/>
      <c r="B531" s="20"/>
      <c r="C531" s="21"/>
      <c r="D531" s="21"/>
      <c r="E531" s="21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5.75" customHeight="1" x14ac:dyDescent="0.35">
      <c r="A532" s="3"/>
      <c r="B532" s="20"/>
      <c r="C532" s="21"/>
      <c r="D532" s="21"/>
      <c r="E532" s="21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5.75" customHeight="1" x14ac:dyDescent="0.35">
      <c r="A533" s="3"/>
      <c r="B533" s="20"/>
      <c r="C533" s="21"/>
      <c r="D533" s="21"/>
      <c r="E533" s="21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5.75" customHeight="1" x14ac:dyDescent="0.35">
      <c r="A534" s="3"/>
      <c r="B534" s="20"/>
      <c r="C534" s="21"/>
      <c r="D534" s="21"/>
      <c r="E534" s="21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5.75" customHeight="1" x14ac:dyDescent="0.35">
      <c r="A535" s="3"/>
      <c r="B535" s="20"/>
      <c r="C535" s="21"/>
      <c r="D535" s="21"/>
      <c r="E535" s="21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5.75" customHeight="1" x14ac:dyDescent="0.35">
      <c r="A536" s="3"/>
      <c r="B536" s="20"/>
      <c r="C536" s="21"/>
      <c r="D536" s="21"/>
      <c r="E536" s="21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5.75" customHeight="1" x14ac:dyDescent="0.35">
      <c r="A537" s="3"/>
      <c r="B537" s="20"/>
      <c r="C537" s="21"/>
      <c r="D537" s="21"/>
      <c r="E537" s="21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5.75" customHeight="1" x14ac:dyDescent="0.35">
      <c r="A538" s="3"/>
      <c r="B538" s="20"/>
      <c r="C538" s="21"/>
      <c r="D538" s="21"/>
      <c r="E538" s="21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5.75" customHeight="1" x14ac:dyDescent="0.35">
      <c r="A539" s="3"/>
      <c r="B539" s="20"/>
      <c r="C539" s="21"/>
      <c r="D539" s="21"/>
      <c r="E539" s="21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5.75" customHeight="1" x14ac:dyDescent="0.35">
      <c r="A540" s="3"/>
      <c r="B540" s="20"/>
      <c r="C540" s="21"/>
      <c r="D540" s="21"/>
      <c r="E540" s="21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5.75" customHeight="1" x14ac:dyDescent="0.35">
      <c r="A541" s="3"/>
      <c r="B541" s="20"/>
      <c r="C541" s="21"/>
      <c r="D541" s="21"/>
      <c r="E541" s="21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5.75" customHeight="1" x14ac:dyDescent="0.35">
      <c r="A542" s="3"/>
      <c r="B542" s="20"/>
      <c r="C542" s="21"/>
      <c r="D542" s="21"/>
      <c r="E542" s="21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5.75" customHeight="1" x14ac:dyDescent="0.35">
      <c r="A543" s="3"/>
      <c r="B543" s="20"/>
      <c r="C543" s="21"/>
      <c r="D543" s="21"/>
      <c r="E543" s="21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5.75" customHeight="1" x14ac:dyDescent="0.35">
      <c r="A544" s="3"/>
      <c r="B544" s="20"/>
      <c r="C544" s="21"/>
      <c r="D544" s="21"/>
      <c r="E544" s="21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5.75" customHeight="1" x14ac:dyDescent="0.35">
      <c r="A545" s="3"/>
      <c r="B545" s="20"/>
      <c r="C545" s="21"/>
      <c r="D545" s="21"/>
      <c r="E545" s="21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5.75" customHeight="1" x14ac:dyDescent="0.35">
      <c r="A546" s="3"/>
      <c r="B546" s="20"/>
      <c r="C546" s="21"/>
      <c r="D546" s="21"/>
      <c r="E546" s="21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5.75" customHeight="1" x14ac:dyDescent="0.35">
      <c r="A547" s="3"/>
      <c r="B547" s="20"/>
      <c r="C547" s="21"/>
      <c r="D547" s="21"/>
      <c r="E547" s="21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5.75" customHeight="1" x14ac:dyDescent="0.35">
      <c r="A548" s="3"/>
      <c r="B548" s="20"/>
      <c r="C548" s="21"/>
      <c r="D548" s="21"/>
      <c r="E548" s="21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5.75" customHeight="1" x14ac:dyDescent="0.35">
      <c r="A549" s="3"/>
      <c r="B549" s="20"/>
      <c r="C549" s="21"/>
      <c r="D549" s="21"/>
      <c r="E549" s="21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5.75" customHeight="1" x14ac:dyDescent="0.35">
      <c r="A550" s="3"/>
      <c r="B550" s="20"/>
      <c r="C550" s="21"/>
      <c r="D550" s="21"/>
      <c r="E550" s="21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5.75" customHeight="1" x14ac:dyDescent="0.35">
      <c r="A551" s="3"/>
      <c r="B551" s="20"/>
      <c r="C551" s="21"/>
      <c r="D551" s="21"/>
      <c r="E551" s="21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5.75" customHeight="1" x14ac:dyDescent="0.35">
      <c r="A552" s="3"/>
      <c r="B552" s="20"/>
      <c r="C552" s="21"/>
      <c r="D552" s="21"/>
      <c r="E552" s="21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5.75" customHeight="1" x14ac:dyDescent="0.35">
      <c r="A553" s="3"/>
      <c r="B553" s="20"/>
      <c r="C553" s="21"/>
      <c r="D553" s="21"/>
      <c r="E553" s="21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5.75" customHeight="1" x14ac:dyDescent="0.35">
      <c r="A554" s="3"/>
      <c r="B554" s="20"/>
      <c r="C554" s="21"/>
      <c r="D554" s="21"/>
      <c r="E554" s="21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5.75" customHeight="1" x14ac:dyDescent="0.35">
      <c r="A555" s="3"/>
      <c r="B555" s="20"/>
      <c r="C555" s="21"/>
      <c r="D555" s="21"/>
      <c r="E555" s="21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5.75" customHeight="1" x14ac:dyDescent="0.35">
      <c r="A556" s="3"/>
      <c r="B556" s="20"/>
      <c r="C556" s="21"/>
      <c r="D556" s="21"/>
      <c r="E556" s="21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5.75" customHeight="1" x14ac:dyDescent="0.35">
      <c r="A557" s="3"/>
      <c r="B557" s="20"/>
      <c r="C557" s="21"/>
      <c r="D557" s="21"/>
      <c r="E557" s="21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5.75" customHeight="1" x14ac:dyDescent="0.35">
      <c r="A558" s="3"/>
      <c r="B558" s="20"/>
      <c r="C558" s="21"/>
      <c r="D558" s="21"/>
      <c r="E558" s="21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5.75" customHeight="1" x14ac:dyDescent="0.35">
      <c r="A559" s="3"/>
      <c r="B559" s="20"/>
      <c r="C559" s="21"/>
      <c r="D559" s="21"/>
      <c r="E559" s="21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5.75" customHeight="1" x14ac:dyDescent="0.35">
      <c r="A560" s="3"/>
      <c r="B560" s="20"/>
      <c r="C560" s="21"/>
      <c r="D560" s="21"/>
      <c r="E560" s="21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5.75" customHeight="1" x14ac:dyDescent="0.35">
      <c r="A561" s="3"/>
      <c r="B561" s="20"/>
      <c r="C561" s="21"/>
      <c r="D561" s="21"/>
      <c r="E561" s="21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5.75" customHeight="1" x14ac:dyDescent="0.35">
      <c r="A562" s="3"/>
      <c r="B562" s="20"/>
      <c r="C562" s="21"/>
      <c r="D562" s="21"/>
      <c r="E562" s="21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5.75" customHeight="1" x14ac:dyDescent="0.35">
      <c r="A563" s="3"/>
      <c r="B563" s="20"/>
      <c r="C563" s="21"/>
      <c r="D563" s="21"/>
      <c r="E563" s="21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5.75" customHeight="1" x14ac:dyDescent="0.35">
      <c r="A564" s="3"/>
      <c r="B564" s="20"/>
      <c r="C564" s="21"/>
      <c r="D564" s="21"/>
      <c r="E564" s="21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5.75" customHeight="1" x14ac:dyDescent="0.35">
      <c r="A565" s="3"/>
      <c r="B565" s="20"/>
      <c r="C565" s="21"/>
      <c r="D565" s="21"/>
      <c r="E565" s="21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5.75" customHeight="1" x14ac:dyDescent="0.35">
      <c r="A566" s="3"/>
      <c r="B566" s="20"/>
      <c r="C566" s="21"/>
      <c r="D566" s="21"/>
      <c r="E566" s="21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5.75" customHeight="1" x14ac:dyDescent="0.35">
      <c r="A567" s="3"/>
      <c r="B567" s="20"/>
      <c r="C567" s="21"/>
      <c r="D567" s="21"/>
      <c r="E567" s="21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5.75" customHeight="1" x14ac:dyDescent="0.35">
      <c r="A568" s="3"/>
      <c r="B568" s="20"/>
      <c r="C568" s="21"/>
      <c r="D568" s="21"/>
      <c r="E568" s="21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5.75" customHeight="1" x14ac:dyDescent="0.35">
      <c r="A569" s="3"/>
      <c r="B569" s="20"/>
      <c r="C569" s="21"/>
      <c r="D569" s="21"/>
      <c r="E569" s="21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5.75" customHeight="1" x14ac:dyDescent="0.35">
      <c r="A570" s="3"/>
      <c r="B570" s="20"/>
      <c r="C570" s="21"/>
      <c r="D570" s="21"/>
      <c r="E570" s="21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5.75" customHeight="1" x14ac:dyDescent="0.35">
      <c r="A571" s="3"/>
      <c r="B571" s="20"/>
      <c r="C571" s="21"/>
      <c r="D571" s="21"/>
      <c r="E571" s="21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5.75" customHeight="1" x14ac:dyDescent="0.35">
      <c r="A572" s="3"/>
      <c r="B572" s="20"/>
      <c r="C572" s="21"/>
      <c r="D572" s="21"/>
      <c r="E572" s="21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5.75" customHeight="1" x14ac:dyDescent="0.35">
      <c r="A573" s="3"/>
      <c r="B573" s="20"/>
      <c r="C573" s="21"/>
      <c r="D573" s="21"/>
      <c r="E573" s="21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5.75" customHeight="1" x14ac:dyDescent="0.35">
      <c r="A574" s="3"/>
      <c r="B574" s="20"/>
      <c r="C574" s="21"/>
      <c r="D574" s="21"/>
      <c r="E574" s="21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5.75" customHeight="1" x14ac:dyDescent="0.35">
      <c r="A575" s="3"/>
      <c r="B575" s="20"/>
      <c r="C575" s="21"/>
      <c r="D575" s="21"/>
      <c r="E575" s="21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5.75" customHeight="1" x14ac:dyDescent="0.35">
      <c r="A576" s="3"/>
      <c r="B576" s="20"/>
      <c r="C576" s="21"/>
      <c r="D576" s="21"/>
      <c r="E576" s="21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5.75" customHeight="1" x14ac:dyDescent="0.35">
      <c r="A577" s="3"/>
      <c r="B577" s="20"/>
      <c r="C577" s="21"/>
      <c r="D577" s="21"/>
      <c r="E577" s="21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5.75" customHeight="1" x14ac:dyDescent="0.35">
      <c r="A578" s="3"/>
      <c r="B578" s="20"/>
      <c r="C578" s="21"/>
      <c r="D578" s="21"/>
      <c r="E578" s="21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5.75" customHeight="1" x14ac:dyDescent="0.35">
      <c r="A579" s="3"/>
      <c r="B579" s="20"/>
      <c r="C579" s="21"/>
      <c r="D579" s="21"/>
      <c r="E579" s="21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5.75" customHeight="1" x14ac:dyDescent="0.35">
      <c r="A580" s="3"/>
      <c r="B580" s="20"/>
      <c r="C580" s="21"/>
      <c r="D580" s="21"/>
      <c r="E580" s="21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5.75" customHeight="1" x14ac:dyDescent="0.35">
      <c r="A581" s="3"/>
      <c r="B581" s="20"/>
      <c r="C581" s="21"/>
      <c r="D581" s="21"/>
      <c r="E581" s="21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5.75" customHeight="1" x14ac:dyDescent="0.35">
      <c r="A582" s="3"/>
      <c r="B582" s="20"/>
      <c r="C582" s="21"/>
      <c r="D582" s="21"/>
      <c r="E582" s="21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5.75" customHeight="1" x14ac:dyDescent="0.35">
      <c r="A583" s="3"/>
      <c r="B583" s="20"/>
      <c r="C583" s="21"/>
      <c r="D583" s="21"/>
      <c r="E583" s="21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5.75" customHeight="1" x14ac:dyDescent="0.35">
      <c r="A584" s="3"/>
      <c r="B584" s="20"/>
      <c r="C584" s="21"/>
      <c r="D584" s="21"/>
      <c r="E584" s="21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5.75" customHeight="1" x14ac:dyDescent="0.35">
      <c r="A585" s="3"/>
      <c r="B585" s="20"/>
      <c r="C585" s="21"/>
      <c r="D585" s="21"/>
      <c r="E585" s="21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5.75" customHeight="1" x14ac:dyDescent="0.35">
      <c r="A586" s="3"/>
      <c r="B586" s="20"/>
      <c r="C586" s="21"/>
      <c r="D586" s="21"/>
      <c r="E586" s="21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5.75" customHeight="1" x14ac:dyDescent="0.35">
      <c r="A587" s="3"/>
      <c r="B587" s="20"/>
      <c r="C587" s="21"/>
      <c r="D587" s="21"/>
      <c r="E587" s="21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5.75" customHeight="1" x14ac:dyDescent="0.35">
      <c r="A588" s="3"/>
      <c r="B588" s="20"/>
      <c r="C588" s="21"/>
      <c r="D588" s="21"/>
      <c r="E588" s="21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5.75" customHeight="1" x14ac:dyDescent="0.35">
      <c r="A589" s="3"/>
      <c r="B589" s="20"/>
      <c r="C589" s="21"/>
      <c r="D589" s="21"/>
      <c r="E589" s="21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5.75" customHeight="1" x14ac:dyDescent="0.35">
      <c r="A590" s="3"/>
      <c r="B590" s="20"/>
      <c r="C590" s="21"/>
      <c r="D590" s="21"/>
      <c r="E590" s="21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5.75" customHeight="1" x14ac:dyDescent="0.35">
      <c r="A591" s="3"/>
      <c r="B591" s="20"/>
      <c r="C591" s="21"/>
      <c r="D591" s="21"/>
      <c r="E591" s="21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5.75" customHeight="1" x14ac:dyDescent="0.35">
      <c r="A592" s="3"/>
      <c r="B592" s="20"/>
      <c r="C592" s="21"/>
      <c r="D592" s="21"/>
      <c r="E592" s="21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5.75" customHeight="1" x14ac:dyDescent="0.35">
      <c r="A593" s="3"/>
      <c r="B593" s="20"/>
      <c r="C593" s="21"/>
      <c r="D593" s="21"/>
      <c r="E593" s="21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5.75" customHeight="1" x14ac:dyDescent="0.35">
      <c r="A594" s="3"/>
      <c r="B594" s="20"/>
      <c r="C594" s="21"/>
      <c r="D594" s="21"/>
      <c r="E594" s="21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5.75" customHeight="1" x14ac:dyDescent="0.35">
      <c r="A595" s="3"/>
      <c r="B595" s="20"/>
      <c r="C595" s="21"/>
      <c r="D595" s="21"/>
      <c r="E595" s="21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5.75" customHeight="1" x14ac:dyDescent="0.35">
      <c r="A596" s="3"/>
      <c r="B596" s="20"/>
      <c r="C596" s="21"/>
      <c r="D596" s="21"/>
      <c r="E596" s="21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5.75" customHeight="1" x14ac:dyDescent="0.35">
      <c r="A597" s="3"/>
      <c r="B597" s="20"/>
      <c r="C597" s="21"/>
      <c r="D597" s="21"/>
      <c r="E597" s="21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5.75" customHeight="1" x14ac:dyDescent="0.35">
      <c r="A598" s="3"/>
      <c r="B598" s="20"/>
      <c r="C598" s="21"/>
      <c r="D598" s="21"/>
      <c r="E598" s="21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5.75" customHeight="1" x14ac:dyDescent="0.35">
      <c r="A599" s="3"/>
      <c r="B599" s="20"/>
      <c r="C599" s="21"/>
      <c r="D599" s="21"/>
      <c r="E599" s="21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5.75" customHeight="1" x14ac:dyDescent="0.35">
      <c r="A600" s="3"/>
      <c r="B600" s="20"/>
      <c r="C600" s="21"/>
      <c r="D600" s="21"/>
      <c r="E600" s="21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5.75" customHeight="1" x14ac:dyDescent="0.35">
      <c r="A601" s="3"/>
      <c r="B601" s="20"/>
      <c r="C601" s="21"/>
      <c r="D601" s="21"/>
      <c r="E601" s="21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5.75" customHeight="1" x14ac:dyDescent="0.35">
      <c r="A602" s="3"/>
      <c r="B602" s="20"/>
      <c r="C602" s="21"/>
      <c r="D602" s="21"/>
      <c r="E602" s="21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5.75" customHeight="1" x14ac:dyDescent="0.35">
      <c r="A603" s="3"/>
      <c r="B603" s="20"/>
      <c r="C603" s="21"/>
      <c r="D603" s="21"/>
      <c r="E603" s="21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5.75" customHeight="1" x14ac:dyDescent="0.35">
      <c r="A604" s="3"/>
      <c r="B604" s="20"/>
      <c r="C604" s="21"/>
      <c r="D604" s="21"/>
      <c r="E604" s="21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5.75" customHeight="1" x14ac:dyDescent="0.35">
      <c r="A605" s="3"/>
      <c r="B605" s="20"/>
      <c r="C605" s="21"/>
      <c r="D605" s="21"/>
      <c r="E605" s="21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5.75" customHeight="1" x14ac:dyDescent="0.35">
      <c r="A606" s="3"/>
      <c r="B606" s="20"/>
      <c r="C606" s="21"/>
      <c r="D606" s="21"/>
      <c r="E606" s="21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5.75" customHeight="1" x14ac:dyDescent="0.35">
      <c r="A607" s="3"/>
      <c r="B607" s="20"/>
      <c r="C607" s="21"/>
      <c r="D607" s="21"/>
      <c r="E607" s="21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5.75" customHeight="1" x14ac:dyDescent="0.35">
      <c r="A608" s="3"/>
      <c r="B608" s="20"/>
      <c r="C608" s="21"/>
      <c r="D608" s="21"/>
      <c r="E608" s="21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5.75" customHeight="1" x14ac:dyDescent="0.35">
      <c r="A609" s="3"/>
      <c r="B609" s="20"/>
      <c r="C609" s="21"/>
      <c r="D609" s="21"/>
      <c r="E609" s="21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5.75" customHeight="1" x14ac:dyDescent="0.35">
      <c r="A610" s="3"/>
      <c r="B610" s="20"/>
      <c r="C610" s="21"/>
      <c r="D610" s="21"/>
      <c r="E610" s="21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5.75" customHeight="1" x14ac:dyDescent="0.35">
      <c r="A611" s="3"/>
      <c r="B611" s="20"/>
      <c r="C611" s="21"/>
      <c r="D611" s="21"/>
      <c r="E611" s="21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5.75" customHeight="1" x14ac:dyDescent="0.35">
      <c r="A612" s="3"/>
      <c r="B612" s="20"/>
      <c r="C612" s="21"/>
      <c r="D612" s="21"/>
      <c r="E612" s="21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5.75" customHeight="1" x14ac:dyDescent="0.35">
      <c r="A613" s="3"/>
      <c r="B613" s="20"/>
      <c r="C613" s="21"/>
      <c r="D613" s="21"/>
      <c r="E613" s="21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5.75" customHeight="1" x14ac:dyDescent="0.35">
      <c r="A614" s="3"/>
      <c r="B614" s="20"/>
      <c r="C614" s="21"/>
      <c r="D614" s="21"/>
      <c r="E614" s="21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5.75" customHeight="1" x14ac:dyDescent="0.35">
      <c r="A615" s="3"/>
      <c r="B615" s="20"/>
      <c r="C615" s="21"/>
      <c r="D615" s="21"/>
      <c r="E615" s="21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5.75" customHeight="1" x14ac:dyDescent="0.35">
      <c r="A616" s="3"/>
      <c r="B616" s="20"/>
      <c r="C616" s="21"/>
      <c r="D616" s="21"/>
      <c r="E616" s="21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5.75" customHeight="1" x14ac:dyDescent="0.35">
      <c r="A617" s="3"/>
      <c r="B617" s="20"/>
      <c r="C617" s="21"/>
      <c r="D617" s="21"/>
      <c r="E617" s="21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5.75" customHeight="1" x14ac:dyDescent="0.35">
      <c r="A618" s="3"/>
      <c r="B618" s="20"/>
      <c r="C618" s="21"/>
      <c r="D618" s="21"/>
      <c r="E618" s="21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5.75" customHeight="1" x14ac:dyDescent="0.35">
      <c r="A619" s="3"/>
      <c r="B619" s="20"/>
      <c r="C619" s="21"/>
      <c r="D619" s="21"/>
      <c r="E619" s="21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5.75" customHeight="1" x14ac:dyDescent="0.35">
      <c r="A620" s="3"/>
      <c r="B620" s="20"/>
      <c r="C620" s="21"/>
      <c r="D620" s="21"/>
      <c r="E620" s="21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5.75" customHeight="1" x14ac:dyDescent="0.35">
      <c r="A621" s="3"/>
      <c r="B621" s="20"/>
      <c r="C621" s="21"/>
      <c r="D621" s="21"/>
      <c r="E621" s="21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5.75" customHeight="1" x14ac:dyDescent="0.35">
      <c r="A622" s="3"/>
      <c r="B622" s="20"/>
      <c r="C622" s="21"/>
      <c r="D622" s="21"/>
      <c r="E622" s="21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5.75" customHeight="1" x14ac:dyDescent="0.35">
      <c r="A623" s="3"/>
      <c r="B623" s="20"/>
      <c r="C623" s="21"/>
      <c r="D623" s="21"/>
      <c r="E623" s="21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5.75" customHeight="1" x14ac:dyDescent="0.35">
      <c r="A624" s="3"/>
      <c r="B624" s="20"/>
      <c r="C624" s="21"/>
      <c r="D624" s="21"/>
      <c r="E624" s="21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5.75" customHeight="1" x14ac:dyDescent="0.35">
      <c r="A625" s="3"/>
      <c r="B625" s="20"/>
      <c r="C625" s="21"/>
      <c r="D625" s="21"/>
      <c r="E625" s="21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5.75" customHeight="1" x14ac:dyDescent="0.35">
      <c r="A626" s="3"/>
      <c r="B626" s="20"/>
      <c r="C626" s="21"/>
      <c r="D626" s="21"/>
      <c r="E626" s="21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5.75" customHeight="1" x14ac:dyDescent="0.35">
      <c r="A627" s="3"/>
      <c r="B627" s="20"/>
      <c r="C627" s="21"/>
      <c r="D627" s="21"/>
      <c r="E627" s="21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5.75" customHeight="1" x14ac:dyDescent="0.35">
      <c r="A628" s="3"/>
      <c r="B628" s="20"/>
      <c r="C628" s="21"/>
      <c r="D628" s="21"/>
      <c r="E628" s="21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5.75" customHeight="1" x14ac:dyDescent="0.35">
      <c r="A629" s="3"/>
      <c r="B629" s="20"/>
      <c r="C629" s="21"/>
      <c r="D629" s="21"/>
      <c r="E629" s="21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5.75" customHeight="1" x14ac:dyDescent="0.35">
      <c r="A630" s="3"/>
      <c r="B630" s="20"/>
      <c r="C630" s="21"/>
      <c r="D630" s="21"/>
      <c r="E630" s="21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5.75" customHeight="1" x14ac:dyDescent="0.35">
      <c r="A631" s="3"/>
      <c r="B631" s="20"/>
      <c r="C631" s="21"/>
      <c r="D631" s="21"/>
      <c r="E631" s="21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5.75" customHeight="1" x14ac:dyDescent="0.35">
      <c r="A632" s="3"/>
      <c r="B632" s="20"/>
      <c r="C632" s="21"/>
      <c r="D632" s="21"/>
      <c r="E632" s="21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5.75" customHeight="1" x14ac:dyDescent="0.35">
      <c r="A633" s="3"/>
      <c r="B633" s="20"/>
      <c r="C633" s="21"/>
      <c r="D633" s="21"/>
      <c r="E633" s="21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5.75" customHeight="1" x14ac:dyDescent="0.35">
      <c r="A634" s="3"/>
      <c r="B634" s="20"/>
      <c r="C634" s="21"/>
      <c r="D634" s="21"/>
      <c r="E634" s="21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5.75" customHeight="1" x14ac:dyDescent="0.35">
      <c r="A635" s="3"/>
      <c r="B635" s="20"/>
      <c r="C635" s="21"/>
      <c r="D635" s="21"/>
      <c r="E635" s="21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5.75" customHeight="1" x14ac:dyDescent="0.35">
      <c r="A636" s="3"/>
      <c r="B636" s="20"/>
      <c r="C636" s="21"/>
      <c r="D636" s="21"/>
      <c r="E636" s="21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5.75" customHeight="1" x14ac:dyDescent="0.35">
      <c r="A637" s="3"/>
      <c r="B637" s="20"/>
      <c r="C637" s="21"/>
      <c r="D637" s="21"/>
      <c r="E637" s="21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5.75" customHeight="1" x14ac:dyDescent="0.35">
      <c r="A638" s="3"/>
      <c r="B638" s="20"/>
      <c r="C638" s="21"/>
      <c r="D638" s="21"/>
      <c r="E638" s="21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5.75" customHeight="1" x14ac:dyDescent="0.35">
      <c r="A639" s="3"/>
      <c r="B639" s="20"/>
      <c r="C639" s="21"/>
      <c r="D639" s="21"/>
      <c r="E639" s="21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5.75" customHeight="1" x14ac:dyDescent="0.35">
      <c r="A640" s="3"/>
      <c r="B640" s="20"/>
      <c r="C640" s="21"/>
      <c r="D640" s="21"/>
      <c r="E640" s="21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5.75" customHeight="1" x14ac:dyDescent="0.35">
      <c r="A641" s="3"/>
      <c r="B641" s="20"/>
      <c r="C641" s="21"/>
      <c r="D641" s="21"/>
      <c r="E641" s="21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5.75" customHeight="1" x14ac:dyDescent="0.35">
      <c r="A642" s="3"/>
      <c r="B642" s="20"/>
      <c r="C642" s="21"/>
      <c r="D642" s="21"/>
      <c r="E642" s="21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5.75" customHeight="1" x14ac:dyDescent="0.35">
      <c r="A643" s="3"/>
      <c r="B643" s="20"/>
      <c r="C643" s="21"/>
      <c r="D643" s="21"/>
      <c r="E643" s="21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5.75" customHeight="1" x14ac:dyDescent="0.35">
      <c r="A644" s="3"/>
      <c r="B644" s="20"/>
      <c r="C644" s="21"/>
      <c r="D644" s="21"/>
      <c r="E644" s="21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5.75" customHeight="1" x14ac:dyDescent="0.35">
      <c r="A645" s="3"/>
      <c r="B645" s="20"/>
      <c r="C645" s="21"/>
      <c r="D645" s="21"/>
      <c r="E645" s="21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5.75" customHeight="1" x14ac:dyDescent="0.35">
      <c r="A646" s="3"/>
      <c r="B646" s="20"/>
      <c r="C646" s="21"/>
      <c r="D646" s="21"/>
      <c r="E646" s="21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5.75" customHeight="1" x14ac:dyDescent="0.35">
      <c r="A647" s="3"/>
      <c r="B647" s="20"/>
      <c r="C647" s="21"/>
      <c r="D647" s="21"/>
      <c r="E647" s="21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5.75" customHeight="1" x14ac:dyDescent="0.35">
      <c r="A648" s="3"/>
      <c r="B648" s="20"/>
      <c r="C648" s="21"/>
      <c r="D648" s="21"/>
      <c r="E648" s="21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5.75" customHeight="1" x14ac:dyDescent="0.35">
      <c r="A649" s="3"/>
      <c r="B649" s="20"/>
      <c r="C649" s="21"/>
      <c r="D649" s="21"/>
      <c r="E649" s="21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5.75" customHeight="1" x14ac:dyDescent="0.35">
      <c r="A650" s="3"/>
      <c r="B650" s="20"/>
      <c r="C650" s="21"/>
      <c r="D650" s="21"/>
      <c r="E650" s="21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5.75" customHeight="1" x14ac:dyDescent="0.35">
      <c r="A651" s="3"/>
      <c r="B651" s="20"/>
      <c r="C651" s="21"/>
      <c r="D651" s="21"/>
      <c r="E651" s="21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5.75" customHeight="1" x14ac:dyDescent="0.35">
      <c r="A652" s="3"/>
      <c r="B652" s="20"/>
      <c r="C652" s="21"/>
      <c r="D652" s="21"/>
      <c r="E652" s="21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5.75" customHeight="1" x14ac:dyDescent="0.35">
      <c r="A653" s="3"/>
      <c r="B653" s="20"/>
      <c r="C653" s="21"/>
      <c r="D653" s="21"/>
      <c r="E653" s="21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5.75" customHeight="1" x14ac:dyDescent="0.35">
      <c r="A654" s="3"/>
      <c r="B654" s="20"/>
      <c r="C654" s="21"/>
      <c r="D654" s="21"/>
      <c r="E654" s="21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5.75" customHeight="1" x14ac:dyDescent="0.35">
      <c r="A655" s="3"/>
      <c r="B655" s="20"/>
      <c r="C655" s="21"/>
      <c r="D655" s="21"/>
      <c r="E655" s="21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5.75" customHeight="1" x14ac:dyDescent="0.35">
      <c r="A656" s="3"/>
      <c r="B656" s="20"/>
      <c r="C656" s="21"/>
      <c r="D656" s="21"/>
      <c r="E656" s="21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5.75" customHeight="1" x14ac:dyDescent="0.35">
      <c r="A657" s="3"/>
      <c r="B657" s="20"/>
      <c r="C657" s="21"/>
      <c r="D657" s="21"/>
      <c r="E657" s="21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5.75" customHeight="1" x14ac:dyDescent="0.35">
      <c r="A658" s="3"/>
      <c r="B658" s="20"/>
      <c r="C658" s="21"/>
      <c r="D658" s="21"/>
      <c r="E658" s="21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5.75" customHeight="1" x14ac:dyDescent="0.35">
      <c r="A659" s="3"/>
      <c r="B659" s="20"/>
      <c r="C659" s="21"/>
      <c r="D659" s="21"/>
      <c r="E659" s="21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5.75" customHeight="1" x14ac:dyDescent="0.35">
      <c r="A660" s="3"/>
      <c r="B660" s="20"/>
      <c r="C660" s="21"/>
      <c r="D660" s="21"/>
      <c r="E660" s="21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5.75" customHeight="1" x14ac:dyDescent="0.35">
      <c r="A661" s="3"/>
      <c r="B661" s="20"/>
      <c r="C661" s="21"/>
      <c r="D661" s="21"/>
      <c r="E661" s="21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5.75" customHeight="1" x14ac:dyDescent="0.35">
      <c r="A662" s="3"/>
      <c r="B662" s="20"/>
      <c r="C662" s="21"/>
      <c r="D662" s="21"/>
      <c r="E662" s="21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5.75" customHeight="1" x14ac:dyDescent="0.35">
      <c r="A663" s="3"/>
      <c r="B663" s="20"/>
      <c r="C663" s="21"/>
      <c r="D663" s="21"/>
      <c r="E663" s="21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5.75" customHeight="1" x14ac:dyDescent="0.35">
      <c r="A664" s="3"/>
      <c r="B664" s="20"/>
      <c r="C664" s="21"/>
      <c r="D664" s="21"/>
      <c r="E664" s="21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5.75" customHeight="1" x14ac:dyDescent="0.35">
      <c r="A665" s="3"/>
      <c r="B665" s="20"/>
      <c r="C665" s="21"/>
      <c r="D665" s="21"/>
      <c r="E665" s="21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5.75" customHeight="1" x14ac:dyDescent="0.35">
      <c r="A666" s="3"/>
      <c r="B666" s="20"/>
      <c r="C666" s="21"/>
      <c r="D666" s="21"/>
      <c r="E666" s="21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5.75" customHeight="1" x14ac:dyDescent="0.35">
      <c r="A667" s="3"/>
      <c r="B667" s="20"/>
      <c r="C667" s="21"/>
      <c r="D667" s="21"/>
      <c r="E667" s="21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5.75" customHeight="1" x14ac:dyDescent="0.35">
      <c r="A668" s="3"/>
      <c r="B668" s="20"/>
      <c r="C668" s="21"/>
      <c r="D668" s="21"/>
      <c r="E668" s="21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5.75" customHeight="1" x14ac:dyDescent="0.35">
      <c r="A669" s="3"/>
      <c r="B669" s="20"/>
      <c r="C669" s="21"/>
      <c r="D669" s="21"/>
      <c r="E669" s="21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5.75" customHeight="1" x14ac:dyDescent="0.35">
      <c r="A670" s="3"/>
      <c r="B670" s="20"/>
      <c r="C670" s="21"/>
      <c r="D670" s="21"/>
      <c r="E670" s="21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5.75" customHeight="1" x14ac:dyDescent="0.35">
      <c r="A671" s="3"/>
      <c r="B671" s="20"/>
      <c r="C671" s="21"/>
      <c r="D671" s="21"/>
      <c r="E671" s="21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5.75" customHeight="1" x14ac:dyDescent="0.35">
      <c r="A672" s="3"/>
      <c r="B672" s="20"/>
      <c r="C672" s="21"/>
      <c r="D672" s="21"/>
      <c r="E672" s="21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5.75" customHeight="1" x14ac:dyDescent="0.35">
      <c r="A673" s="3"/>
      <c r="B673" s="20"/>
      <c r="C673" s="21"/>
      <c r="D673" s="21"/>
      <c r="E673" s="21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5.75" customHeight="1" x14ac:dyDescent="0.35">
      <c r="A674" s="3"/>
      <c r="B674" s="20"/>
      <c r="C674" s="21"/>
      <c r="D674" s="21"/>
      <c r="E674" s="21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5.75" customHeight="1" x14ac:dyDescent="0.35">
      <c r="A675" s="3"/>
      <c r="B675" s="20"/>
      <c r="C675" s="21"/>
      <c r="D675" s="21"/>
      <c r="E675" s="21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5.75" customHeight="1" x14ac:dyDescent="0.35">
      <c r="A676" s="3"/>
      <c r="B676" s="20"/>
      <c r="C676" s="21"/>
      <c r="D676" s="21"/>
      <c r="E676" s="21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5.75" customHeight="1" x14ac:dyDescent="0.35">
      <c r="A677" s="3"/>
      <c r="B677" s="20"/>
      <c r="C677" s="21"/>
      <c r="D677" s="21"/>
      <c r="E677" s="21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5.75" customHeight="1" x14ac:dyDescent="0.35">
      <c r="A678" s="3"/>
      <c r="B678" s="20"/>
      <c r="C678" s="21"/>
      <c r="D678" s="21"/>
      <c r="E678" s="21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5.75" customHeight="1" x14ac:dyDescent="0.35">
      <c r="A679" s="3"/>
      <c r="B679" s="20"/>
      <c r="C679" s="21"/>
      <c r="D679" s="21"/>
      <c r="E679" s="21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5.75" customHeight="1" x14ac:dyDescent="0.35">
      <c r="A680" s="3"/>
      <c r="B680" s="20"/>
      <c r="C680" s="21"/>
      <c r="D680" s="21"/>
      <c r="E680" s="21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5.75" customHeight="1" x14ac:dyDescent="0.35">
      <c r="A681" s="3"/>
      <c r="B681" s="20"/>
      <c r="C681" s="21"/>
      <c r="D681" s="21"/>
      <c r="E681" s="21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5.75" customHeight="1" x14ac:dyDescent="0.35">
      <c r="A682" s="3"/>
      <c r="B682" s="20"/>
      <c r="C682" s="21"/>
      <c r="D682" s="21"/>
      <c r="E682" s="21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5.75" customHeight="1" x14ac:dyDescent="0.35">
      <c r="A683" s="3"/>
      <c r="B683" s="20"/>
      <c r="C683" s="21"/>
      <c r="D683" s="21"/>
      <c r="E683" s="21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5.75" customHeight="1" x14ac:dyDescent="0.35">
      <c r="A684" s="3"/>
      <c r="B684" s="20"/>
      <c r="C684" s="21"/>
      <c r="D684" s="21"/>
      <c r="E684" s="21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5.75" customHeight="1" x14ac:dyDescent="0.35">
      <c r="A685" s="3"/>
      <c r="B685" s="20"/>
      <c r="C685" s="21"/>
      <c r="D685" s="21"/>
      <c r="E685" s="21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5.75" customHeight="1" x14ac:dyDescent="0.35">
      <c r="A686" s="3"/>
      <c r="B686" s="20"/>
      <c r="C686" s="21"/>
      <c r="D686" s="21"/>
      <c r="E686" s="21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5.75" customHeight="1" x14ac:dyDescent="0.35">
      <c r="A687" s="3"/>
      <c r="B687" s="20"/>
      <c r="C687" s="21"/>
      <c r="D687" s="21"/>
      <c r="E687" s="21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5.75" customHeight="1" x14ac:dyDescent="0.35">
      <c r="A688" s="3"/>
      <c r="B688" s="20"/>
      <c r="C688" s="21"/>
      <c r="D688" s="21"/>
      <c r="E688" s="21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5.75" customHeight="1" x14ac:dyDescent="0.35">
      <c r="A689" s="3"/>
      <c r="B689" s="20"/>
      <c r="C689" s="21"/>
      <c r="D689" s="21"/>
      <c r="E689" s="21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5.75" customHeight="1" x14ac:dyDescent="0.35">
      <c r="A690" s="3"/>
      <c r="B690" s="20"/>
      <c r="C690" s="21"/>
      <c r="D690" s="21"/>
      <c r="E690" s="21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5.75" customHeight="1" x14ac:dyDescent="0.35">
      <c r="A691" s="3"/>
      <c r="B691" s="20"/>
      <c r="C691" s="21"/>
      <c r="D691" s="21"/>
      <c r="E691" s="21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5.75" customHeight="1" x14ac:dyDescent="0.35">
      <c r="A692" s="3"/>
      <c r="B692" s="20"/>
      <c r="C692" s="21"/>
      <c r="D692" s="21"/>
      <c r="E692" s="21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5.75" customHeight="1" x14ac:dyDescent="0.35">
      <c r="A693" s="3"/>
      <c r="B693" s="20"/>
      <c r="C693" s="21"/>
      <c r="D693" s="21"/>
      <c r="E693" s="21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5.75" customHeight="1" x14ac:dyDescent="0.35">
      <c r="A694" s="3"/>
      <c r="B694" s="20"/>
      <c r="C694" s="21"/>
      <c r="D694" s="21"/>
      <c r="E694" s="21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5.75" customHeight="1" x14ac:dyDescent="0.35">
      <c r="A695" s="3"/>
      <c r="B695" s="20"/>
      <c r="C695" s="21"/>
      <c r="D695" s="21"/>
      <c r="E695" s="21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5.75" customHeight="1" x14ac:dyDescent="0.35">
      <c r="A696" s="3"/>
      <c r="B696" s="20"/>
      <c r="C696" s="21"/>
      <c r="D696" s="21"/>
      <c r="E696" s="21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5.75" customHeight="1" x14ac:dyDescent="0.35">
      <c r="A697" s="3"/>
      <c r="B697" s="20"/>
      <c r="C697" s="21"/>
      <c r="D697" s="21"/>
      <c r="E697" s="21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5.75" customHeight="1" x14ac:dyDescent="0.35">
      <c r="A698" s="3"/>
      <c r="B698" s="20"/>
      <c r="C698" s="21"/>
      <c r="D698" s="21"/>
      <c r="E698" s="21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5.75" customHeight="1" x14ac:dyDescent="0.35">
      <c r="A699" s="3"/>
      <c r="B699" s="20"/>
      <c r="C699" s="21"/>
      <c r="D699" s="21"/>
      <c r="E699" s="21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5.75" customHeight="1" x14ac:dyDescent="0.35">
      <c r="A700" s="3"/>
      <c r="B700" s="20"/>
      <c r="C700" s="21"/>
      <c r="D700" s="21"/>
      <c r="E700" s="21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5.75" customHeight="1" x14ac:dyDescent="0.35">
      <c r="A701" s="3"/>
      <c r="B701" s="20"/>
      <c r="C701" s="21"/>
      <c r="D701" s="21"/>
      <c r="E701" s="21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5.75" customHeight="1" x14ac:dyDescent="0.35">
      <c r="A702" s="3"/>
      <c r="B702" s="20"/>
      <c r="C702" s="21"/>
      <c r="D702" s="21"/>
      <c r="E702" s="21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5.75" customHeight="1" x14ac:dyDescent="0.35">
      <c r="A703" s="3"/>
      <c r="B703" s="20"/>
      <c r="C703" s="21"/>
      <c r="D703" s="21"/>
      <c r="E703" s="21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5.75" customHeight="1" x14ac:dyDescent="0.35">
      <c r="A704" s="3"/>
      <c r="B704" s="20"/>
      <c r="C704" s="21"/>
      <c r="D704" s="21"/>
      <c r="E704" s="21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5.75" customHeight="1" x14ac:dyDescent="0.35">
      <c r="A705" s="3"/>
      <c r="B705" s="20"/>
      <c r="C705" s="21"/>
      <c r="D705" s="21"/>
      <c r="E705" s="21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5.75" customHeight="1" x14ac:dyDescent="0.35">
      <c r="A706" s="3"/>
      <c r="B706" s="20"/>
      <c r="C706" s="21"/>
      <c r="D706" s="21"/>
      <c r="E706" s="21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5.75" customHeight="1" x14ac:dyDescent="0.35">
      <c r="A707" s="3"/>
      <c r="B707" s="20"/>
      <c r="C707" s="21"/>
      <c r="D707" s="21"/>
      <c r="E707" s="21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5.75" customHeight="1" x14ac:dyDescent="0.35">
      <c r="A708" s="3"/>
      <c r="B708" s="20"/>
      <c r="C708" s="21"/>
      <c r="D708" s="21"/>
      <c r="E708" s="21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5.75" customHeight="1" x14ac:dyDescent="0.35">
      <c r="A709" s="3"/>
      <c r="B709" s="20"/>
      <c r="C709" s="21"/>
      <c r="D709" s="21"/>
      <c r="E709" s="21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5.75" customHeight="1" x14ac:dyDescent="0.35">
      <c r="A710" s="3"/>
      <c r="B710" s="20"/>
      <c r="C710" s="21"/>
      <c r="D710" s="21"/>
      <c r="E710" s="21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5.75" customHeight="1" x14ac:dyDescent="0.35">
      <c r="A711" s="3"/>
      <c r="B711" s="20"/>
      <c r="C711" s="21"/>
      <c r="D711" s="21"/>
      <c r="E711" s="21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5.75" customHeight="1" x14ac:dyDescent="0.35">
      <c r="A712" s="3"/>
      <c r="B712" s="20"/>
      <c r="C712" s="21"/>
      <c r="D712" s="21"/>
      <c r="E712" s="21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5.75" customHeight="1" x14ac:dyDescent="0.35">
      <c r="A713" s="3"/>
      <c r="B713" s="20"/>
      <c r="C713" s="21"/>
      <c r="D713" s="21"/>
      <c r="E713" s="21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5.75" customHeight="1" x14ac:dyDescent="0.35">
      <c r="A714" s="3"/>
      <c r="B714" s="20"/>
      <c r="C714" s="21"/>
      <c r="D714" s="21"/>
      <c r="E714" s="21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5.75" customHeight="1" x14ac:dyDescent="0.35">
      <c r="A715" s="3"/>
      <c r="B715" s="20"/>
      <c r="C715" s="21"/>
      <c r="D715" s="21"/>
      <c r="E715" s="21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5.75" customHeight="1" x14ac:dyDescent="0.35">
      <c r="A716" s="3"/>
      <c r="B716" s="20"/>
      <c r="C716" s="21"/>
      <c r="D716" s="21"/>
      <c r="E716" s="21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5.75" customHeight="1" x14ac:dyDescent="0.35">
      <c r="A717" s="3"/>
      <c r="B717" s="20"/>
      <c r="C717" s="21"/>
      <c r="D717" s="21"/>
      <c r="E717" s="21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5.75" customHeight="1" x14ac:dyDescent="0.35">
      <c r="A718" s="3"/>
      <c r="B718" s="20"/>
      <c r="C718" s="21"/>
      <c r="D718" s="21"/>
      <c r="E718" s="21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5.75" customHeight="1" x14ac:dyDescent="0.35">
      <c r="A719" s="3"/>
      <c r="B719" s="20"/>
      <c r="C719" s="21"/>
      <c r="D719" s="21"/>
      <c r="E719" s="21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5.75" customHeight="1" x14ac:dyDescent="0.35">
      <c r="A720" s="3"/>
      <c r="B720" s="20"/>
      <c r="C720" s="21"/>
      <c r="D720" s="21"/>
      <c r="E720" s="21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5.75" customHeight="1" x14ac:dyDescent="0.35">
      <c r="A721" s="3"/>
      <c r="B721" s="20"/>
      <c r="C721" s="21"/>
      <c r="D721" s="21"/>
      <c r="E721" s="21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5.75" customHeight="1" x14ac:dyDescent="0.35">
      <c r="A722" s="3"/>
      <c r="B722" s="20"/>
      <c r="C722" s="21"/>
      <c r="D722" s="21"/>
      <c r="E722" s="21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5.75" customHeight="1" x14ac:dyDescent="0.35">
      <c r="A723" s="3"/>
      <c r="B723" s="20"/>
      <c r="C723" s="21"/>
      <c r="D723" s="21"/>
      <c r="E723" s="21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5.75" customHeight="1" x14ac:dyDescent="0.35">
      <c r="A724" s="3"/>
      <c r="B724" s="20"/>
      <c r="C724" s="21"/>
      <c r="D724" s="21"/>
      <c r="E724" s="21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5.75" customHeight="1" x14ac:dyDescent="0.35">
      <c r="A725" s="3"/>
      <c r="B725" s="20"/>
      <c r="C725" s="21"/>
      <c r="D725" s="21"/>
      <c r="E725" s="21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5.75" customHeight="1" x14ac:dyDescent="0.35">
      <c r="A726" s="3"/>
      <c r="B726" s="20"/>
      <c r="C726" s="21"/>
      <c r="D726" s="21"/>
      <c r="E726" s="21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5.75" customHeight="1" x14ac:dyDescent="0.35">
      <c r="A727" s="3"/>
      <c r="B727" s="20"/>
      <c r="C727" s="21"/>
      <c r="D727" s="21"/>
      <c r="E727" s="21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5.75" customHeight="1" x14ac:dyDescent="0.35">
      <c r="A728" s="3"/>
      <c r="B728" s="20"/>
      <c r="C728" s="21"/>
      <c r="D728" s="21"/>
      <c r="E728" s="21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5.75" customHeight="1" x14ac:dyDescent="0.35">
      <c r="A729" s="3"/>
      <c r="B729" s="20"/>
      <c r="C729" s="21"/>
      <c r="D729" s="21"/>
      <c r="E729" s="21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5.75" customHeight="1" x14ac:dyDescent="0.35">
      <c r="A730" s="3"/>
      <c r="B730" s="20"/>
      <c r="C730" s="21"/>
      <c r="D730" s="21"/>
      <c r="E730" s="21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5.75" customHeight="1" x14ac:dyDescent="0.35">
      <c r="A731" s="3"/>
      <c r="B731" s="20"/>
      <c r="C731" s="21"/>
      <c r="D731" s="21"/>
      <c r="E731" s="21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5.75" customHeight="1" x14ac:dyDescent="0.35">
      <c r="A732" s="3"/>
      <c r="B732" s="20"/>
      <c r="C732" s="21"/>
      <c r="D732" s="21"/>
      <c r="E732" s="21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5.75" customHeight="1" x14ac:dyDescent="0.35">
      <c r="A733" s="3"/>
      <c r="B733" s="20"/>
      <c r="C733" s="21"/>
      <c r="D733" s="21"/>
      <c r="E733" s="21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5.75" customHeight="1" x14ac:dyDescent="0.35">
      <c r="A734" s="3"/>
      <c r="B734" s="20"/>
      <c r="C734" s="21"/>
      <c r="D734" s="21"/>
      <c r="E734" s="21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5.75" customHeight="1" x14ac:dyDescent="0.35">
      <c r="A735" s="3"/>
      <c r="B735" s="20"/>
      <c r="C735" s="21"/>
      <c r="D735" s="21"/>
      <c r="E735" s="21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5.75" customHeight="1" x14ac:dyDescent="0.35">
      <c r="A736" s="3"/>
      <c r="B736" s="20"/>
      <c r="C736" s="21"/>
      <c r="D736" s="21"/>
      <c r="E736" s="21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5.75" customHeight="1" x14ac:dyDescent="0.35">
      <c r="A737" s="3"/>
      <c r="B737" s="20"/>
      <c r="C737" s="21"/>
      <c r="D737" s="21"/>
      <c r="E737" s="21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5.75" customHeight="1" x14ac:dyDescent="0.35">
      <c r="A738" s="3"/>
      <c r="B738" s="20"/>
      <c r="C738" s="21"/>
      <c r="D738" s="21"/>
      <c r="E738" s="21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5.75" customHeight="1" x14ac:dyDescent="0.35">
      <c r="A739" s="3"/>
      <c r="B739" s="20"/>
      <c r="C739" s="21"/>
      <c r="D739" s="21"/>
      <c r="E739" s="21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5.75" customHeight="1" x14ac:dyDescent="0.35">
      <c r="A740" s="3"/>
      <c r="B740" s="20"/>
      <c r="C740" s="21"/>
      <c r="D740" s="21"/>
      <c r="E740" s="21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5.75" customHeight="1" x14ac:dyDescent="0.35">
      <c r="A741" s="3"/>
      <c r="B741" s="20"/>
      <c r="C741" s="21"/>
      <c r="D741" s="21"/>
      <c r="E741" s="21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5.75" customHeight="1" x14ac:dyDescent="0.35">
      <c r="A742" s="3"/>
      <c r="B742" s="20"/>
      <c r="C742" s="21"/>
      <c r="D742" s="21"/>
      <c r="E742" s="21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5.75" customHeight="1" x14ac:dyDescent="0.35">
      <c r="A743" s="3"/>
      <c r="B743" s="20"/>
      <c r="C743" s="21"/>
      <c r="D743" s="21"/>
      <c r="E743" s="21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5.75" customHeight="1" x14ac:dyDescent="0.35">
      <c r="A744" s="3"/>
      <c r="B744" s="20"/>
      <c r="C744" s="21"/>
      <c r="D744" s="21"/>
      <c r="E744" s="21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5.75" customHeight="1" x14ac:dyDescent="0.35">
      <c r="A745" s="3"/>
      <c r="B745" s="20"/>
      <c r="C745" s="21"/>
      <c r="D745" s="21"/>
      <c r="E745" s="21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5.75" customHeight="1" x14ac:dyDescent="0.35">
      <c r="A746" s="3"/>
      <c r="B746" s="20"/>
      <c r="C746" s="21"/>
      <c r="D746" s="21"/>
      <c r="E746" s="21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5.75" customHeight="1" x14ac:dyDescent="0.35">
      <c r="A747" s="3"/>
      <c r="B747" s="20"/>
      <c r="C747" s="21"/>
      <c r="D747" s="21"/>
      <c r="E747" s="21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5.75" customHeight="1" x14ac:dyDescent="0.35">
      <c r="A748" s="3"/>
      <c r="B748" s="20"/>
      <c r="C748" s="21"/>
      <c r="D748" s="21"/>
      <c r="E748" s="21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5.75" customHeight="1" x14ac:dyDescent="0.35">
      <c r="A749" s="3"/>
      <c r="B749" s="20"/>
      <c r="C749" s="21"/>
      <c r="D749" s="21"/>
      <c r="E749" s="21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5.75" customHeight="1" x14ac:dyDescent="0.35">
      <c r="A750" s="3"/>
      <c r="B750" s="20"/>
      <c r="C750" s="21"/>
      <c r="D750" s="21"/>
      <c r="E750" s="21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5.75" customHeight="1" x14ac:dyDescent="0.35">
      <c r="A751" s="3"/>
      <c r="B751" s="20"/>
      <c r="C751" s="21"/>
      <c r="D751" s="21"/>
      <c r="E751" s="21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5.75" customHeight="1" x14ac:dyDescent="0.35">
      <c r="A752" s="3"/>
      <c r="B752" s="20"/>
      <c r="C752" s="21"/>
      <c r="D752" s="21"/>
      <c r="E752" s="21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5.75" customHeight="1" x14ac:dyDescent="0.35">
      <c r="A753" s="3"/>
      <c r="B753" s="20"/>
      <c r="C753" s="21"/>
      <c r="D753" s="21"/>
      <c r="E753" s="21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5.75" customHeight="1" x14ac:dyDescent="0.35">
      <c r="A754" s="3"/>
      <c r="B754" s="20"/>
      <c r="C754" s="21"/>
      <c r="D754" s="21"/>
      <c r="E754" s="21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5.75" customHeight="1" x14ac:dyDescent="0.35">
      <c r="A755" s="3"/>
      <c r="B755" s="20"/>
      <c r="C755" s="21"/>
      <c r="D755" s="21"/>
      <c r="E755" s="21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5.75" customHeight="1" x14ac:dyDescent="0.35">
      <c r="A756" s="3"/>
      <c r="B756" s="20"/>
      <c r="C756" s="21"/>
      <c r="D756" s="21"/>
      <c r="E756" s="21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5.75" customHeight="1" x14ac:dyDescent="0.35">
      <c r="A757" s="3"/>
      <c r="B757" s="20"/>
      <c r="C757" s="21"/>
      <c r="D757" s="21"/>
      <c r="E757" s="21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5.75" customHeight="1" x14ac:dyDescent="0.35">
      <c r="A758" s="3"/>
      <c r="B758" s="20"/>
      <c r="C758" s="21"/>
      <c r="D758" s="21"/>
      <c r="E758" s="21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5.75" customHeight="1" x14ac:dyDescent="0.35">
      <c r="A759" s="3"/>
      <c r="B759" s="20"/>
      <c r="C759" s="21"/>
      <c r="D759" s="21"/>
      <c r="E759" s="21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5.75" customHeight="1" x14ac:dyDescent="0.35">
      <c r="A760" s="3"/>
      <c r="B760" s="20"/>
      <c r="C760" s="21"/>
      <c r="D760" s="21"/>
      <c r="E760" s="21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5.75" customHeight="1" x14ac:dyDescent="0.35">
      <c r="A761" s="3"/>
      <c r="B761" s="20"/>
      <c r="C761" s="21"/>
      <c r="D761" s="21"/>
      <c r="E761" s="21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5.75" customHeight="1" x14ac:dyDescent="0.35">
      <c r="A762" s="3"/>
      <c r="B762" s="20"/>
      <c r="C762" s="21"/>
      <c r="D762" s="21"/>
      <c r="E762" s="21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5.75" customHeight="1" x14ac:dyDescent="0.35">
      <c r="A763" s="3"/>
      <c r="B763" s="20"/>
      <c r="C763" s="21"/>
      <c r="D763" s="21"/>
      <c r="E763" s="21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5.75" customHeight="1" x14ac:dyDescent="0.35">
      <c r="A764" s="3"/>
      <c r="B764" s="20"/>
      <c r="C764" s="21"/>
      <c r="D764" s="21"/>
      <c r="E764" s="21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5.75" customHeight="1" x14ac:dyDescent="0.35">
      <c r="A765" s="3"/>
      <c r="B765" s="20"/>
      <c r="C765" s="21"/>
      <c r="D765" s="21"/>
      <c r="E765" s="21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5.75" customHeight="1" x14ac:dyDescent="0.35">
      <c r="A766" s="3"/>
      <c r="B766" s="20"/>
      <c r="C766" s="21"/>
      <c r="D766" s="21"/>
      <c r="E766" s="21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5.75" customHeight="1" x14ac:dyDescent="0.35">
      <c r="A767" s="3"/>
      <c r="B767" s="20"/>
      <c r="C767" s="21"/>
      <c r="D767" s="21"/>
      <c r="E767" s="21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5.75" customHeight="1" x14ac:dyDescent="0.35">
      <c r="A768" s="3"/>
      <c r="B768" s="20"/>
      <c r="C768" s="21"/>
      <c r="D768" s="21"/>
      <c r="E768" s="21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5.75" customHeight="1" x14ac:dyDescent="0.35">
      <c r="A769" s="3"/>
      <c r="B769" s="20"/>
      <c r="C769" s="21"/>
      <c r="D769" s="21"/>
      <c r="E769" s="21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5.75" customHeight="1" x14ac:dyDescent="0.35">
      <c r="A770" s="3"/>
      <c r="B770" s="20"/>
      <c r="C770" s="21"/>
      <c r="D770" s="21"/>
      <c r="E770" s="21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5.75" customHeight="1" x14ac:dyDescent="0.35">
      <c r="A771" s="3"/>
      <c r="B771" s="20"/>
      <c r="C771" s="21"/>
      <c r="D771" s="21"/>
      <c r="E771" s="21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5.75" customHeight="1" x14ac:dyDescent="0.35">
      <c r="A772" s="3"/>
      <c r="B772" s="20"/>
      <c r="C772" s="21"/>
      <c r="D772" s="21"/>
      <c r="E772" s="21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5.75" customHeight="1" x14ac:dyDescent="0.35">
      <c r="A773" s="3"/>
      <c r="B773" s="20"/>
      <c r="C773" s="21"/>
      <c r="D773" s="21"/>
      <c r="E773" s="21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5.75" customHeight="1" x14ac:dyDescent="0.35">
      <c r="A774" s="3"/>
      <c r="B774" s="20"/>
      <c r="C774" s="21"/>
      <c r="D774" s="21"/>
      <c r="E774" s="21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5.75" customHeight="1" x14ac:dyDescent="0.35">
      <c r="A775" s="3"/>
      <c r="B775" s="20"/>
      <c r="C775" s="21"/>
      <c r="D775" s="21"/>
      <c r="E775" s="21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5.75" customHeight="1" x14ac:dyDescent="0.35">
      <c r="A776" s="3"/>
      <c r="B776" s="20"/>
      <c r="C776" s="21"/>
      <c r="D776" s="21"/>
      <c r="E776" s="21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5.75" customHeight="1" x14ac:dyDescent="0.35">
      <c r="A777" s="3"/>
      <c r="B777" s="20"/>
      <c r="C777" s="21"/>
      <c r="D777" s="21"/>
      <c r="E777" s="21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5.75" customHeight="1" x14ac:dyDescent="0.35">
      <c r="A778" s="3"/>
      <c r="B778" s="20"/>
      <c r="C778" s="21"/>
      <c r="D778" s="21"/>
      <c r="E778" s="21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5.75" customHeight="1" x14ac:dyDescent="0.35">
      <c r="A779" s="3"/>
      <c r="B779" s="20"/>
      <c r="C779" s="21"/>
      <c r="D779" s="21"/>
      <c r="E779" s="21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5.75" customHeight="1" x14ac:dyDescent="0.35">
      <c r="A780" s="3"/>
      <c r="B780" s="20"/>
      <c r="C780" s="21"/>
      <c r="D780" s="21"/>
      <c r="E780" s="21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5.75" customHeight="1" x14ac:dyDescent="0.35">
      <c r="A781" s="3"/>
      <c r="B781" s="20"/>
      <c r="C781" s="21"/>
      <c r="D781" s="21"/>
      <c r="E781" s="21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5.75" customHeight="1" x14ac:dyDescent="0.35">
      <c r="A782" s="3"/>
      <c r="B782" s="20"/>
      <c r="C782" s="21"/>
      <c r="D782" s="21"/>
      <c r="E782" s="21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5.75" customHeight="1" x14ac:dyDescent="0.35">
      <c r="A783" s="3"/>
      <c r="B783" s="20"/>
      <c r="C783" s="21"/>
      <c r="D783" s="21"/>
      <c r="E783" s="21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5.75" customHeight="1" x14ac:dyDescent="0.35">
      <c r="A784" s="3"/>
      <c r="B784" s="20"/>
      <c r="C784" s="21"/>
      <c r="D784" s="21"/>
      <c r="E784" s="21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5.75" customHeight="1" x14ac:dyDescent="0.35">
      <c r="A785" s="3"/>
      <c r="B785" s="20"/>
      <c r="C785" s="21"/>
      <c r="D785" s="21"/>
      <c r="E785" s="21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5.75" customHeight="1" x14ac:dyDescent="0.35">
      <c r="A786" s="3"/>
      <c r="B786" s="20"/>
      <c r="C786" s="21"/>
      <c r="D786" s="21"/>
      <c r="E786" s="21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5.75" customHeight="1" x14ac:dyDescent="0.35">
      <c r="A787" s="3"/>
      <c r="B787" s="20"/>
      <c r="C787" s="21"/>
      <c r="D787" s="21"/>
      <c r="E787" s="21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5.75" customHeight="1" x14ac:dyDescent="0.35">
      <c r="A788" s="3"/>
      <c r="B788" s="20"/>
      <c r="C788" s="21"/>
      <c r="D788" s="21"/>
      <c r="E788" s="21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5.75" customHeight="1" x14ac:dyDescent="0.35">
      <c r="A789" s="3"/>
      <c r="B789" s="20"/>
      <c r="C789" s="21"/>
      <c r="D789" s="21"/>
      <c r="E789" s="21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5.75" customHeight="1" x14ac:dyDescent="0.35">
      <c r="A790" s="3"/>
      <c r="B790" s="20"/>
      <c r="C790" s="21"/>
      <c r="D790" s="21"/>
      <c r="E790" s="21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5.75" customHeight="1" x14ac:dyDescent="0.35">
      <c r="A791" s="3"/>
      <c r="B791" s="20"/>
      <c r="C791" s="21"/>
      <c r="D791" s="21"/>
      <c r="E791" s="21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5.75" customHeight="1" x14ac:dyDescent="0.35">
      <c r="A792" s="3"/>
      <c r="B792" s="20"/>
      <c r="C792" s="21"/>
      <c r="D792" s="21"/>
      <c r="E792" s="21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5.75" customHeight="1" x14ac:dyDescent="0.35">
      <c r="A793" s="3"/>
      <c r="B793" s="20"/>
      <c r="C793" s="21"/>
      <c r="D793" s="21"/>
      <c r="E793" s="21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5.75" customHeight="1" x14ac:dyDescent="0.35">
      <c r="A794" s="3"/>
      <c r="B794" s="20"/>
      <c r="C794" s="21"/>
      <c r="D794" s="21"/>
      <c r="E794" s="21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5.75" customHeight="1" x14ac:dyDescent="0.35">
      <c r="A795" s="3"/>
      <c r="B795" s="20"/>
      <c r="C795" s="21"/>
      <c r="D795" s="21"/>
      <c r="E795" s="21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5.75" customHeight="1" x14ac:dyDescent="0.35">
      <c r="A796" s="3"/>
      <c r="B796" s="20"/>
      <c r="C796" s="21"/>
      <c r="D796" s="21"/>
      <c r="E796" s="21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5.75" customHeight="1" x14ac:dyDescent="0.35">
      <c r="A797" s="3"/>
      <c r="B797" s="20"/>
      <c r="C797" s="21"/>
      <c r="D797" s="21"/>
      <c r="E797" s="21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5.75" customHeight="1" x14ac:dyDescent="0.35">
      <c r="A798" s="3"/>
      <c r="B798" s="20"/>
      <c r="C798" s="21"/>
      <c r="D798" s="21"/>
      <c r="E798" s="21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5.75" customHeight="1" x14ac:dyDescent="0.35">
      <c r="A799" s="3"/>
      <c r="B799" s="20"/>
      <c r="C799" s="21"/>
      <c r="D799" s="21"/>
      <c r="E799" s="21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5.75" customHeight="1" x14ac:dyDescent="0.35">
      <c r="A800" s="3"/>
      <c r="B800" s="20"/>
      <c r="C800" s="21"/>
      <c r="D800" s="21"/>
      <c r="E800" s="21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5.75" customHeight="1" x14ac:dyDescent="0.35">
      <c r="A801" s="3"/>
      <c r="B801" s="20"/>
      <c r="C801" s="21"/>
      <c r="D801" s="21"/>
      <c r="E801" s="21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5.75" customHeight="1" x14ac:dyDescent="0.35">
      <c r="A802" s="3"/>
      <c r="B802" s="20"/>
      <c r="C802" s="21"/>
      <c r="D802" s="21"/>
      <c r="E802" s="21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5.75" customHeight="1" x14ac:dyDescent="0.35">
      <c r="A803" s="3"/>
      <c r="B803" s="20"/>
      <c r="C803" s="21"/>
      <c r="D803" s="21"/>
      <c r="E803" s="21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5.75" customHeight="1" x14ac:dyDescent="0.35">
      <c r="A804" s="3"/>
      <c r="B804" s="20"/>
      <c r="C804" s="21"/>
      <c r="D804" s="21"/>
      <c r="E804" s="21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5.75" customHeight="1" x14ac:dyDescent="0.35">
      <c r="A805" s="3"/>
      <c r="B805" s="20"/>
      <c r="C805" s="21"/>
      <c r="D805" s="21"/>
      <c r="E805" s="21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5.75" customHeight="1" x14ac:dyDescent="0.35">
      <c r="A806" s="3"/>
      <c r="B806" s="20"/>
      <c r="C806" s="21"/>
      <c r="D806" s="21"/>
      <c r="E806" s="21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5.75" customHeight="1" x14ac:dyDescent="0.35">
      <c r="A807" s="3"/>
      <c r="B807" s="20"/>
      <c r="C807" s="21"/>
      <c r="D807" s="21"/>
      <c r="E807" s="21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5.75" customHeight="1" x14ac:dyDescent="0.35">
      <c r="A808" s="3"/>
      <c r="B808" s="20"/>
      <c r="C808" s="21"/>
      <c r="D808" s="21"/>
      <c r="E808" s="21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5.75" customHeight="1" x14ac:dyDescent="0.35">
      <c r="A809" s="3"/>
      <c r="B809" s="20"/>
      <c r="C809" s="21"/>
      <c r="D809" s="21"/>
      <c r="E809" s="21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5.75" customHeight="1" x14ac:dyDescent="0.35">
      <c r="A810" s="3"/>
      <c r="B810" s="20"/>
      <c r="C810" s="21"/>
      <c r="D810" s="21"/>
      <c r="E810" s="21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5.75" customHeight="1" x14ac:dyDescent="0.35">
      <c r="A811" s="3"/>
      <c r="B811" s="20"/>
      <c r="C811" s="21"/>
      <c r="D811" s="21"/>
      <c r="E811" s="21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5.75" customHeight="1" x14ac:dyDescent="0.35">
      <c r="A812" s="3"/>
      <c r="B812" s="20"/>
      <c r="C812" s="21"/>
      <c r="D812" s="21"/>
      <c r="E812" s="21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5.75" customHeight="1" x14ac:dyDescent="0.35">
      <c r="A813" s="3"/>
      <c r="B813" s="20"/>
      <c r="C813" s="21"/>
      <c r="D813" s="21"/>
      <c r="E813" s="21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5.75" customHeight="1" x14ac:dyDescent="0.35">
      <c r="A814" s="3"/>
      <c r="B814" s="20"/>
      <c r="C814" s="21"/>
      <c r="D814" s="21"/>
      <c r="E814" s="21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5.75" customHeight="1" x14ac:dyDescent="0.35">
      <c r="A815" s="3"/>
      <c r="B815" s="20"/>
      <c r="C815" s="21"/>
      <c r="D815" s="21"/>
      <c r="E815" s="21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5.75" customHeight="1" x14ac:dyDescent="0.35">
      <c r="A816" s="3"/>
      <c r="B816" s="20"/>
      <c r="C816" s="21"/>
      <c r="D816" s="21"/>
      <c r="E816" s="21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5.75" customHeight="1" x14ac:dyDescent="0.35">
      <c r="A817" s="3"/>
      <c r="B817" s="20"/>
      <c r="C817" s="21"/>
      <c r="D817" s="21"/>
      <c r="E817" s="21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5.75" customHeight="1" x14ac:dyDescent="0.35">
      <c r="A818" s="3"/>
      <c r="B818" s="20"/>
      <c r="C818" s="21"/>
      <c r="D818" s="21"/>
      <c r="E818" s="21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5.75" customHeight="1" x14ac:dyDescent="0.35">
      <c r="A819" s="3"/>
      <c r="B819" s="20"/>
      <c r="C819" s="21"/>
      <c r="D819" s="21"/>
      <c r="E819" s="21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5.75" customHeight="1" x14ac:dyDescent="0.35">
      <c r="A820" s="3"/>
      <c r="B820" s="20"/>
      <c r="C820" s="21"/>
      <c r="D820" s="21"/>
      <c r="E820" s="21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5.75" customHeight="1" x14ac:dyDescent="0.35">
      <c r="A821" s="3"/>
      <c r="B821" s="20"/>
      <c r="C821" s="21"/>
      <c r="D821" s="21"/>
      <c r="E821" s="21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5.75" customHeight="1" x14ac:dyDescent="0.35">
      <c r="A822" s="3"/>
      <c r="B822" s="20"/>
      <c r="C822" s="21"/>
      <c r="D822" s="21"/>
      <c r="E822" s="21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5.75" customHeight="1" x14ac:dyDescent="0.35">
      <c r="A823" s="3"/>
      <c r="B823" s="20"/>
      <c r="C823" s="21"/>
      <c r="D823" s="21"/>
      <c r="E823" s="21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5.75" customHeight="1" x14ac:dyDescent="0.35">
      <c r="A824" s="3"/>
      <c r="B824" s="20"/>
      <c r="C824" s="21"/>
      <c r="D824" s="21"/>
      <c r="E824" s="21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5.75" customHeight="1" x14ac:dyDescent="0.35">
      <c r="A825" s="3"/>
      <c r="B825" s="20"/>
      <c r="C825" s="21"/>
      <c r="D825" s="21"/>
      <c r="E825" s="21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5.75" customHeight="1" x14ac:dyDescent="0.35">
      <c r="A826" s="3"/>
      <c r="B826" s="20"/>
      <c r="C826" s="21"/>
      <c r="D826" s="21"/>
      <c r="E826" s="21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5.75" customHeight="1" x14ac:dyDescent="0.35">
      <c r="A827" s="3"/>
      <c r="B827" s="20"/>
      <c r="C827" s="21"/>
      <c r="D827" s="21"/>
      <c r="E827" s="21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5.75" customHeight="1" x14ac:dyDescent="0.35">
      <c r="A828" s="3"/>
      <c r="B828" s="20"/>
      <c r="C828" s="21"/>
      <c r="D828" s="21"/>
      <c r="E828" s="21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5.75" customHeight="1" x14ac:dyDescent="0.35">
      <c r="A829" s="3"/>
      <c r="B829" s="20"/>
      <c r="C829" s="21"/>
      <c r="D829" s="21"/>
      <c r="E829" s="21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5.75" customHeight="1" x14ac:dyDescent="0.35">
      <c r="A830" s="3"/>
      <c r="B830" s="20"/>
      <c r="C830" s="21"/>
      <c r="D830" s="21"/>
      <c r="E830" s="21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5.75" customHeight="1" x14ac:dyDescent="0.35">
      <c r="A831" s="3"/>
      <c r="B831" s="20"/>
      <c r="C831" s="21"/>
      <c r="D831" s="21"/>
      <c r="E831" s="21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5.75" customHeight="1" x14ac:dyDescent="0.35">
      <c r="A832" s="3"/>
      <c r="B832" s="20"/>
      <c r="C832" s="21"/>
      <c r="D832" s="21"/>
      <c r="E832" s="21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5.75" customHeight="1" x14ac:dyDescent="0.35">
      <c r="A833" s="3"/>
      <c r="B833" s="20"/>
      <c r="C833" s="21"/>
      <c r="D833" s="21"/>
      <c r="E833" s="21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5.75" customHeight="1" x14ac:dyDescent="0.35">
      <c r="A834" s="3"/>
      <c r="B834" s="20"/>
      <c r="C834" s="21"/>
      <c r="D834" s="21"/>
      <c r="E834" s="21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5.75" customHeight="1" x14ac:dyDescent="0.35">
      <c r="A835" s="3"/>
      <c r="B835" s="20"/>
      <c r="C835" s="21"/>
      <c r="D835" s="21"/>
      <c r="E835" s="21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5.75" customHeight="1" x14ac:dyDescent="0.35">
      <c r="A836" s="3"/>
      <c r="B836" s="20"/>
      <c r="C836" s="21"/>
      <c r="D836" s="21"/>
      <c r="E836" s="21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5.75" customHeight="1" x14ac:dyDescent="0.35">
      <c r="A837" s="3"/>
      <c r="B837" s="20"/>
      <c r="C837" s="21"/>
      <c r="D837" s="21"/>
      <c r="E837" s="21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5.75" customHeight="1" x14ac:dyDescent="0.35">
      <c r="A838" s="3"/>
      <c r="B838" s="20"/>
      <c r="C838" s="21"/>
      <c r="D838" s="21"/>
      <c r="E838" s="21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5.75" customHeight="1" x14ac:dyDescent="0.35">
      <c r="A839" s="3"/>
      <c r="B839" s="20"/>
      <c r="C839" s="21"/>
      <c r="D839" s="21"/>
      <c r="E839" s="21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5.75" customHeight="1" x14ac:dyDescent="0.35">
      <c r="A840" s="3"/>
      <c r="B840" s="20"/>
      <c r="C840" s="21"/>
      <c r="D840" s="21"/>
      <c r="E840" s="21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5.75" customHeight="1" x14ac:dyDescent="0.35">
      <c r="A841" s="3"/>
      <c r="B841" s="20"/>
      <c r="C841" s="21"/>
      <c r="D841" s="21"/>
      <c r="E841" s="21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5.75" customHeight="1" x14ac:dyDescent="0.35">
      <c r="A842" s="3"/>
      <c r="B842" s="20"/>
      <c r="C842" s="21"/>
      <c r="D842" s="21"/>
      <c r="E842" s="21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5.75" customHeight="1" x14ac:dyDescent="0.35">
      <c r="A843" s="3"/>
      <c r="B843" s="20"/>
      <c r="C843" s="21"/>
      <c r="D843" s="21"/>
      <c r="E843" s="21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5.75" customHeight="1" x14ac:dyDescent="0.35">
      <c r="A844" s="3"/>
      <c r="B844" s="20"/>
      <c r="C844" s="21"/>
      <c r="D844" s="21"/>
      <c r="E844" s="21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5.75" customHeight="1" x14ac:dyDescent="0.35">
      <c r="A845" s="3"/>
      <c r="B845" s="20"/>
      <c r="C845" s="21"/>
      <c r="D845" s="21"/>
      <c r="E845" s="21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5.75" customHeight="1" x14ac:dyDescent="0.35">
      <c r="A846" s="3"/>
      <c r="B846" s="20"/>
      <c r="C846" s="21"/>
      <c r="D846" s="21"/>
      <c r="E846" s="21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5.75" customHeight="1" x14ac:dyDescent="0.35">
      <c r="A847" s="3"/>
      <c r="B847" s="20"/>
      <c r="C847" s="21"/>
      <c r="D847" s="21"/>
      <c r="E847" s="21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5.75" customHeight="1" x14ac:dyDescent="0.35">
      <c r="A848" s="3"/>
      <c r="B848" s="20"/>
      <c r="C848" s="21"/>
      <c r="D848" s="21"/>
      <c r="E848" s="21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5.75" customHeight="1" x14ac:dyDescent="0.35">
      <c r="A849" s="3"/>
      <c r="B849" s="20"/>
      <c r="C849" s="21"/>
      <c r="D849" s="21"/>
      <c r="E849" s="21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5.75" customHeight="1" x14ac:dyDescent="0.35">
      <c r="A850" s="3"/>
      <c r="B850" s="20"/>
      <c r="C850" s="21"/>
      <c r="D850" s="21"/>
      <c r="E850" s="21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5.75" customHeight="1" x14ac:dyDescent="0.35">
      <c r="A851" s="3"/>
      <c r="B851" s="20"/>
      <c r="C851" s="21"/>
      <c r="D851" s="21"/>
      <c r="E851" s="21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5.75" customHeight="1" x14ac:dyDescent="0.35">
      <c r="A852" s="3"/>
      <c r="B852" s="20"/>
      <c r="C852" s="21"/>
      <c r="D852" s="21"/>
      <c r="E852" s="21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5.75" customHeight="1" x14ac:dyDescent="0.35">
      <c r="A853" s="3"/>
      <c r="B853" s="20"/>
      <c r="C853" s="21"/>
      <c r="D853" s="21"/>
      <c r="E853" s="21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5.75" customHeight="1" x14ac:dyDescent="0.35">
      <c r="A854" s="3"/>
      <c r="B854" s="20"/>
      <c r="C854" s="21"/>
      <c r="D854" s="21"/>
      <c r="E854" s="21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5.75" customHeight="1" x14ac:dyDescent="0.35">
      <c r="A855" s="3"/>
      <c r="B855" s="20"/>
      <c r="C855" s="21"/>
      <c r="D855" s="21"/>
      <c r="E855" s="21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5.75" customHeight="1" x14ac:dyDescent="0.35">
      <c r="A856" s="3"/>
      <c r="B856" s="20"/>
      <c r="C856" s="21"/>
      <c r="D856" s="21"/>
      <c r="E856" s="21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5.75" customHeight="1" x14ac:dyDescent="0.35">
      <c r="A857" s="3"/>
      <c r="B857" s="20"/>
      <c r="C857" s="21"/>
      <c r="D857" s="21"/>
      <c r="E857" s="21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5.75" customHeight="1" x14ac:dyDescent="0.35">
      <c r="A858" s="3"/>
      <c r="B858" s="20"/>
      <c r="C858" s="21"/>
      <c r="D858" s="21"/>
      <c r="E858" s="21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5.75" customHeight="1" x14ac:dyDescent="0.35">
      <c r="A859" s="3"/>
      <c r="B859" s="20"/>
      <c r="C859" s="21"/>
      <c r="D859" s="21"/>
      <c r="E859" s="21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5.75" customHeight="1" x14ac:dyDescent="0.35">
      <c r="A860" s="3"/>
      <c r="B860" s="20"/>
      <c r="C860" s="21"/>
      <c r="D860" s="21"/>
      <c r="E860" s="21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5.75" customHeight="1" x14ac:dyDescent="0.35">
      <c r="A861" s="3"/>
      <c r="B861" s="20"/>
      <c r="C861" s="21"/>
      <c r="D861" s="21"/>
      <c r="E861" s="21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5.75" customHeight="1" x14ac:dyDescent="0.35">
      <c r="A862" s="3"/>
      <c r="B862" s="20"/>
      <c r="C862" s="21"/>
      <c r="D862" s="21"/>
      <c r="E862" s="21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5.75" customHeight="1" x14ac:dyDescent="0.35">
      <c r="A863" s="3"/>
      <c r="B863" s="20"/>
      <c r="C863" s="21"/>
      <c r="D863" s="21"/>
      <c r="E863" s="21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5.75" customHeight="1" x14ac:dyDescent="0.35">
      <c r="A864" s="3"/>
      <c r="B864" s="20"/>
      <c r="C864" s="21"/>
      <c r="D864" s="21"/>
      <c r="E864" s="21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5.75" customHeight="1" x14ac:dyDescent="0.35">
      <c r="A865" s="3"/>
      <c r="B865" s="20"/>
      <c r="C865" s="21"/>
      <c r="D865" s="21"/>
      <c r="E865" s="21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5.75" customHeight="1" x14ac:dyDescent="0.35">
      <c r="A866" s="3"/>
      <c r="B866" s="20"/>
      <c r="C866" s="21"/>
      <c r="D866" s="21"/>
      <c r="E866" s="21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5.75" customHeight="1" x14ac:dyDescent="0.35">
      <c r="A867" s="3"/>
      <c r="B867" s="20"/>
      <c r="C867" s="21"/>
      <c r="D867" s="21"/>
      <c r="E867" s="21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5.75" customHeight="1" x14ac:dyDescent="0.35">
      <c r="A868" s="3"/>
      <c r="B868" s="20"/>
      <c r="C868" s="21"/>
      <c r="D868" s="21"/>
      <c r="E868" s="21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5.75" customHeight="1" x14ac:dyDescent="0.35">
      <c r="A869" s="3"/>
      <c r="B869" s="20"/>
      <c r="C869" s="21"/>
      <c r="D869" s="21"/>
      <c r="E869" s="21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5.75" customHeight="1" x14ac:dyDescent="0.35">
      <c r="A870" s="3"/>
      <c r="B870" s="20"/>
      <c r="C870" s="21"/>
      <c r="D870" s="21"/>
      <c r="E870" s="21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5.75" customHeight="1" x14ac:dyDescent="0.35">
      <c r="A871" s="3"/>
      <c r="B871" s="20"/>
      <c r="C871" s="21"/>
      <c r="D871" s="21"/>
      <c r="E871" s="21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5.75" customHeight="1" x14ac:dyDescent="0.35">
      <c r="A872" s="3"/>
      <c r="B872" s="20"/>
      <c r="C872" s="21"/>
      <c r="D872" s="21"/>
      <c r="E872" s="21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5.75" customHeight="1" x14ac:dyDescent="0.35">
      <c r="A873" s="3"/>
      <c r="B873" s="20"/>
      <c r="C873" s="21"/>
      <c r="D873" s="21"/>
      <c r="E873" s="21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5.75" customHeight="1" x14ac:dyDescent="0.35">
      <c r="A874" s="3"/>
      <c r="B874" s="20"/>
      <c r="C874" s="21"/>
      <c r="D874" s="21"/>
      <c r="E874" s="21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5.75" customHeight="1" x14ac:dyDescent="0.35">
      <c r="A875" s="3"/>
      <c r="B875" s="20"/>
      <c r="C875" s="21"/>
      <c r="D875" s="21"/>
      <c r="E875" s="21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5.75" customHeight="1" x14ac:dyDescent="0.35">
      <c r="A876" s="3"/>
      <c r="B876" s="20"/>
      <c r="C876" s="21"/>
      <c r="D876" s="21"/>
      <c r="E876" s="21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5.75" customHeight="1" x14ac:dyDescent="0.35">
      <c r="A877" s="3"/>
      <c r="B877" s="20"/>
      <c r="C877" s="21"/>
      <c r="D877" s="21"/>
      <c r="E877" s="21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5.75" customHeight="1" x14ac:dyDescent="0.35">
      <c r="A878" s="3"/>
      <c r="B878" s="20"/>
      <c r="C878" s="21"/>
      <c r="D878" s="21"/>
      <c r="E878" s="21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5.75" customHeight="1" x14ac:dyDescent="0.35">
      <c r="A879" s="3"/>
      <c r="B879" s="20"/>
      <c r="C879" s="21"/>
      <c r="D879" s="21"/>
      <c r="E879" s="21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5.75" customHeight="1" x14ac:dyDescent="0.35">
      <c r="A880" s="3"/>
      <c r="B880" s="20"/>
      <c r="C880" s="21"/>
      <c r="D880" s="21"/>
      <c r="E880" s="21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5.75" customHeight="1" x14ac:dyDescent="0.35">
      <c r="A881" s="3"/>
      <c r="B881" s="20"/>
      <c r="C881" s="21"/>
      <c r="D881" s="21"/>
      <c r="E881" s="21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5.75" customHeight="1" x14ac:dyDescent="0.35">
      <c r="A882" s="3"/>
      <c r="B882" s="20"/>
      <c r="C882" s="21"/>
      <c r="D882" s="21"/>
      <c r="E882" s="21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5.75" customHeight="1" x14ac:dyDescent="0.35">
      <c r="A883" s="3"/>
      <c r="B883" s="20"/>
      <c r="C883" s="21"/>
      <c r="D883" s="21"/>
      <c r="E883" s="21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5.75" customHeight="1" x14ac:dyDescent="0.35">
      <c r="A884" s="3"/>
      <c r="B884" s="20"/>
      <c r="C884" s="21"/>
      <c r="D884" s="21"/>
      <c r="E884" s="21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5.75" customHeight="1" x14ac:dyDescent="0.35">
      <c r="A885" s="3"/>
      <c r="B885" s="20"/>
      <c r="C885" s="21"/>
      <c r="D885" s="21"/>
      <c r="E885" s="21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5.75" customHeight="1" x14ac:dyDescent="0.35">
      <c r="A886" s="3"/>
      <c r="B886" s="20"/>
      <c r="C886" s="21"/>
      <c r="D886" s="21"/>
      <c r="E886" s="21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5.75" customHeight="1" x14ac:dyDescent="0.35">
      <c r="A887" s="3"/>
      <c r="B887" s="20"/>
      <c r="C887" s="21"/>
      <c r="D887" s="21"/>
      <c r="E887" s="21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5.75" customHeight="1" x14ac:dyDescent="0.35">
      <c r="A888" s="3"/>
      <c r="B888" s="20"/>
      <c r="C888" s="21"/>
      <c r="D888" s="21"/>
      <c r="E888" s="21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5.75" customHeight="1" x14ac:dyDescent="0.35">
      <c r="A889" s="3"/>
      <c r="B889" s="20"/>
      <c r="C889" s="21"/>
      <c r="D889" s="21"/>
      <c r="E889" s="21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5.75" customHeight="1" x14ac:dyDescent="0.35">
      <c r="A890" s="3"/>
      <c r="B890" s="20"/>
      <c r="C890" s="21"/>
      <c r="D890" s="21"/>
      <c r="E890" s="21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5.75" customHeight="1" x14ac:dyDescent="0.35">
      <c r="A891" s="3"/>
      <c r="B891" s="20"/>
      <c r="C891" s="21"/>
      <c r="D891" s="21"/>
      <c r="E891" s="21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5.75" customHeight="1" x14ac:dyDescent="0.35">
      <c r="A892" s="3"/>
      <c r="B892" s="20"/>
      <c r="C892" s="21"/>
      <c r="D892" s="21"/>
      <c r="E892" s="21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5.75" customHeight="1" x14ac:dyDescent="0.35">
      <c r="A893" s="3"/>
      <c r="B893" s="20"/>
      <c r="C893" s="21"/>
      <c r="D893" s="21"/>
      <c r="E893" s="21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5.75" customHeight="1" x14ac:dyDescent="0.35">
      <c r="A894" s="3"/>
      <c r="B894" s="20"/>
      <c r="C894" s="21"/>
      <c r="D894" s="21"/>
      <c r="E894" s="21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5.75" customHeight="1" x14ac:dyDescent="0.35">
      <c r="A895" s="3"/>
      <c r="B895" s="20"/>
      <c r="C895" s="21"/>
      <c r="D895" s="21"/>
      <c r="E895" s="21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5.75" customHeight="1" x14ac:dyDescent="0.35">
      <c r="A896" s="3"/>
      <c r="B896" s="20"/>
      <c r="C896" s="21"/>
      <c r="D896" s="21"/>
      <c r="E896" s="21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5.75" customHeight="1" x14ac:dyDescent="0.35">
      <c r="A897" s="3"/>
      <c r="B897" s="20"/>
      <c r="C897" s="21"/>
      <c r="D897" s="21"/>
      <c r="E897" s="21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5.75" customHeight="1" x14ac:dyDescent="0.35">
      <c r="A898" s="3"/>
      <c r="B898" s="20"/>
      <c r="C898" s="21"/>
      <c r="D898" s="21"/>
      <c r="E898" s="21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5.75" customHeight="1" x14ac:dyDescent="0.35">
      <c r="A899" s="3"/>
      <c r="B899" s="20"/>
      <c r="C899" s="21"/>
      <c r="D899" s="21"/>
      <c r="E899" s="21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5.75" customHeight="1" x14ac:dyDescent="0.35">
      <c r="A900" s="3"/>
      <c r="B900" s="20"/>
      <c r="C900" s="21"/>
      <c r="D900" s="21"/>
      <c r="E900" s="21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5.75" customHeight="1" x14ac:dyDescent="0.35">
      <c r="A901" s="3"/>
      <c r="B901" s="20"/>
      <c r="C901" s="21"/>
      <c r="D901" s="21"/>
      <c r="E901" s="21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5.75" customHeight="1" x14ac:dyDescent="0.35">
      <c r="A902" s="3"/>
      <c r="B902" s="20"/>
      <c r="C902" s="21"/>
      <c r="D902" s="21"/>
      <c r="E902" s="21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5.75" customHeight="1" x14ac:dyDescent="0.35">
      <c r="A903" s="3"/>
      <c r="B903" s="20"/>
      <c r="C903" s="21"/>
      <c r="D903" s="21"/>
      <c r="E903" s="21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5.75" customHeight="1" x14ac:dyDescent="0.35">
      <c r="A904" s="3"/>
      <c r="B904" s="20"/>
      <c r="C904" s="21"/>
      <c r="D904" s="21"/>
      <c r="E904" s="21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5.75" customHeight="1" x14ac:dyDescent="0.35">
      <c r="A905" s="3"/>
      <c r="B905" s="20"/>
      <c r="C905" s="21"/>
      <c r="D905" s="21"/>
      <c r="E905" s="21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5.75" customHeight="1" x14ac:dyDescent="0.35">
      <c r="A906" s="3"/>
      <c r="B906" s="20"/>
      <c r="C906" s="21"/>
      <c r="D906" s="21"/>
      <c r="E906" s="21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5.75" customHeight="1" x14ac:dyDescent="0.35">
      <c r="A907" s="3"/>
      <c r="B907" s="20"/>
      <c r="C907" s="21"/>
      <c r="D907" s="21"/>
      <c r="E907" s="21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5.75" customHeight="1" x14ac:dyDescent="0.35">
      <c r="A908" s="3"/>
      <c r="B908" s="20"/>
      <c r="C908" s="21"/>
      <c r="D908" s="21"/>
      <c r="E908" s="21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5.75" customHeight="1" x14ac:dyDescent="0.35">
      <c r="A909" s="3"/>
      <c r="B909" s="20"/>
      <c r="C909" s="21"/>
      <c r="D909" s="21"/>
      <c r="E909" s="21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5.75" customHeight="1" x14ac:dyDescent="0.35">
      <c r="A910" s="3"/>
      <c r="B910" s="20"/>
      <c r="C910" s="21"/>
      <c r="D910" s="21"/>
      <c r="E910" s="21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5.75" customHeight="1" x14ac:dyDescent="0.35">
      <c r="A911" s="3"/>
      <c r="B911" s="20"/>
      <c r="C911" s="21"/>
      <c r="D911" s="21"/>
      <c r="E911" s="21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5.75" customHeight="1" x14ac:dyDescent="0.35">
      <c r="A912" s="3"/>
      <c r="B912" s="20"/>
      <c r="C912" s="21"/>
      <c r="D912" s="21"/>
      <c r="E912" s="21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5.75" customHeight="1" x14ac:dyDescent="0.35">
      <c r="A913" s="3"/>
      <c r="B913" s="20"/>
      <c r="C913" s="21"/>
      <c r="D913" s="21"/>
      <c r="E913" s="21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5.75" customHeight="1" x14ac:dyDescent="0.35">
      <c r="A914" s="3"/>
      <c r="B914" s="20"/>
      <c r="C914" s="21"/>
      <c r="D914" s="21"/>
      <c r="E914" s="21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5.75" customHeight="1" x14ac:dyDescent="0.35">
      <c r="A915" s="3"/>
      <c r="B915" s="20"/>
      <c r="C915" s="21"/>
      <c r="D915" s="21"/>
      <c r="E915" s="21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5.75" customHeight="1" x14ac:dyDescent="0.35">
      <c r="A916" s="3"/>
      <c r="B916" s="20"/>
      <c r="C916" s="21"/>
      <c r="D916" s="21"/>
      <c r="E916" s="21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5.75" customHeight="1" x14ac:dyDescent="0.35">
      <c r="A917" s="3"/>
      <c r="B917" s="20"/>
      <c r="C917" s="21"/>
      <c r="D917" s="21"/>
      <c r="E917" s="21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5.75" customHeight="1" x14ac:dyDescent="0.35">
      <c r="A918" s="3"/>
      <c r="B918" s="20"/>
      <c r="C918" s="21"/>
      <c r="D918" s="21"/>
      <c r="E918" s="21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5.75" customHeight="1" x14ac:dyDescent="0.35">
      <c r="A919" s="3"/>
      <c r="B919" s="20"/>
      <c r="C919" s="21"/>
      <c r="D919" s="21"/>
      <c r="E919" s="21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5.75" customHeight="1" x14ac:dyDescent="0.35">
      <c r="A920" s="3"/>
      <c r="B920" s="20"/>
      <c r="C920" s="21"/>
      <c r="D920" s="21"/>
      <c r="E920" s="21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5.75" customHeight="1" x14ac:dyDescent="0.35">
      <c r="A921" s="3"/>
      <c r="B921" s="20"/>
      <c r="C921" s="21"/>
      <c r="D921" s="21"/>
      <c r="E921" s="21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5.75" customHeight="1" x14ac:dyDescent="0.35">
      <c r="A922" s="3"/>
      <c r="B922" s="20"/>
      <c r="C922" s="21"/>
      <c r="D922" s="21"/>
      <c r="E922" s="21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5.75" customHeight="1" x14ac:dyDescent="0.35">
      <c r="A923" s="3"/>
      <c r="B923" s="20"/>
      <c r="C923" s="21"/>
      <c r="D923" s="21"/>
      <c r="E923" s="21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5.75" customHeight="1" x14ac:dyDescent="0.35">
      <c r="A924" s="3"/>
      <c r="B924" s="20"/>
      <c r="C924" s="21"/>
      <c r="D924" s="21"/>
      <c r="E924" s="21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5.75" customHeight="1" x14ac:dyDescent="0.35">
      <c r="A925" s="3"/>
      <c r="B925" s="20"/>
      <c r="C925" s="21"/>
      <c r="D925" s="21"/>
      <c r="E925" s="21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5.75" customHeight="1" x14ac:dyDescent="0.35">
      <c r="A926" s="3"/>
      <c r="B926" s="20"/>
      <c r="C926" s="21"/>
      <c r="D926" s="21"/>
      <c r="E926" s="21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5.75" customHeight="1" x14ac:dyDescent="0.35">
      <c r="A927" s="3"/>
      <c r="B927" s="20"/>
      <c r="C927" s="21"/>
      <c r="D927" s="21"/>
      <c r="E927" s="21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5.75" customHeight="1" x14ac:dyDescent="0.35">
      <c r="A928" s="3"/>
      <c r="B928" s="20"/>
      <c r="C928" s="21"/>
      <c r="D928" s="21"/>
      <c r="E928" s="21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5.75" customHeight="1" x14ac:dyDescent="0.35">
      <c r="A929" s="3"/>
      <c r="B929" s="20"/>
      <c r="C929" s="21"/>
      <c r="D929" s="21"/>
      <c r="E929" s="21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5.75" customHeight="1" x14ac:dyDescent="0.35">
      <c r="A930" s="3"/>
      <c r="B930" s="20"/>
      <c r="C930" s="21"/>
      <c r="D930" s="21"/>
      <c r="E930" s="21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5.75" customHeight="1" x14ac:dyDescent="0.35">
      <c r="A931" s="3"/>
      <c r="B931" s="20"/>
      <c r="C931" s="21"/>
      <c r="D931" s="21"/>
      <c r="E931" s="21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5.75" customHeight="1" x14ac:dyDescent="0.35">
      <c r="A932" s="3"/>
      <c r="B932" s="20"/>
      <c r="C932" s="21"/>
      <c r="D932" s="21"/>
      <c r="E932" s="21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5.75" customHeight="1" x14ac:dyDescent="0.35">
      <c r="A933" s="3"/>
      <c r="B933" s="20"/>
      <c r="C933" s="21"/>
      <c r="D933" s="21"/>
      <c r="E933" s="21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5.75" customHeight="1" x14ac:dyDescent="0.35">
      <c r="A934" s="3"/>
      <c r="B934" s="20"/>
      <c r="C934" s="21"/>
      <c r="D934" s="21"/>
      <c r="E934" s="21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5.75" customHeight="1" x14ac:dyDescent="0.35">
      <c r="A935" s="3"/>
      <c r="B935" s="20"/>
      <c r="C935" s="21"/>
      <c r="D935" s="21"/>
      <c r="E935" s="21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5.75" customHeight="1" x14ac:dyDescent="0.35">
      <c r="A936" s="3"/>
      <c r="B936" s="20"/>
      <c r="C936" s="21"/>
      <c r="D936" s="21"/>
      <c r="E936" s="21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5.75" customHeight="1" x14ac:dyDescent="0.35">
      <c r="A937" s="3"/>
      <c r="B937" s="20"/>
      <c r="C937" s="21"/>
      <c r="D937" s="21"/>
      <c r="E937" s="21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5.75" customHeight="1" x14ac:dyDescent="0.35">
      <c r="A938" s="3"/>
      <c r="B938" s="20"/>
      <c r="C938" s="21"/>
      <c r="D938" s="21"/>
      <c r="E938" s="21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5.75" customHeight="1" x14ac:dyDescent="0.35">
      <c r="A939" s="3"/>
      <c r="B939" s="20"/>
      <c r="C939" s="21"/>
      <c r="D939" s="21"/>
      <c r="E939" s="21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5.75" customHeight="1" x14ac:dyDescent="0.35">
      <c r="A940" s="3"/>
      <c r="B940" s="20"/>
      <c r="C940" s="21"/>
      <c r="D940" s="21"/>
      <c r="E940" s="21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5.75" customHeight="1" x14ac:dyDescent="0.35">
      <c r="A941" s="3"/>
      <c r="B941" s="20"/>
      <c r="C941" s="21"/>
      <c r="D941" s="21"/>
      <c r="E941" s="21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5.75" customHeight="1" x14ac:dyDescent="0.35">
      <c r="A942" s="3"/>
      <c r="B942" s="20"/>
      <c r="C942" s="21"/>
      <c r="D942" s="21"/>
      <c r="E942" s="21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5.75" customHeight="1" x14ac:dyDescent="0.35">
      <c r="A943" s="3"/>
      <c r="B943" s="20"/>
      <c r="C943" s="21"/>
      <c r="D943" s="21"/>
      <c r="E943" s="21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5.75" customHeight="1" x14ac:dyDescent="0.35">
      <c r="A944" s="3"/>
      <c r="B944" s="20"/>
      <c r="C944" s="21"/>
      <c r="D944" s="21"/>
      <c r="E944" s="21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5.75" customHeight="1" x14ac:dyDescent="0.35">
      <c r="A945" s="3"/>
      <c r="B945" s="20"/>
      <c r="C945" s="21"/>
      <c r="D945" s="21"/>
      <c r="E945" s="21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5.75" customHeight="1" x14ac:dyDescent="0.35">
      <c r="A946" s="3"/>
      <c r="B946" s="20"/>
      <c r="C946" s="21"/>
      <c r="D946" s="21"/>
      <c r="E946" s="21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5.75" customHeight="1" x14ac:dyDescent="0.35">
      <c r="A947" s="3"/>
      <c r="B947" s="20"/>
      <c r="C947" s="21"/>
      <c r="D947" s="21"/>
      <c r="E947" s="21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5.75" customHeight="1" x14ac:dyDescent="0.35">
      <c r="A948" s="3"/>
      <c r="B948" s="20"/>
      <c r="C948" s="21"/>
      <c r="D948" s="21"/>
      <c r="E948" s="21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5.75" customHeight="1" x14ac:dyDescent="0.35">
      <c r="A949" s="3"/>
      <c r="B949" s="20"/>
      <c r="C949" s="21"/>
      <c r="D949" s="21"/>
      <c r="E949" s="21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5.75" customHeight="1" x14ac:dyDescent="0.35">
      <c r="A950" s="3"/>
      <c r="B950" s="20"/>
      <c r="C950" s="21"/>
      <c r="D950" s="21"/>
      <c r="E950" s="21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5.75" customHeight="1" x14ac:dyDescent="0.35">
      <c r="A951" s="3"/>
      <c r="B951" s="20"/>
      <c r="C951" s="21"/>
      <c r="D951" s="21"/>
      <c r="E951" s="21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5.75" customHeight="1" x14ac:dyDescent="0.35">
      <c r="A952" s="3"/>
      <c r="B952" s="20"/>
      <c r="C952" s="21"/>
      <c r="D952" s="21"/>
      <c r="E952" s="21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5.75" customHeight="1" x14ac:dyDescent="0.35">
      <c r="A953" s="3"/>
      <c r="B953" s="20"/>
      <c r="C953" s="21"/>
      <c r="D953" s="21"/>
      <c r="E953" s="21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5.75" customHeight="1" x14ac:dyDescent="0.35">
      <c r="A954" s="3"/>
      <c r="B954" s="20"/>
      <c r="C954" s="21"/>
      <c r="D954" s="21"/>
      <c r="E954" s="21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5.75" customHeight="1" x14ac:dyDescent="0.35">
      <c r="A955" s="3"/>
      <c r="B955" s="20"/>
      <c r="C955" s="21"/>
      <c r="D955" s="21"/>
      <c r="E955" s="21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5.75" customHeight="1" x14ac:dyDescent="0.35">
      <c r="A956" s="3"/>
      <c r="B956" s="20"/>
      <c r="C956" s="21"/>
      <c r="D956" s="21"/>
      <c r="E956" s="21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5.75" customHeight="1" x14ac:dyDescent="0.35">
      <c r="A957" s="3"/>
      <c r="B957" s="20"/>
      <c r="C957" s="21"/>
      <c r="D957" s="21"/>
      <c r="E957" s="21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5.75" customHeight="1" x14ac:dyDescent="0.35">
      <c r="A958" s="3"/>
      <c r="B958" s="20"/>
      <c r="C958" s="21"/>
      <c r="D958" s="21"/>
      <c r="E958" s="21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5.75" customHeight="1" x14ac:dyDescent="0.35">
      <c r="A959" s="3"/>
      <c r="B959" s="20"/>
      <c r="C959" s="21"/>
      <c r="D959" s="21"/>
      <c r="E959" s="21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5.75" customHeight="1" x14ac:dyDescent="0.35">
      <c r="A960" s="3"/>
      <c r="B960" s="20"/>
      <c r="C960" s="21"/>
      <c r="D960" s="21"/>
      <c r="E960" s="21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5.75" customHeight="1" x14ac:dyDescent="0.35">
      <c r="A961" s="3"/>
      <c r="B961" s="20"/>
      <c r="C961" s="21"/>
      <c r="D961" s="21"/>
      <c r="E961" s="21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5.75" customHeight="1" x14ac:dyDescent="0.35">
      <c r="A962" s="3"/>
      <c r="B962" s="20"/>
      <c r="C962" s="21"/>
      <c r="D962" s="21"/>
      <c r="E962" s="21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5.75" customHeight="1" x14ac:dyDescent="0.35">
      <c r="A963" s="3"/>
      <c r="B963" s="20"/>
      <c r="C963" s="21"/>
      <c r="D963" s="21"/>
      <c r="E963" s="21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5.75" customHeight="1" x14ac:dyDescent="0.35">
      <c r="A964" s="3"/>
      <c r="B964" s="20"/>
      <c r="C964" s="21"/>
      <c r="D964" s="21"/>
      <c r="E964" s="21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5.75" customHeight="1" x14ac:dyDescent="0.35">
      <c r="A965" s="3"/>
      <c r="B965" s="20"/>
      <c r="C965" s="21"/>
      <c r="D965" s="21"/>
      <c r="E965" s="21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5.75" customHeight="1" x14ac:dyDescent="0.35">
      <c r="A966" s="3"/>
      <c r="B966" s="20"/>
      <c r="C966" s="21"/>
      <c r="D966" s="21"/>
      <c r="E966" s="21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5.75" customHeight="1" x14ac:dyDescent="0.35">
      <c r="A967" s="3"/>
      <c r="B967" s="20"/>
      <c r="C967" s="21"/>
      <c r="D967" s="21"/>
      <c r="E967" s="21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5.75" customHeight="1" x14ac:dyDescent="0.35">
      <c r="A968" s="3"/>
      <c r="B968" s="20"/>
      <c r="C968" s="21"/>
      <c r="D968" s="21"/>
      <c r="E968" s="21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5.75" customHeight="1" x14ac:dyDescent="0.35">
      <c r="A969" s="3"/>
      <c r="B969" s="20"/>
      <c r="C969" s="21"/>
      <c r="D969" s="21"/>
      <c r="E969" s="21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5.75" customHeight="1" x14ac:dyDescent="0.35">
      <c r="A970" s="3"/>
      <c r="B970" s="20"/>
      <c r="C970" s="21"/>
      <c r="D970" s="21"/>
      <c r="E970" s="21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5.75" customHeight="1" x14ac:dyDescent="0.35">
      <c r="A971" s="3"/>
      <c r="B971" s="20"/>
      <c r="C971" s="21"/>
      <c r="D971" s="21"/>
      <c r="E971" s="21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5.75" customHeight="1" x14ac:dyDescent="0.35">
      <c r="A972" s="3"/>
      <c r="B972" s="20"/>
      <c r="C972" s="21"/>
      <c r="D972" s="21"/>
      <c r="E972" s="21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5.75" customHeight="1" x14ac:dyDescent="0.35">
      <c r="A973" s="3"/>
      <c r="B973" s="20"/>
      <c r="C973" s="21"/>
      <c r="D973" s="21"/>
      <c r="E973" s="21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5.75" customHeight="1" x14ac:dyDescent="0.35">
      <c r="A974" s="3"/>
      <c r="B974" s="20"/>
      <c r="C974" s="21"/>
      <c r="D974" s="21"/>
      <c r="E974" s="21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5.75" customHeight="1" x14ac:dyDescent="0.35">
      <c r="A975" s="3"/>
      <c r="B975" s="20"/>
      <c r="C975" s="21"/>
      <c r="D975" s="21"/>
      <c r="E975" s="21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5.75" customHeight="1" x14ac:dyDescent="0.35">
      <c r="A976" s="3"/>
      <c r="B976" s="20"/>
      <c r="C976" s="21"/>
      <c r="D976" s="21"/>
      <c r="E976" s="21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5.75" customHeight="1" x14ac:dyDescent="0.35">
      <c r="A977" s="3"/>
      <c r="B977" s="20"/>
      <c r="C977" s="21"/>
      <c r="D977" s="21"/>
      <c r="E977" s="21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5.75" customHeight="1" x14ac:dyDescent="0.35">
      <c r="A978" s="3"/>
      <c r="B978" s="20"/>
      <c r="C978" s="21"/>
      <c r="D978" s="21"/>
      <c r="E978" s="21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5.75" customHeight="1" x14ac:dyDescent="0.35">
      <c r="A979" s="3"/>
      <c r="B979" s="20"/>
      <c r="C979" s="21"/>
      <c r="D979" s="21"/>
      <c r="E979" s="21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5.75" customHeight="1" x14ac:dyDescent="0.35">
      <c r="A980" s="3"/>
      <c r="B980" s="20"/>
      <c r="C980" s="21"/>
      <c r="D980" s="21"/>
      <c r="E980" s="21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5.75" customHeight="1" x14ac:dyDescent="0.35">
      <c r="A981" s="3"/>
      <c r="B981" s="20"/>
      <c r="C981" s="21"/>
      <c r="D981" s="21"/>
      <c r="E981" s="21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5.75" customHeight="1" x14ac:dyDescent="0.35">
      <c r="A982" s="3"/>
      <c r="B982" s="20"/>
      <c r="C982" s="21"/>
      <c r="D982" s="21"/>
      <c r="E982" s="21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5.75" customHeight="1" x14ac:dyDescent="0.35">
      <c r="A983" s="3"/>
      <c r="B983" s="20"/>
      <c r="C983" s="21"/>
      <c r="D983" s="21"/>
      <c r="E983" s="21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5.75" customHeight="1" x14ac:dyDescent="0.35">
      <c r="A984" s="3"/>
      <c r="B984" s="20"/>
      <c r="C984" s="21"/>
      <c r="D984" s="21"/>
      <c r="E984" s="21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5.75" customHeight="1" x14ac:dyDescent="0.35">
      <c r="A985" s="3"/>
      <c r="B985" s="20"/>
      <c r="C985" s="21"/>
      <c r="D985" s="21"/>
      <c r="E985" s="21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5.75" customHeight="1" x14ac:dyDescent="0.35">
      <c r="A986" s="3"/>
      <c r="B986" s="20"/>
      <c r="C986" s="21"/>
      <c r="D986" s="21"/>
      <c r="E986" s="21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5.75" customHeight="1" x14ac:dyDescent="0.35">
      <c r="A987" s="3"/>
      <c r="B987" s="20"/>
      <c r="C987" s="21"/>
      <c r="D987" s="21"/>
      <c r="E987" s="21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5.75" customHeight="1" x14ac:dyDescent="0.35">
      <c r="A988" s="3"/>
      <c r="B988" s="20"/>
      <c r="C988" s="21"/>
      <c r="D988" s="21"/>
      <c r="E988" s="21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5.75" customHeight="1" x14ac:dyDescent="0.35">
      <c r="A989" s="3"/>
      <c r="B989" s="20"/>
      <c r="C989" s="21"/>
      <c r="D989" s="21"/>
      <c r="E989" s="21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5.75" customHeight="1" x14ac:dyDescent="0.35">
      <c r="A990" s="3"/>
      <c r="B990" s="20"/>
      <c r="C990" s="21"/>
      <c r="D990" s="21"/>
      <c r="E990" s="21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5.75" customHeight="1" x14ac:dyDescent="0.35">
      <c r="A991" s="3"/>
      <c r="B991" s="20"/>
      <c r="C991" s="21"/>
      <c r="D991" s="21"/>
      <c r="E991" s="21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5.75" customHeight="1" x14ac:dyDescent="0.35">
      <c r="A992" s="3"/>
      <c r="B992" s="20"/>
      <c r="C992" s="21"/>
      <c r="D992" s="21"/>
      <c r="E992" s="21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5.75" customHeight="1" x14ac:dyDescent="0.35">
      <c r="A993" s="3"/>
      <c r="B993" s="20"/>
      <c r="C993" s="21"/>
      <c r="D993" s="21"/>
      <c r="E993" s="21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5.75" customHeight="1" x14ac:dyDescent="0.35">
      <c r="A994" s="3"/>
      <c r="B994" s="20"/>
      <c r="C994" s="21"/>
      <c r="D994" s="21"/>
      <c r="E994" s="21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5.75" customHeight="1" x14ac:dyDescent="0.35">
      <c r="A995" s="3"/>
      <c r="B995" s="20"/>
      <c r="C995" s="21"/>
      <c r="D995" s="21"/>
      <c r="E995" s="21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5.75" customHeight="1" x14ac:dyDescent="0.35">
      <c r="A996" s="3"/>
      <c r="B996" s="20"/>
      <c r="C996" s="21"/>
      <c r="D996" s="21"/>
      <c r="E996" s="21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5.75" customHeight="1" x14ac:dyDescent="0.35">
      <c r="A997" s="3"/>
      <c r="B997" s="20"/>
      <c r="C997" s="21"/>
      <c r="D997" s="21"/>
      <c r="E997" s="21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15.75" customHeight="1" x14ac:dyDescent="0.35">
      <c r="A998" s="3"/>
      <c r="B998" s="20"/>
      <c r="C998" s="21"/>
      <c r="D998" s="21"/>
      <c r="E998" s="21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ht="15.75" customHeight="1" x14ac:dyDescent="0.35">
      <c r="A999" s="3"/>
      <c r="B999" s="20"/>
      <c r="C999" s="21"/>
      <c r="D999" s="21"/>
      <c r="E999" s="21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ht="15.75" customHeight="1" x14ac:dyDescent="0.35">
      <c r="A1000" s="3"/>
      <c r="B1000" s="20"/>
      <c r="C1000" s="21"/>
      <c r="D1000" s="21"/>
      <c r="E1000" s="21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 spans="1:25" ht="15.75" customHeight="1" x14ac:dyDescent="0.35">
      <c r="A1001" s="3"/>
      <c r="B1001" s="20"/>
      <c r="C1001" s="21"/>
      <c r="D1001" s="21"/>
      <c r="E1001" s="21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 spans="1:25" ht="15.75" customHeight="1" x14ac:dyDescent="0.35">
      <c r="A1002" s="3"/>
      <c r="B1002" s="20"/>
      <c r="C1002" s="21"/>
      <c r="D1002" s="21"/>
      <c r="E1002" s="21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 spans="1:25" ht="15.75" customHeight="1" x14ac:dyDescent="0.35">
      <c r="A1003" s="3"/>
      <c r="B1003" s="20"/>
      <c r="C1003" s="21"/>
      <c r="D1003" s="21"/>
      <c r="E1003" s="21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 spans="1:25" ht="15.75" customHeight="1" x14ac:dyDescent="0.35">
      <c r="A1004" s="3"/>
      <c r="B1004" s="20"/>
      <c r="C1004" s="21"/>
      <c r="D1004" s="21"/>
      <c r="E1004" s="21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 spans="1:25" ht="15.75" customHeight="1" x14ac:dyDescent="0.35">
      <c r="A1005" s="3"/>
      <c r="B1005" s="20"/>
      <c r="C1005" s="21"/>
      <c r="D1005" s="21"/>
      <c r="E1005" s="21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 spans="1:25" ht="15.75" customHeight="1" x14ac:dyDescent="0.35">
      <c r="A1006" s="3"/>
      <c r="B1006" s="20"/>
      <c r="C1006" s="21"/>
      <c r="D1006" s="21"/>
      <c r="E1006" s="21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 spans="1:25" ht="15.75" customHeight="1" x14ac:dyDescent="0.35">
      <c r="A1007" s="3"/>
      <c r="B1007" s="20"/>
      <c r="C1007" s="21"/>
      <c r="D1007" s="21"/>
      <c r="E1007" s="21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  <row r="1008" spans="1:25" ht="15.75" customHeight="1" x14ac:dyDescent="0.35">
      <c r="A1008" s="3"/>
      <c r="B1008" s="20"/>
      <c r="C1008" s="21"/>
      <c r="D1008" s="21"/>
      <c r="E1008" s="21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</row>
    <row r="1009" spans="1:25" ht="15.75" customHeight="1" x14ac:dyDescent="0.35">
      <c r="A1009" s="3"/>
      <c r="B1009" s="20"/>
      <c r="C1009" s="21"/>
      <c r="D1009" s="21"/>
      <c r="E1009" s="21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</row>
    <row r="1010" spans="1:25" ht="15.75" customHeight="1" x14ac:dyDescent="0.35">
      <c r="A1010" s="3"/>
      <c r="B1010" s="20"/>
      <c r="C1010" s="21"/>
      <c r="D1010" s="21"/>
      <c r="E1010" s="21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</row>
    <row r="1011" spans="1:25" ht="15.75" customHeight="1" x14ac:dyDescent="0.35">
      <c r="A1011" s="3"/>
      <c r="B1011" s="20"/>
      <c r="C1011" s="21"/>
      <c r="D1011" s="21"/>
      <c r="E1011" s="21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</row>
  </sheetData>
  <pageMargins left="0.4" right="0.4" top="0.4" bottom="0.4" header="0" footer="0"/>
  <pageSetup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  <pageSetUpPr fitToPage="1"/>
  </sheetPr>
  <dimension ref="A1:X1009"/>
  <sheetViews>
    <sheetView showGridLines="0" zoomScale="50" zoomScaleNormal="50" workbookViewId="0">
      <pane ySplit="1" topLeftCell="A2" activePane="bottomLeft" state="frozen"/>
      <selection pane="bottomLeft" activeCell="B1" sqref="B1:I80"/>
    </sheetView>
  </sheetViews>
  <sheetFormatPr defaultColWidth="14.453125" defaultRowHeight="15" customHeight="1" x14ac:dyDescent="0.35"/>
  <cols>
    <col min="1" max="1" width="3.36328125" customWidth="1"/>
    <col min="2" max="2" width="40.1796875" customWidth="1"/>
    <col min="3" max="3" width="15.81640625" customWidth="1"/>
    <col min="4" max="4" width="25.36328125" bestFit="1" customWidth="1"/>
    <col min="5" max="15" width="22.36328125" bestFit="1" customWidth="1"/>
    <col min="16" max="16" width="2.36328125" customWidth="1"/>
    <col min="17" max="17" width="24" bestFit="1" customWidth="1"/>
    <col min="18" max="23" width="28.6328125" customWidth="1"/>
  </cols>
  <sheetData>
    <row r="1" spans="1:24" ht="45" customHeight="1" x14ac:dyDescent="0.35">
      <c r="A1" s="24"/>
      <c r="B1" s="305" t="s">
        <v>29</v>
      </c>
      <c r="C1" s="306"/>
      <c r="D1" s="306"/>
      <c r="E1" s="306"/>
      <c r="F1" s="306"/>
      <c r="G1" s="306"/>
      <c r="H1" s="307"/>
      <c r="I1" s="25"/>
      <c r="J1" s="25"/>
      <c r="K1" s="25"/>
      <c r="L1" s="25"/>
      <c r="M1" s="25"/>
      <c r="N1" s="25"/>
      <c r="O1" s="25"/>
      <c r="P1" s="25"/>
      <c r="Q1" s="25"/>
      <c r="R1" s="24"/>
      <c r="S1" s="24"/>
      <c r="T1" s="24"/>
      <c r="U1" s="24"/>
      <c r="V1" s="24"/>
      <c r="W1" s="24"/>
      <c r="X1" s="24"/>
    </row>
    <row r="2" spans="1:24" ht="21.75" customHeight="1" x14ac:dyDescent="0.35">
      <c r="A2" s="26"/>
      <c r="B2" s="308" t="s">
        <v>30</v>
      </c>
      <c r="C2" s="309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8"/>
      <c r="S2" s="28"/>
      <c r="T2" s="28"/>
      <c r="U2" s="28"/>
      <c r="V2" s="28"/>
      <c r="W2" s="28"/>
    </row>
    <row r="3" spans="1:24" ht="34.5" customHeight="1" x14ac:dyDescent="0.35">
      <c r="A3" s="29"/>
      <c r="B3" s="310" t="s">
        <v>199</v>
      </c>
      <c r="C3" s="311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29"/>
      <c r="S3" s="29"/>
      <c r="T3" s="29"/>
      <c r="U3" s="29"/>
      <c r="V3" s="29"/>
      <c r="W3" s="29"/>
    </row>
    <row r="4" spans="1:24" ht="15" customHeight="1" x14ac:dyDescent="0.35">
      <c r="A4" s="28"/>
      <c r="B4" s="31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28"/>
      <c r="S4" s="28"/>
      <c r="T4" s="28"/>
      <c r="U4" s="28"/>
      <c r="V4" s="28"/>
      <c r="W4" s="28"/>
    </row>
    <row r="5" spans="1:24" ht="21.75" customHeight="1" x14ac:dyDescent="0.35">
      <c r="A5" s="26"/>
      <c r="B5" s="308" t="s">
        <v>31</v>
      </c>
      <c r="C5" s="309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8"/>
      <c r="S5" s="28"/>
      <c r="T5" s="28"/>
      <c r="U5" s="28"/>
      <c r="V5" s="28"/>
      <c r="W5" s="28"/>
    </row>
    <row r="6" spans="1:24" ht="34.5" customHeight="1" x14ac:dyDescent="0.35">
      <c r="A6" s="29"/>
      <c r="B6" s="310" t="s">
        <v>244</v>
      </c>
      <c r="C6" s="311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29"/>
      <c r="S6" s="29"/>
      <c r="T6" s="29"/>
      <c r="U6" s="29"/>
      <c r="V6" s="29"/>
      <c r="W6" s="29"/>
    </row>
    <row r="7" spans="1:24" ht="15" customHeight="1" x14ac:dyDescent="0.35">
      <c r="A7" s="28"/>
      <c r="B7" s="33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28"/>
      <c r="S7" s="28"/>
      <c r="T7" s="28"/>
      <c r="U7" s="28"/>
      <c r="V7" s="28"/>
      <c r="W7" s="28"/>
    </row>
    <row r="8" spans="1:24" ht="19.5" customHeight="1" x14ac:dyDescent="0.35">
      <c r="A8" s="29"/>
      <c r="B8" s="31"/>
      <c r="C8" s="303" t="s">
        <v>32</v>
      </c>
      <c r="D8" s="255" t="s">
        <v>33</v>
      </c>
      <c r="E8" s="255" t="s">
        <v>34</v>
      </c>
      <c r="F8" s="255" t="s">
        <v>35</v>
      </c>
      <c r="G8" s="255" t="s">
        <v>36</v>
      </c>
      <c r="H8" s="255" t="s">
        <v>37</v>
      </c>
      <c r="I8" s="255" t="s">
        <v>38</v>
      </c>
      <c r="J8" s="255" t="s">
        <v>39</v>
      </c>
      <c r="K8" s="255" t="s">
        <v>40</v>
      </c>
      <c r="L8" s="255" t="s">
        <v>41</v>
      </c>
      <c r="M8" s="255" t="s">
        <v>42</v>
      </c>
      <c r="N8" s="255" t="s">
        <v>43</v>
      </c>
      <c r="O8" s="256" t="s">
        <v>44</v>
      </c>
      <c r="P8" s="30"/>
      <c r="Q8" s="255" t="s">
        <v>45</v>
      </c>
      <c r="R8" s="29"/>
      <c r="S8" s="29"/>
      <c r="T8" s="29"/>
      <c r="U8" s="29"/>
      <c r="V8" s="29"/>
      <c r="W8" s="29"/>
    </row>
    <row r="9" spans="1:24" s="93" customFormat="1" ht="19.5" customHeight="1" x14ac:dyDescent="0.35">
      <c r="A9" s="99"/>
      <c r="B9" s="100"/>
      <c r="C9" s="304"/>
      <c r="D9" s="34" t="s">
        <v>128</v>
      </c>
      <c r="E9" s="34" t="s">
        <v>128</v>
      </c>
      <c r="F9" s="34" t="s">
        <v>128</v>
      </c>
      <c r="G9" s="34" t="s">
        <v>128</v>
      </c>
      <c r="H9" s="34" t="s">
        <v>128</v>
      </c>
      <c r="I9" s="34" t="s">
        <v>128</v>
      </c>
      <c r="J9" s="34" t="s">
        <v>128</v>
      </c>
      <c r="K9" s="34" t="s">
        <v>128</v>
      </c>
      <c r="L9" s="34" t="s">
        <v>128</v>
      </c>
      <c r="M9" s="34" t="s">
        <v>128</v>
      </c>
      <c r="N9" s="34" t="s">
        <v>128</v>
      </c>
      <c r="O9" s="34" t="s">
        <v>128</v>
      </c>
      <c r="P9" s="98"/>
      <c r="Q9" s="34" t="s">
        <v>128</v>
      </c>
      <c r="R9" s="99"/>
      <c r="S9" s="99"/>
      <c r="T9" s="99"/>
      <c r="U9" s="99"/>
      <c r="V9" s="99"/>
      <c r="W9" s="99"/>
    </row>
    <row r="10" spans="1:24" ht="19.5" customHeight="1" x14ac:dyDescent="0.35">
      <c r="A10" s="28"/>
      <c r="B10" s="35" t="s">
        <v>48</v>
      </c>
      <c r="C10" s="36"/>
      <c r="D10" s="37">
        <f>D19</f>
        <v>11160000</v>
      </c>
      <c r="E10" s="37">
        <f t="shared" ref="E10:O10" si="0">E19</f>
        <v>11160000</v>
      </c>
      <c r="F10" s="37">
        <f t="shared" si="0"/>
        <v>11160000</v>
      </c>
      <c r="G10" s="37">
        <f t="shared" si="0"/>
        <v>11160000</v>
      </c>
      <c r="H10" s="37">
        <f t="shared" si="0"/>
        <v>11160000</v>
      </c>
      <c r="I10" s="37">
        <f t="shared" si="0"/>
        <v>11160000</v>
      </c>
      <c r="J10" s="37">
        <f t="shared" si="0"/>
        <v>11160000</v>
      </c>
      <c r="K10" s="37">
        <f t="shared" si="0"/>
        <v>11160000</v>
      </c>
      <c r="L10" s="37">
        <f t="shared" si="0"/>
        <v>11160000</v>
      </c>
      <c r="M10" s="37">
        <f t="shared" si="0"/>
        <v>11160000</v>
      </c>
      <c r="N10" s="37">
        <f t="shared" si="0"/>
        <v>11160000</v>
      </c>
      <c r="O10" s="37">
        <f t="shared" si="0"/>
        <v>11160000</v>
      </c>
      <c r="P10" s="38"/>
      <c r="Q10" s="37">
        <f>SUM(D10:O10)</f>
        <v>133920000</v>
      </c>
      <c r="R10" s="28"/>
      <c r="S10" s="28"/>
      <c r="T10" s="28"/>
      <c r="U10" s="28"/>
    </row>
    <row r="11" spans="1:24" ht="19.5" customHeight="1" x14ac:dyDescent="0.35">
      <c r="A11" s="28"/>
      <c r="B11" s="39" t="s">
        <v>46</v>
      </c>
      <c r="C11" s="36"/>
      <c r="D11" s="37">
        <f>D48</f>
        <v>241248604.43333334</v>
      </c>
      <c r="E11" s="37">
        <f t="shared" ref="E11:O11" si="1">E48</f>
        <v>1676333.3333333333</v>
      </c>
      <c r="F11" s="37">
        <f t="shared" si="1"/>
        <v>1676333.3333333333</v>
      </c>
      <c r="G11" s="37">
        <f t="shared" si="1"/>
        <v>1676333.3333333333</v>
      </c>
      <c r="H11" s="37">
        <f t="shared" si="1"/>
        <v>1676333.3333333333</v>
      </c>
      <c r="I11" s="37">
        <f t="shared" si="1"/>
        <v>1676333.3333333333</v>
      </c>
      <c r="J11" s="37">
        <f t="shared" si="1"/>
        <v>1676333.3333333333</v>
      </c>
      <c r="K11" s="37">
        <f t="shared" si="1"/>
        <v>1676333.3333333333</v>
      </c>
      <c r="L11" s="37">
        <f t="shared" si="1"/>
        <v>1676333.3333333333</v>
      </c>
      <c r="M11" s="37">
        <f t="shared" si="1"/>
        <v>1676333.3333333333</v>
      </c>
      <c r="N11" s="37">
        <f t="shared" si="1"/>
        <v>1651333.3333333333</v>
      </c>
      <c r="O11" s="37">
        <f t="shared" si="1"/>
        <v>1651333.3333333333</v>
      </c>
      <c r="P11" s="28"/>
      <c r="Q11" s="37">
        <f>SUM(D11:O11)</f>
        <v>259638271.10000011</v>
      </c>
      <c r="R11" s="28"/>
      <c r="S11" s="28"/>
      <c r="T11" s="28"/>
      <c r="U11" s="28"/>
      <c r="V11" s="28"/>
      <c r="W11" s="28"/>
    </row>
    <row r="12" spans="1:24" ht="21.75" customHeight="1" x14ac:dyDescent="0.35">
      <c r="A12" s="28"/>
      <c r="B12" s="40" t="s">
        <v>47</v>
      </c>
      <c r="C12" s="41"/>
      <c r="D12" s="37">
        <f t="shared" ref="D12" si="2">D10-D11</f>
        <v>-230088604.43333334</v>
      </c>
      <c r="E12" s="37">
        <f t="shared" ref="E12:O12" si="3">E10-E11</f>
        <v>9483666.666666666</v>
      </c>
      <c r="F12" s="37">
        <f t="shared" si="3"/>
        <v>9483666.666666666</v>
      </c>
      <c r="G12" s="37">
        <f t="shared" si="3"/>
        <v>9483666.666666666</v>
      </c>
      <c r="H12" s="37">
        <f t="shared" si="3"/>
        <v>9483666.666666666</v>
      </c>
      <c r="I12" s="37">
        <f t="shared" si="3"/>
        <v>9483666.666666666</v>
      </c>
      <c r="J12" s="37">
        <f t="shared" si="3"/>
        <v>9483666.666666666</v>
      </c>
      <c r="K12" s="37">
        <f t="shared" si="3"/>
        <v>9483666.666666666</v>
      </c>
      <c r="L12" s="37">
        <f t="shared" si="3"/>
        <v>9483666.666666666</v>
      </c>
      <c r="M12" s="37">
        <f t="shared" si="3"/>
        <v>9483666.666666666</v>
      </c>
      <c r="N12" s="37">
        <f t="shared" si="3"/>
        <v>9508666.666666666</v>
      </c>
      <c r="O12" s="37">
        <f t="shared" si="3"/>
        <v>9508666.666666666</v>
      </c>
      <c r="P12" s="30"/>
      <c r="Q12" s="37">
        <f>Q10-Q11</f>
        <v>-125718271.10000011</v>
      </c>
      <c r="R12" s="28"/>
      <c r="S12" s="28"/>
      <c r="T12" s="28"/>
      <c r="U12" s="28"/>
    </row>
    <row r="13" spans="1:24" ht="19.5" customHeight="1" x14ac:dyDescent="0.35">
      <c r="A13" s="28"/>
      <c r="B13" s="28"/>
      <c r="C13" s="3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38"/>
      <c r="Q13" s="28"/>
      <c r="R13" s="28"/>
      <c r="S13" s="28"/>
      <c r="T13" s="28"/>
      <c r="U13" s="28"/>
    </row>
    <row r="14" spans="1:24" ht="19.5" customHeight="1" x14ac:dyDescent="0.35">
      <c r="A14" s="42"/>
      <c r="B14" s="43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2"/>
      <c r="S14" s="42"/>
      <c r="T14" s="42"/>
      <c r="U14" s="42"/>
      <c r="V14" s="42"/>
      <c r="W14" s="42"/>
      <c r="X14" s="45"/>
    </row>
    <row r="15" spans="1:24" ht="19.5" customHeight="1" x14ac:dyDescent="0.35">
      <c r="A15" s="29"/>
      <c r="B15" s="303" t="s">
        <v>48</v>
      </c>
      <c r="C15" s="303" t="s">
        <v>32</v>
      </c>
      <c r="D15" s="257" t="s">
        <v>33</v>
      </c>
      <c r="E15" s="257" t="s">
        <v>34</v>
      </c>
      <c r="F15" s="257" t="s">
        <v>35</v>
      </c>
      <c r="G15" s="257" t="s">
        <v>36</v>
      </c>
      <c r="H15" s="257" t="s">
        <v>37</v>
      </c>
      <c r="I15" s="257" t="s">
        <v>38</v>
      </c>
      <c r="J15" s="257" t="s">
        <v>39</v>
      </c>
      <c r="K15" s="257" t="s">
        <v>40</v>
      </c>
      <c r="L15" s="257" t="s">
        <v>41</v>
      </c>
      <c r="M15" s="257" t="s">
        <v>42</v>
      </c>
      <c r="N15" s="257" t="s">
        <v>43</v>
      </c>
      <c r="O15" s="257" t="s">
        <v>44</v>
      </c>
      <c r="P15" s="30"/>
      <c r="Q15" s="257" t="s">
        <v>45</v>
      </c>
      <c r="R15" s="29"/>
      <c r="S15" s="29"/>
      <c r="T15" s="29"/>
      <c r="U15" s="29"/>
      <c r="V15" s="29"/>
      <c r="W15" s="29"/>
    </row>
    <row r="16" spans="1:24" s="93" customFormat="1" ht="19.5" customHeight="1" x14ac:dyDescent="0.35">
      <c r="A16" s="99"/>
      <c r="B16" s="304"/>
      <c r="C16" s="304"/>
      <c r="D16" s="47" t="s">
        <v>128</v>
      </c>
      <c r="E16" s="47" t="s">
        <v>128</v>
      </c>
      <c r="F16" s="47" t="s">
        <v>128</v>
      </c>
      <c r="G16" s="47" t="s">
        <v>128</v>
      </c>
      <c r="H16" s="47" t="s">
        <v>128</v>
      </c>
      <c r="I16" s="47" t="s">
        <v>128</v>
      </c>
      <c r="J16" s="47" t="s">
        <v>128</v>
      </c>
      <c r="K16" s="47" t="s">
        <v>128</v>
      </c>
      <c r="L16" s="47" t="s">
        <v>128</v>
      </c>
      <c r="M16" s="47" t="s">
        <v>128</v>
      </c>
      <c r="N16" s="47" t="s">
        <v>128</v>
      </c>
      <c r="O16" s="47" t="s">
        <v>128</v>
      </c>
      <c r="P16" s="98"/>
      <c r="Q16" s="47" t="s">
        <v>128</v>
      </c>
      <c r="R16" s="99"/>
      <c r="S16" s="99"/>
      <c r="T16" s="99"/>
      <c r="U16" s="99"/>
      <c r="V16" s="99"/>
      <c r="W16" s="99"/>
    </row>
    <row r="17" spans="1:21" ht="19.5" customHeight="1" x14ac:dyDescent="0.35">
      <c r="A17" s="28"/>
      <c r="B17" s="17" t="s">
        <v>235</v>
      </c>
      <c r="C17" s="48"/>
      <c r="D17" s="49">
        <f>'REVENUE GENERATION'!N4</f>
        <v>11160000</v>
      </c>
      <c r="E17" s="49">
        <f>'REVENUE GENERATION'!N4</f>
        <v>11160000</v>
      </c>
      <c r="F17" s="49">
        <f>'REVENUE GENERATION'!N4</f>
        <v>11160000</v>
      </c>
      <c r="G17" s="49">
        <f>'REVENUE GENERATION'!N4</f>
        <v>11160000</v>
      </c>
      <c r="H17" s="49">
        <f t="shared" ref="H17:O18" si="4">G17</f>
        <v>11160000</v>
      </c>
      <c r="I17" s="49">
        <f t="shared" si="4"/>
        <v>11160000</v>
      </c>
      <c r="J17" s="49">
        <f t="shared" si="4"/>
        <v>11160000</v>
      </c>
      <c r="K17" s="49">
        <f t="shared" si="4"/>
        <v>11160000</v>
      </c>
      <c r="L17" s="49">
        <f t="shared" si="4"/>
        <v>11160000</v>
      </c>
      <c r="M17" s="49">
        <f t="shared" si="4"/>
        <v>11160000</v>
      </c>
      <c r="N17" s="49">
        <f t="shared" si="4"/>
        <v>11160000</v>
      </c>
      <c r="O17" s="49">
        <f t="shared" si="4"/>
        <v>11160000</v>
      </c>
      <c r="P17" s="38"/>
      <c r="Q17" s="49">
        <f>D17+E17+F17+G17+H17+I17+J17+K17+L17+M17+N17+O17</f>
        <v>133920000</v>
      </c>
      <c r="R17" s="28"/>
      <c r="S17" s="28"/>
      <c r="T17" s="28"/>
      <c r="U17" s="28"/>
    </row>
    <row r="18" spans="1:21" ht="19.5" customHeight="1" x14ac:dyDescent="0.35">
      <c r="A18" s="28"/>
      <c r="B18" s="17" t="s">
        <v>236</v>
      </c>
      <c r="C18" s="48"/>
      <c r="D18" s="49">
        <f>'REVENUE GENERATION'!N5</f>
        <v>0</v>
      </c>
      <c r="E18" s="49">
        <f>'REVENUE GENERATION'!N5</f>
        <v>0</v>
      </c>
      <c r="F18" s="49">
        <f>'REVENUE GENERATION'!N5</f>
        <v>0</v>
      </c>
      <c r="G18" s="49">
        <f>'REVENUE GENERATION'!N5</f>
        <v>0</v>
      </c>
      <c r="H18" s="49">
        <f t="shared" si="4"/>
        <v>0</v>
      </c>
      <c r="I18" s="49">
        <f t="shared" si="4"/>
        <v>0</v>
      </c>
      <c r="J18" s="49">
        <f t="shared" si="4"/>
        <v>0</v>
      </c>
      <c r="K18" s="49">
        <f t="shared" si="4"/>
        <v>0</v>
      </c>
      <c r="L18" s="49">
        <f t="shared" si="4"/>
        <v>0</v>
      </c>
      <c r="M18" s="49">
        <f t="shared" si="4"/>
        <v>0</v>
      </c>
      <c r="N18" s="49">
        <f t="shared" si="4"/>
        <v>0</v>
      </c>
      <c r="O18" s="49">
        <f t="shared" si="4"/>
        <v>0</v>
      </c>
      <c r="P18" s="38"/>
      <c r="Q18" s="49">
        <f>D18+E18+F18+G18+H18+I18+J18+K18+L18+M18+N18+O18</f>
        <v>0</v>
      </c>
      <c r="R18" s="28"/>
      <c r="S18" s="28"/>
      <c r="T18" s="28"/>
      <c r="U18" s="28"/>
    </row>
    <row r="19" spans="1:21" ht="19.5" customHeight="1" x14ac:dyDescent="0.35">
      <c r="A19" s="28"/>
      <c r="B19" s="50" t="s">
        <v>49</v>
      </c>
      <c r="C19" s="88"/>
      <c r="D19" s="87">
        <f>SUM(D17:D18)</f>
        <v>11160000</v>
      </c>
      <c r="E19" s="87">
        <f t="shared" ref="E19:O19" si="5">SUM(E17:E18)</f>
        <v>11160000</v>
      </c>
      <c r="F19" s="87">
        <f t="shared" si="5"/>
        <v>11160000</v>
      </c>
      <c r="G19" s="87">
        <f t="shared" si="5"/>
        <v>11160000</v>
      </c>
      <c r="H19" s="87">
        <f t="shared" si="5"/>
        <v>11160000</v>
      </c>
      <c r="I19" s="87">
        <f t="shared" si="5"/>
        <v>11160000</v>
      </c>
      <c r="J19" s="87">
        <f t="shared" si="5"/>
        <v>11160000</v>
      </c>
      <c r="K19" s="87">
        <f t="shared" si="5"/>
        <v>11160000</v>
      </c>
      <c r="L19" s="87">
        <f t="shared" si="5"/>
        <v>11160000</v>
      </c>
      <c r="M19" s="87">
        <f t="shared" si="5"/>
        <v>11160000</v>
      </c>
      <c r="N19" s="87">
        <f t="shared" si="5"/>
        <v>11160000</v>
      </c>
      <c r="O19" s="87">
        <f t="shared" si="5"/>
        <v>11160000</v>
      </c>
      <c r="P19" s="38"/>
      <c r="Q19" s="87">
        <f>SUM(Q17:Q18)</f>
        <v>133920000</v>
      </c>
      <c r="R19" s="28"/>
      <c r="S19" s="28"/>
      <c r="T19" s="28"/>
      <c r="U19" s="28"/>
    </row>
    <row r="20" spans="1:21" ht="19.5" customHeight="1" x14ac:dyDescent="0.35">
      <c r="A20" s="28"/>
      <c r="B20" s="28"/>
      <c r="C20" s="3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38"/>
      <c r="Q20" s="28"/>
      <c r="R20" s="28"/>
      <c r="S20" s="28"/>
      <c r="T20" s="28"/>
      <c r="U20" s="28"/>
    </row>
    <row r="21" spans="1:21" ht="19.5" customHeight="1" x14ac:dyDescent="0.35">
      <c r="A21" s="28"/>
      <c r="B21" s="303" t="s">
        <v>50</v>
      </c>
      <c r="C21" s="303" t="s">
        <v>32</v>
      </c>
      <c r="D21" s="255" t="s">
        <v>33</v>
      </c>
      <c r="E21" s="255" t="s">
        <v>34</v>
      </c>
      <c r="F21" s="255" t="s">
        <v>35</v>
      </c>
      <c r="G21" s="255" t="s">
        <v>36</v>
      </c>
      <c r="H21" s="255" t="s">
        <v>37</v>
      </c>
      <c r="I21" s="255" t="s">
        <v>38</v>
      </c>
      <c r="J21" s="255" t="s">
        <v>39</v>
      </c>
      <c r="K21" s="255" t="s">
        <v>40</v>
      </c>
      <c r="L21" s="255" t="s">
        <v>41</v>
      </c>
      <c r="M21" s="255" t="s">
        <v>42</v>
      </c>
      <c r="N21" s="255" t="s">
        <v>43</v>
      </c>
      <c r="O21" s="256" t="s">
        <v>44</v>
      </c>
      <c r="P21" s="38"/>
      <c r="Q21" s="255" t="s">
        <v>45</v>
      </c>
      <c r="R21" s="28"/>
      <c r="S21" s="28"/>
      <c r="T21" s="28"/>
      <c r="U21" s="28"/>
    </row>
    <row r="22" spans="1:21" s="93" customFormat="1" ht="19.5" customHeight="1" x14ac:dyDescent="0.35">
      <c r="A22" s="86"/>
      <c r="B22" s="304"/>
      <c r="C22" s="304"/>
      <c r="D22" s="34" t="s">
        <v>128</v>
      </c>
      <c r="E22" s="34" t="s">
        <v>128</v>
      </c>
      <c r="F22" s="34" t="s">
        <v>128</v>
      </c>
      <c r="G22" s="34" t="s">
        <v>128</v>
      </c>
      <c r="H22" s="34" t="s">
        <v>128</v>
      </c>
      <c r="I22" s="34" t="s">
        <v>128</v>
      </c>
      <c r="J22" s="34" t="s">
        <v>128</v>
      </c>
      <c r="K22" s="34" t="s">
        <v>128</v>
      </c>
      <c r="L22" s="34" t="s">
        <v>128</v>
      </c>
      <c r="M22" s="34" t="s">
        <v>128</v>
      </c>
      <c r="N22" s="34" t="s">
        <v>128</v>
      </c>
      <c r="O22" s="34" t="s">
        <v>128</v>
      </c>
      <c r="P22" s="38"/>
      <c r="Q22" s="34" t="s">
        <v>128</v>
      </c>
      <c r="R22" s="86"/>
      <c r="S22" s="86"/>
      <c r="T22" s="86"/>
      <c r="U22" s="86"/>
    </row>
    <row r="23" spans="1:21" ht="19.5" customHeight="1" x14ac:dyDescent="0.35">
      <c r="A23" s="51"/>
      <c r="B23" s="52" t="s">
        <v>51</v>
      </c>
      <c r="C23" s="48"/>
      <c r="D23" s="91">
        <v>0</v>
      </c>
      <c r="E23" s="91">
        <v>0</v>
      </c>
      <c r="F23" s="91">
        <v>0</v>
      </c>
      <c r="G23" s="91">
        <v>0</v>
      </c>
      <c r="H23" s="91">
        <v>0</v>
      </c>
      <c r="I23" s="91">
        <v>0</v>
      </c>
      <c r="J23" s="91">
        <v>0</v>
      </c>
      <c r="K23" s="91">
        <v>0</v>
      </c>
      <c r="L23" s="91">
        <v>0</v>
      </c>
      <c r="M23" s="91">
        <v>0</v>
      </c>
      <c r="N23" s="91">
        <v>0</v>
      </c>
      <c r="O23" s="91">
        <v>0</v>
      </c>
      <c r="P23" s="38"/>
      <c r="Q23" s="91">
        <f>SUM(D23:O23)</f>
        <v>0</v>
      </c>
      <c r="R23" s="51"/>
      <c r="S23" s="51"/>
      <c r="T23" s="51"/>
      <c r="U23" s="51"/>
    </row>
    <row r="24" spans="1:21" ht="19.5" customHeight="1" x14ac:dyDescent="0.35">
      <c r="A24" s="28"/>
      <c r="B24" s="52" t="s">
        <v>52</v>
      </c>
      <c r="C24" s="48"/>
      <c r="D24" s="91">
        <v>0</v>
      </c>
      <c r="E24" s="91">
        <v>0</v>
      </c>
      <c r="F24" s="91">
        <v>0</v>
      </c>
      <c r="G24" s="91">
        <v>0</v>
      </c>
      <c r="H24" s="91">
        <v>0</v>
      </c>
      <c r="I24" s="91">
        <v>0</v>
      </c>
      <c r="J24" s="91">
        <v>0</v>
      </c>
      <c r="K24" s="91">
        <v>0</v>
      </c>
      <c r="L24" s="91">
        <v>0</v>
      </c>
      <c r="M24" s="91">
        <v>0</v>
      </c>
      <c r="N24" s="91">
        <v>0</v>
      </c>
      <c r="O24" s="91">
        <v>0</v>
      </c>
      <c r="P24" s="92"/>
      <c r="Q24" s="91">
        <f>SUM(D24:O24)</f>
        <v>0</v>
      </c>
      <c r="R24" s="28"/>
      <c r="S24" s="28"/>
      <c r="T24" s="28"/>
      <c r="U24" s="28"/>
    </row>
    <row r="25" spans="1:21" ht="19.5" customHeight="1" x14ac:dyDescent="0.35">
      <c r="A25" s="26"/>
      <c r="B25" s="52" t="s">
        <v>53</v>
      </c>
      <c r="C25" s="48"/>
      <c r="D25" s="91">
        <v>0</v>
      </c>
      <c r="E25" s="91">
        <v>0</v>
      </c>
      <c r="F25" s="91">
        <v>0</v>
      </c>
      <c r="G25" s="91">
        <v>0</v>
      </c>
      <c r="H25" s="91">
        <v>0</v>
      </c>
      <c r="I25" s="91">
        <v>0</v>
      </c>
      <c r="J25" s="91">
        <v>0</v>
      </c>
      <c r="K25" s="91">
        <v>0</v>
      </c>
      <c r="L25" s="91">
        <v>0</v>
      </c>
      <c r="M25" s="91">
        <v>0</v>
      </c>
      <c r="N25" s="91">
        <v>0</v>
      </c>
      <c r="O25" s="91">
        <v>0</v>
      </c>
      <c r="P25" s="92"/>
      <c r="Q25" s="91">
        <f>SUM(D25:O25)</f>
        <v>0</v>
      </c>
      <c r="R25" s="26"/>
      <c r="S25" s="26"/>
      <c r="T25" s="26"/>
      <c r="U25" s="26"/>
    </row>
    <row r="26" spans="1:21" ht="19.5" customHeight="1" x14ac:dyDescent="0.35">
      <c r="A26" s="28"/>
      <c r="B26" s="50" t="s">
        <v>50</v>
      </c>
      <c r="C26" s="36"/>
      <c r="D26" s="90">
        <v>0</v>
      </c>
      <c r="E26" s="90">
        <v>0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89"/>
      <c r="Q26" s="90">
        <f>SUM(D26:O26)</f>
        <v>0</v>
      </c>
      <c r="R26" s="28"/>
      <c r="S26" s="28"/>
      <c r="T26" s="28"/>
      <c r="U26" s="28"/>
    </row>
    <row r="27" spans="1:21" ht="19.5" customHeight="1" x14ac:dyDescent="0.35">
      <c r="A27" s="28"/>
      <c r="B27" s="28"/>
      <c r="C27" s="3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38"/>
      <c r="Q27" s="28"/>
      <c r="R27" s="28"/>
      <c r="S27" s="28"/>
      <c r="T27" s="28"/>
      <c r="U27" s="28"/>
    </row>
    <row r="28" spans="1:21" ht="19.5" customHeight="1" x14ac:dyDescent="0.35">
      <c r="A28" s="28"/>
      <c r="B28" s="35" t="s">
        <v>54</v>
      </c>
      <c r="C28" s="36"/>
      <c r="D28" s="37">
        <f t="shared" ref="D28:O28" si="6">D19-D26</f>
        <v>11160000</v>
      </c>
      <c r="E28" s="37">
        <f t="shared" si="6"/>
        <v>11160000</v>
      </c>
      <c r="F28" s="37">
        <f t="shared" si="6"/>
        <v>11160000</v>
      </c>
      <c r="G28" s="37">
        <f t="shared" si="6"/>
        <v>11160000</v>
      </c>
      <c r="H28" s="37">
        <f t="shared" si="6"/>
        <v>11160000</v>
      </c>
      <c r="I28" s="37">
        <f t="shared" si="6"/>
        <v>11160000</v>
      </c>
      <c r="J28" s="37">
        <f t="shared" si="6"/>
        <v>11160000</v>
      </c>
      <c r="K28" s="37">
        <f t="shared" si="6"/>
        <v>11160000</v>
      </c>
      <c r="L28" s="37">
        <f t="shared" si="6"/>
        <v>11160000</v>
      </c>
      <c r="M28" s="37">
        <f t="shared" si="6"/>
        <v>11160000</v>
      </c>
      <c r="N28" s="37">
        <f t="shared" si="6"/>
        <v>11160000</v>
      </c>
      <c r="O28" s="37">
        <f t="shared" si="6"/>
        <v>11160000</v>
      </c>
      <c r="P28" s="38"/>
      <c r="Q28" s="37">
        <f>Q19-Q26</f>
        <v>133920000</v>
      </c>
      <c r="R28" s="28"/>
      <c r="S28" s="28"/>
      <c r="T28" s="28"/>
      <c r="U28" s="28"/>
    </row>
    <row r="29" spans="1:21" ht="19.5" customHeight="1" x14ac:dyDescent="0.35">
      <c r="A29" s="28"/>
      <c r="B29" s="31"/>
      <c r="C29" s="38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8"/>
      <c r="Q29" s="32"/>
      <c r="R29" s="28"/>
      <c r="S29" s="28"/>
      <c r="T29" s="28"/>
      <c r="U29" s="28"/>
    </row>
    <row r="30" spans="1:21" ht="19.5" customHeight="1" x14ac:dyDescent="0.35">
      <c r="A30" s="28"/>
      <c r="B30" s="46" t="s">
        <v>55</v>
      </c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4"/>
      <c r="P30" s="38"/>
      <c r="Q30" s="55"/>
      <c r="R30" s="28"/>
      <c r="S30" s="28"/>
      <c r="T30" s="28"/>
      <c r="U30" s="28"/>
    </row>
    <row r="31" spans="1:21" ht="19.5" customHeight="1" x14ac:dyDescent="0.35">
      <c r="A31" s="28"/>
      <c r="B31" s="299" t="s">
        <v>56</v>
      </c>
      <c r="C31" s="301" t="s">
        <v>32</v>
      </c>
      <c r="D31" s="257" t="s">
        <v>33</v>
      </c>
      <c r="E31" s="257" t="s">
        <v>34</v>
      </c>
      <c r="F31" s="257" t="s">
        <v>35</v>
      </c>
      <c r="G31" s="257" t="s">
        <v>36</v>
      </c>
      <c r="H31" s="257" t="s">
        <v>37</v>
      </c>
      <c r="I31" s="257" t="s">
        <v>38</v>
      </c>
      <c r="J31" s="257" t="s">
        <v>39</v>
      </c>
      <c r="K31" s="257" t="s">
        <v>40</v>
      </c>
      <c r="L31" s="257" t="s">
        <v>41</v>
      </c>
      <c r="M31" s="257" t="s">
        <v>42</v>
      </c>
      <c r="N31" s="257" t="s">
        <v>43</v>
      </c>
      <c r="O31" s="257" t="s">
        <v>44</v>
      </c>
      <c r="P31" s="30"/>
      <c r="Q31" s="257" t="s">
        <v>45</v>
      </c>
      <c r="R31" s="28"/>
      <c r="S31" s="28"/>
      <c r="T31" s="28"/>
      <c r="U31" s="28"/>
    </row>
    <row r="32" spans="1:21" s="93" customFormat="1" ht="19.5" customHeight="1" x14ac:dyDescent="0.35">
      <c r="A32" s="86"/>
      <c r="B32" s="300"/>
      <c r="C32" s="302"/>
      <c r="D32" s="47" t="s">
        <v>128</v>
      </c>
      <c r="E32" s="47" t="s">
        <v>128</v>
      </c>
      <c r="F32" s="47" t="s">
        <v>128</v>
      </c>
      <c r="G32" s="47" t="s">
        <v>128</v>
      </c>
      <c r="H32" s="47" t="s">
        <v>128</v>
      </c>
      <c r="I32" s="47" t="s">
        <v>128</v>
      </c>
      <c r="J32" s="47" t="s">
        <v>128</v>
      </c>
      <c r="K32" s="47" t="s">
        <v>128</v>
      </c>
      <c r="L32" s="47" t="s">
        <v>128</v>
      </c>
      <c r="M32" s="47" t="s">
        <v>128</v>
      </c>
      <c r="N32" s="47" t="s">
        <v>128</v>
      </c>
      <c r="O32" s="47" t="s">
        <v>128</v>
      </c>
      <c r="P32" s="98"/>
      <c r="Q32" s="47" t="s">
        <v>128</v>
      </c>
      <c r="R32" s="86"/>
      <c r="S32" s="86"/>
      <c r="T32" s="86"/>
      <c r="U32" s="86"/>
    </row>
    <row r="33" spans="1:24" s="95" customFormat="1" ht="19.5" customHeight="1" x14ac:dyDescent="0.35">
      <c r="A33" s="86"/>
      <c r="B33" s="269" t="s">
        <v>238</v>
      </c>
      <c r="C33" s="85"/>
      <c r="D33" s="49">
        <f>CAPEX!D29</f>
        <v>6000000</v>
      </c>
      <c r="E33" s="49">
        <v>0</v>
      </c>
      <c r="F33" s="49">
        <f t="shared" ref="F33:O33" si="7">E33</f>
        <v>0</v>
      </c>
      <c r="G33" s="49">
        <f t="shared" si="7"/>
        <v>0</v>
      </c>
      <c r="H33" s="49">
        <f t="shared" si="7"/>
        <v>0</v>
      </c>
      <c r="I33" s="49">
        <f t="shared" si="7"/>
        <v>0</v>
      </c>
      <c r="J33" s="49">
        <f t="shared" si="7"/>
        <v>0</v>
      </c>
      <c r="K33" s="49">
        <f t="shared" si="7"/>
        <v>0</v>
      </c>
      <c r="L33" s="49">
        <f t="shared" si="7"/>
        <v>0</v>
      </c>
      <c r="M33" s="49">
        <f t="shared" si="7"/>
        <v>0</v>
      </c>
      <c r="N33" s="49">
        <f t="shared" si="7"/>
        <v>0</v>
      </c>
      <c r="O33" s="49">
        <f t="shared" si="7"/>
        <v>0</v>
      </c>
      <c r="P33" s="56"/>
      <c r="Q33" s="49">
        <f t="shared" ref="Q33:Q47" si="8">D33+E33+F33+G33+H33+I33+J33+K33+L33+M33+N33+O33</f>
        <v>6000000</v>
      </c>
      <c r="R33" s="86"/>
      <c r="S33" s="86"/>
      <c r="T33" s="86"/>
      <c r="U33" s="86"/>
    </row>
    <row r="34" spans="1:24" ht="19.5" customHeight="1" x14ac:dyDescent="0.35">
      <c r="A34" s="28"/>
      <c r="B34" s="269" t="s">
        <v>268</v>
      </c>
      <c r="C34" s="85"/>
      <c r="D34" s="49">
        <f>CAPEX!D63</f>
        <v>166904771.09999999</v>
      </c>
      <c r="E34" s="49">
        <v>0</v>
      </c>
      <c r="F34" s="49">
        <f t="shared" ref="F34:O34" si="9">E34</f>
        <v>0</v>
      </c>
      <c r="G34" s="49">
        <f t="shared" si="9"/>
        <v>0</v>
      </c>
      <c r="H34" s="49">
        <f t="shared" si="9"/>
        <v>0</v>
      </c>
      <c r="I34" s="49">
        <f t="shared" si="9"/>
        <v>0</v>
      </c>
      <c r="J34" s="49">
        <f t="shared" si="9"/>
        <v>0</v>
      </c>
      <c r="K34" s="49">
        <f t="shared" si="9"/>
        <v>0</v>
      </c>
      <c r="L34" s="49">
        <f t="shared" si="9"/>
        <v>0</v>
      </c>
      <c r="M34" s="49">
        <f t="shared" si="9"/>
        <v>0</v>
      </c>
      <c r="N34" s="49">
        <f t="shared" si="9"/>
        <v>0</v>
      </c>
      <c r="O34" s="49">
        <f t="shared" si="9"/>
        <v>0</v>
      </c>
      <c r="P34" s="56"/>
      <c r="Q34" s="49">
        <f t="shared" si="8"/>
        <v>166904771.09999999</v>
      </c>
      <c r="R34" s="28"/>
      <c r="S34" s="28"/>
      <c r="T34" s="28"/>
      <c r="U34" s="28"/>
      <c r="V34" s="28"/>
      <c r="W34" s="28"/>
    </row>
    <row r="35" spans="1:24" ht="19.5" customHeight="1" x14ac:dyDescent="0.35">
      <c r="A35" s="3"/>
      <c r="B35" s="17" t="s">
        <v>22</v>
      </c>
      <c r="C35" s="48"/>
      <c r="D35" s="49">
        <f>OPEX!H22</f>
        <v>1230000</v>
      </c>
      <c r="E35" s="49">
        <f>D35</f>
        <v>1230000</v>
      </c>
      <c r="F35" s="49">
        <f t="shared" ref="F35:O35" si="10">E35</f>
        <v>1230000</v>
      </c>
      <c r="G35" s="49">
        <f t="shared" si="10"/>
        <v>1230000</v>
      </c>
      <c r="H35" s="49">
        <f t="shared" si="10"/>
        <v>1230000</v>
      </c>
      <c r="I35" s="49">
        <f t="shared" si="10"/>
        <v>1230000</v>
      </c>
      <c r="J35" s="49">
        <f t="shared" si="10"/>
        <v>1230000</v>
      </c>
      <c r="K35" s="49">
        <f t="shared" si="10"/>
        <v>1230000</v>
      </c>
      <c r="L35" s="49">
        <f t="shared" si="10"/>
        <v>1230000</v>
      </c>
      <c r="M35" s="49">
        <f t="shared" si="10"/>
        <v>1230000</v>
      </c>
      <c r="N35" s="49">
        <f t="shared" si="10"/>
        <v>1230000</v>
      </c>
      <c r="O35" s="49">
        <f t="shared" si="10"/>
        <v>1230000</v>
      </c>
      <c r="P35" s="38"/>
      <c r="Q35" s="49">
        <f t="shared" si="8"/>
        <v>14760000</v>
      </c>
      <c r="R35" s="3"/>
      <c r="S35" s="3"/>
      <c r="T35" s="3"/>
      <c r="U35" s="3"/>
      <c r="V35" s="3"/>
      <c r="W35" s="3"/>
      <c r="X35" s="3"/>
    </row>
    <row r="36" spans="1:24" s="84" customFormat="1" ht="19.5" customHeight="1" x14ac:dyDescent="0.35">
      <c r="A36" s="28"/>
      <c r="B36" s="18" t="s">
        <v>121</v>
      </c>
      <c r="C36" s="48"/>
      <c r="D36" s="49">
        <v>0</v>
      </c>
      <c r="E36" s="49">
        <f>D36</f>
        <v>0</v>
      </c>
      <c r="F36" s="49">
        <f t="shared" ref="F36:O36" si="11">E36</f>
        <v>0</v>
      </c>
      <c r="G36" s="49">
        <f t="shared" si="11"/>
        <v>0</v>
      </c>
      <c r="H36" s="49">
        <f t="shared" si="11"/>
        <v>0</v>
      </c>
      <c r="I36" s="49">
        <f t="shared" si="11"/>
        <v>0</v>
      </c>
      <c r="J36" s="49">
        <f t="shared" si="11"/>
        <v>0</v>
      </c>
      <c r="K36" s="49">
        <f t="shared" si="11"/>
        <v>0</v>
      </c>
      <c r="L36" s="49">
        <f t="shared" si="11"/>
        <v>0</v>
      </c>
      <c r="M36" s="49">
        <f t="shared" si="11"/>
        <v>0</v>
      </c>
      <c r="N36" s="49">
        <f t="shared" si="11"/>
        <v>0</v>
      </c>
      <c r="O36" s="49">
        <f t="shared" si="11"/>
        <v>0</v>
      </c>
      <c r="P36" s="56"/>
      <c r="Q36" s="49">
        <f t="shared" si="8"/>
        <v>0</v>
      </c>
      <c r="R36" s="28"/>
      <c r="S36" s="28"/>
      <c r="T36" s="28"/>
      <c r="U36" s="28"/>
      <c r="V36" s="28"/>
      <c r="W36" s="28"/>
    </row>
    <row r="37" spans="1:24" ht="19.5" customHeight="1" x14ac:dyDescent="0.35">
      <c r="A37" s="28"/>
      <c r="B37" s="17" t="s">
        <v>123</v>
      </c>
      <c r="C37" s="48"/>
      <c r="D37" s="49">
        <v>0</v>
      </c>
      <c r="E37" s="49">
        <f>D37</f>
        <v>0</v>
      </c>
      <c r="F37" s="49">
        <f t="shared" ref="F37:O37" si="12">E37</f>
        <v>0</v>
      </c>
      <c r="G37" s="49">
        <f t="shared" si="12"/>
        <v>0</v>
      </c>
      <c r="H37" s="49">
        <f t="shared" si="12"/>
        <v>0</v>
      </c>
      <c r="I37" s="49">
        <f t="shared" si="12"/>
        <v>0</v>
      </c>
      <c r="J37" s="49">
        <f t="shared" si="12"/>
        <v>0</v>
      </c>
      <c r="K37" s="49">
        <f t="shared" si="12"/>
        <v>0</v>
      </c>
      <c r="L37" s="49">
        <f t="shared" si="12"/>
        <v>0</v>
      </c>
      <c r="M37" s="49">
        <f t="shared" si="12"/>
        <v>0</v>
      </c>
      <c r="N37" s="49">
        <f t="shared" si="12"/>
        <v>0</v>
      </c>
      <c r="O37" s="49">
        <f t="shared" si="12"/>
        <v>0</v>
      </c>
      <c r="P37" s="56"/>
      <c r="Q37" s="49">
        <f t="shared" si="8"/>
        <v>0</v>
      </c>
      <c r="R37" s="28"/>
      <c r="S37" s="28"/>
      <c r="T37" s="28"/>
      <c r="U37" s="28"/>
      <c r="V37" s="28"/>
      <c r="W37" s="28"/>
    </row>
    <row r="38" spans="1:24" ht="19.5" customHeight="1" x14ac:dyDescent="0.35">
      <c r="A38" s="28"/>
      <c r="B38" s="17" t="s">
        <v>57</v>
      </c>
      <c r="C38" s="48"/>
      <c r="D38" s="49">
        <f>CAPEX!D20</f>
        <v>1000000</v>
      </c>
      <c r="E38" s="49">
        <v>0</v>
      </c>
      <c r="F38" s="49">
        <f t="shared" ref="F38:O38" si="13">E38</f>
        <v>0</v>
      </c>
      <c r="G38" s="49">
        <f t="shared" si="13"/>
        <v>0</v>
      </c>
      <c r="H38" s="49">
        <f t="shared" si="13"/>
        <v>0</v>
      </c>
      <c r="I38" s="49">
        <f t="shared" si="13"/>
        <v>0</v>
      </c>
      <c r="J38" s="49">
        <f t="shared" si="13"/>
        <v>0</v>
      </c>
      <c r="K38" s="49">
        <f t="shared" si="13"/>
        <v>0</v>
      </c>
      <c r="L38" s="49">
        <f t="shared" si="13"/>
        <v>0</v>
      </c>
      <c r="M38" s="49">
        <f t="shared" si="13"/>
        <v>0</v>
      </c>
      <c r="N38" s="49">
        <f t="shared" si="13"/>
        <v>0</v>
      </c>
      <c r="O38" s="49">
        <f t="shared" si="13"/>
        <v>0</v>
      </c>
      <c r="P38" s="28"/>
      <c r="Q38" s="49">
        <f t="shared" si="8"/>
        <v>1000000</v>
      </c>
      <c r="R38" s="28"/>
      <c r="S38" s="28"/>
      <c r="T38" s="28"/>
      <c r="U38" s="28"/>
      <c r="V38" s="28"/>
      <c r="W38" s="28"/>
    </row>
    <row r="39" spans="1:24" ht="19.5" customHeight="1" x14ac:dyDescent="0.35">
      <c r="A39" s="28"/>
      <c r="B39" s="17" t="s">
        <v>58</v>
      </c>
      <c r="C39" s="48"/>
      <c r="D39" s="49">
        <v>0</v>
      </c>
      <c r="E39" s="49">
        <f>D39</f>
        <v>0</v>
      </c>
      <c r="F39" s="49">
        <f t="shared" ref="F39:O39" si="14">E39</f>
        <v>0</v>
      </c>
      <c r="G39" s="49">
        <f t="shared" si="14"/>
        <v>0</v>
      </c>
      <c r="H39" s="49">
        <f t="shared" si="14"/>
        <v>0</v>
      </c>
      <c r="I39" s="49">
        <f t="shared" si="14"/>
        <v>0</v>
      </c>
      <c r="J39" s="49">
        <f t="shared" si="14"/>
        <v>0</v>
      </c>
      <c r="K39" s="49">
        <f t="shared" si="14"/>
        <v>0</v>
      </c>
      <c r="L39" s="49">
        <f t="shared" si="14"/>
        <v>0</v>
      </c>
      <c r="M39" s="49">
        <f t="shared" si="14"/>
        <v>0</v>
      </c>
      <c r="N39" s="49">
        <f t="shared" si="14"/>
        <v>0</v>
      </c>
      <c r="O39" s="49">
        <f t="shared" si="14"/>
        <v>0</v>
      </c>
      <c r="P39" s="28"/>
      <c r="Q39" s="49">
        <f t="shared" si="8"/>
        <v>0</v>
      </c>
      <c r="R39" s="28"/>
      <c r="S39" s="28"/>
      <c r="T39" s="28"/>
      <c r="U39" s="28"/>
      <c r="V39" s="28"/>
      <c r="W39" s="28"/>
    </row>
    <row r="40" spans="1:24" ht="19.5" customHeight="1" x14ac:dyDescent="0.35">
      <c r="A40" s="28"/>
      <c r="B40" s="17" t="s">
        <v>18</v>
      </c>
      <c r="C40" s="48"/>
      <c r="D40" s="49">
        <v>0</v>
      </c>
      <c r="E40" s="49">
        <f>D40</f>
        <v>0</v>
      </c>
      <c r="F40" s="49">
        <f t="shared" ref="F40:O40" si="15">E40</f>
        <v>0</v>
      </c>
      <c r="G40" s="49">
        <f t="shared" si="15"/>
        <v>0</v>
      </c>
      <c r="H40" s="49">
        <f t="shared" si="15"/>
        <v>0</v>
      </c>
      <c r="I40" s="49">
        <f t="shared" si="15"/>
        <v>0</v>
      </c>
      <c r="J40" s="49">
        <f t="shared" si="15"/>
        <v>0</v>
      </c>
      <c r="K40" s="49">
        <f t="shared" si="15"/>
        <v>0</v>
      </c>
      <c r="L40" s="49">
        <f t="shared" si="15"/>
        <v>0</v>
      </c>
      <c r="M40" s="49">
        <f t="shared" si="15"/>
        <v>0</v>
      </c>
      <c r="N40" s="49">
        <f t="shared" si="15"/>
        <v>0</v>
      </c>
      <c r="O40" s="49">
        <f t="shared" si="15"/>
        <v>0</v>
      </c>
      <c r="P40" s="28"/>
      <c r="Q40" s="49">
        <f t="shared" si="8"/>
        <v>0</v>
      </c>
      <c r="R40" s="28"/>
      <c r="S40" s="28"/>
      <c r="T40" s="28"/>
      <c r="U40" s="28"/>
      <c r="V40" s="28"/>
      <c r="W40" s="28"/>
    </row>
    <row r="41" spans="1:24" ht="19.5" customHeight="1" x14ac:dyDescent="0.35">
      <c r="A41" s="28"/>
      <c r="B41" s="17" t="s">
        <v>25</v>
      </c>
      <c r="C41" s="48"/>
      <c r="D41" s="49">
        <f>'CAPITAL INFLOW'!C31/12</f>
        <v>83333.333333333328</v>
      </c>
      <c r="E41" s="49">
        <f>D41</f>
        <v>83333.333333333328</v>
      </c>
      <c r="F41" s="49">
        <f t="shared" ref="F41:O41" si="16">E41</f>
        <v>83333.333333333328</v>
      </c>
      <c r="G41" s="49">
        <f t="shared" si="16"/>
        <v>83333.333333333328</v>
      </c>
      <c r="H41" s="49">
        <f t="shared" si="16"/>
        <v>83333.333333333328</v>
      </c>
      <c r="I41" s="49">
        <f t="shared" si="16"/>
        <v>83333.333333333328</v>
      </c>
      <c r="J41" s="49">
        <f t="shared" si="16"/>
        <v>83333.333333333328</v>
      </c>
      <c r="K41" s="49">
        <f t="shared" si="16"/>
        <v>83333.333333333328</v>
      </c>
      <c r="L41" s="49">
        <f t="shared" si="16"/>
        <v>83333.333333333328</v>
      </c>
      <c r="M41" s="49">
        <f t="shared" si="16"/>
        <v>83333.333333333328</v>
      </c>
      <c r="N41" s="49">
        <f t="shared" si="16"/>
        <v>83333.333333333328</v>
      </c>
      <c r="O41" s="49">
        <f t="shared" si="16"/>
        <v>83333.333333333328</v>
      </c>
      <c r="P41" s="28"/>
      <c r="Q41" s="49">
        <f t="shared" si="8"/>
        <v>1000000.0000000001</v>
      </c>
      <c r="R41" s="28"/>
      <c r="S41" s="28"/>
      <c r="T41" s="28"/>
      <c r="U41" s="28"/>
      <c r="V41" s="28"/>
      <c r="W41" s="28"/>
    </row>
    <row r="42" spans="1:24" ht="19.5" customHeight="1" x14ac:dyDescent="0.35">
      <c r="A42" s="28"/>
      <c r="B42" s="17" t="s">
        <v>209</v>
      </c>
      <c r="C42" s="48"/>
      <c r="D42" s="49">
        <f>CAPEX!D7</f>
        <v>68647500</v>
      </c>
      <c r="E42" s="49">
        <v>0</v>
      </c>
      <c r="F42" s="49">
        <f t="shared" ref="F42:O42" si="17">E42</f>
        <v>0</v>
      </c>
      <c r="G42" s="49">
        <f t="shared" si="17"/>
        <v>0</v>
      </c>
      <c r="H42" s="49">
        <f t="shared" si="17"/>
        <v>0</v>
      </c>
      <c r="I42" s="49">
        <f t="shared" si="17"/>
        <v>0</v>
      </c>
      <c r="J42" s="49">
        <f t="shared" si="17"/>
        <v>0</v>
      </c>
      <c r="K42" s="49">
        <f t="shared" si="17"/>
        <v>0</v>
      </c>
      <c r="L42" s="49">
        <f t="shared" si="17"/>
        <v>0</v>
      </c>
      <c r="M42" s="49">
        <f t="shared" si="17"/>
        <v>0</v>
      </c>
      <c r="N42" s="49">
        <f t="shared" si="17"/>
        <v>0</v>
      </c>
      <c r="O42" s="49">
        <f t="shared" si="17"/>
        <v>0</v>
      </c>
      <c r="P42" s="28"/>
      <c r="Q42" s="49">
        <f t="shared" si="8"/>
        <v>68647500</v>
      </c>
      <c r="R42" s="28"/>
      <c r="S42" s="28"/>
      <c r="T42" s="28"/>
      <c r="U42" s="28"/>
      <c r="V42" s="28"/>
      <c r="W42" s="28"/>
    </row>
    <row r="43" spans="1:24" ht="19.5" customHeight="1" x14ac:dyDescent="0.35">
      <c r="A43" s="28"/>
      <c r="B43" s="17" t="s">
        <v>239</v>
      </c>
      <c r="C43" s="48"/>
      <c r="D43" s="49">
        <f>OPEX!H40/12</f>
        <v>300000</v>
      </c>
      <c r="E43" s="49">
        <f>D43</f>
        <v>300000</v>
      </c>
      <c r="F43" s="49">
        <f t="shared" ref="F43:O43" si="18">E43</f>
        <v>300000</v>
      </c>
      <c r="G43" s="49">
        <f t="shared" si="18"/>
        <v>300000</v>
      </c>
      <c r="H43" s="49">
        <f t="shared" si="18"/>
        <v>300000</v>
      </c>
      <c r="I43" s="49">
        <f t="shared" si="18"/>
        <v>300000</v>
      </c>
      <c r="J43" s="49">
        <f t="shared" si="18"/>
        <v>300000</v>
      </c>
      <c r="K43" s="49">
        <f t="shared" si="18"/>
        <v>300000</v>
      </c>
      <c r="L43" s="49">
        <f t="shared" si="18"/>
        <v>300000</v>
      </c>
      <c r="M43" s="49">
        <f t="shared" si="18"/>
        <v>300000</v>
      </c>
      <c r="N43" s="49">
        <f t="shared" si="18"/>
        <v>300000</v>
      </c>
      <c r="O43" s="49">
        <f t="shared" si="18"/>
        <v>300000</v>
      </c>
      <c r="P43" s="28"/>
      <c r="Q43" s="49">
        <f t="shared" si="8"/>
        <v>3600000</v>
      </c>
      <c r="R43" s="28"/>
      <c r="S43" s="28"/>
      <c r="T43" s="28"/>
      <c r="U43" s="28"/>
      <c r="V43" s="28"/>
      <c r="W43" s="28"/>
    </row>
    <row r="44" spans="1:24" s="84" customFormat="1" ht="19.5" customHeight="1" x14ac:dyDescent="0.35">
      <c r="A44" s="86"/>
      <c r="B44" s="18" t="s">
        <v>221</v>
      </c>
      <c r="C44" s="48"/>
      <c r="D44" s="49">
        <f>CAPEX!G13</f>
        <v>420000</v>
      </c>
      <c r="E44" s="49">
        <v>0</v>
      </c>
      <c r="F44" s="49">
        <f t="shared" ref="F44:O44" si="19">E44</f>
        <v>0</v>
      </c>
      <c r="G44" s="49">
        <f t="shared" si="19"/>
        <v>0</v>
      </c>
      <c r="H44" s="49">
        <f t="shared" si="19"/>
        <v>0</v>
      </c>
      <c r="I44" s="49">
        <f t="shared" si="19"/>
        <v>0</v>
      </c>
      <c r="J44" s="49">
        <f t="shared" si="19"/>
        <v>0</v>
      </c>
      <c r="K44" s="49">
        <f t="shared" si="19"/>
        <v>0</v>
      </c>
      <c r="L44" s="49">
        <f t="shared" si="19"/>
        <v>0</v>
      </c>
      <c r="M44" s="49">
        <f t="shared" si="19"/>
        <v>0</v>
      </c>
      <c r="N44" s="49">
        <f t="shared" si="19"/>
        <v>0</v>
      </c>
      <c r="O44" s="49">
        <f t="shared" si="19"/>
        <v>0</v>
      </c>
      <c r="P44" s="28"/>
      <c r="Q44" s="49">
        <f t="shared" si="8"/>
        <v>420000</v>
      </c>
      <c r="R44" s="86"/>
      <c r="S44" s="86"/>
      <c r="T44" s="86"/>
      <c r="U44" s="86"/>
      <c r="V44" s="86"/>
      <c r="W44" s="86"/>
    </row>
    <row r="45" spans="1:24" s="84" customFormat="1" ht="19.5" customHeight="1" x14ac:dyDescent="0.35">
      <c r="A45" s="28"/>
      <c r="B45" s="18" t="s">
        <v>122</v>
      </c>
      <c r="C45" s="48"/>
      <c r="D45" s="49">
        <v>38000</v>
      </c>
      <c r="E45" s="49">
        <f t="shared" ref="E45" si="20">D45</f>
        <v>38000</v>
      </c>
      <c r="F45" s="49">
        <f t="shared" ref="F45:O45" si="21">E45</f>
        <v>38000</v>
      </c>
      <c r="G45" s="49">
        <f t="shared" si="21"/>
        <v>38000</v>
      </c>
      <c r="H45" s="49">
        <f t="shared" si="21"/>
        <v>38000</v>
      </c>
      <c r="I45" s="49">
        <f t="shared" si="21"/>
        <v>38000</v>
      </c>
      <c r="J45" s="49">
        <f t="shared" si="21"/>
        <v>38000</v>
      </c>
      <c r="K45" s="49">
        <f t="shared" si="21"/>
        <v>38000</v>
      </c>
      <c r="L45" s="49">
        <f t="shared" si="21"/>
        <v>38000</v>
      </c>
      <c r="M45" s="49">
        <f t="shared" si="21"/>
        <v>38000</v>
      </c>
      <c r="N45" s="49">
        <f t="shared" si="21"/>
        <v>38000</v>
      </c>
      <c r="O45" s="49">
        <f t="shared" si="21"/>
        <v>38000</v>
      </c>
      <c r="P45" s="28"/>
      <c r="Q45" s="49">
        <f t="shared" si="8"/>
        <v>456000</v>
      </c>
      <c r="R45" s="28"/>
      <c r="S45" s="28"/>
      <c r="T45" s="28"/>
      <c r="U45" s="28"/>
      <c r="V45" s="28"/>
      <c r="W45" s="28"/>
    </row>
    <row r="46" spans="1:24" s="84" customFormat="1" ht="19.5" customHeight="1" x14ac:dyDescent="0.35">
      <c r="A46" s="86"/>
      <c r="B46" s="18" t="s">
        <v>195</v>
      </c>
      <c r="C46" s="48"/>
      <c r="D46" s="49">
        <f>CAPEX!D83</f>
        <v>2600000</v>
      </c>
      <c r="E46" s="49">
        <v>0</v>
      </c>
      <c r="F46" s="49">
        <f t="shared" ref="F46:O46" si="22">E46</f>
        <v>0</v>
      </c>
      <c r="G46" s="49">
        <f t="shared" si="22"/>
        <v>0</v>
      </c>
      <c r="H46" s="49">
        <f t="shared" si="22"/>
        <v>0</v>
      </c>
      <c r="I46" s="49">
        <f t="shared" si="22"/>
        <v>0</v>
      </c>
      <c r="J46" s="49">
        <f t="shared" si="22"/>
        <v>0</v>
      </c>
      <c r="K46" s="49">
        <f t="shared" si="22"/>
        <v>0</v>
      </c>
      <c r="L46" s="49">
        <f t="shared" si="22"/>
        <v>0</v>
      </c>
      <c r="M46" s="49">
        <f t="shared" si="22"/>
        <v>0</v>
      </c>
      <c r="N46" s="49">
        <f t="shared" si="22"/>
        <v>0</v>
      </c>
      <c r="O46" s="49">
        <f t="shared" si="22"/>
        <v>0</v>
      </c>
      <c r="P46" s="28"/>
      <c r="Q46" s="49">
        <f t="shared" si="8"/>
        <v>2600000</v>
      </c>
      <c r="R46" s="86"/>
      <c r="S46" s="86"/>
      <c r="T46" s="86"/>
      <c r="U46" s="86"/>
      <c r="V46" s="86"/>
      <c r="W46" s="86"/>
    </row>
    <row r="47" spans="1:24" ht="19.5" customHeight="1" x14ac:dyDescent="0.35">
      <c r="A47" s="28"/>
      <c r="B47" s="17" t="s">
        <v>59</v>
      </c>
      <c r="C47" s="48"/>
      <c r="D47" s="49">
        <v>25000</v>
      </c>
      <c r="E47" s="49">
        <f t="shared" ref="E47:M47" si="23">D47</f>
        <v>25000</v>
      </c>
      <c r="F47" s="49">
        <f t="shared" si="23"/>
        <v>25000</v>
      </c>
      <c r="G47" s="49">
        <f t="shared" si="23"/>
        <v>25000</v>
      </c>
      <c r="H47" s="49">
        <f t="shared" si="23"/>
        <v>25000</v>
      </c>
      <c r="I47" s="49">
        <f t="shared" si="23"/>
        <v>25000</v>
      </c>
      <c r="J47" s="49">
        <f t="shared" si="23"/>
        <v>25000</v>
      </c>
      <c r="K47" s="49">
        <f t="shared" si="23"/>
        <v>25000</v>
      </c>
      <c r="L47" s="49">
        <f t="shared" si="23"/>
        <v>25000</v>
      </c>
      <c r="M47" s="49">
        <f t="shared" si="23"/>
        <v>25000</v>
      </c>
      <c r="N47" s="49">
        <v>0</v>
      </c>
      <c r="O47" s="49">
        <f>N47</f>
        <v>0</v>
      </c>
      <c r="P47" s="28"/>
      <c r="Q47" s="49">
        <f t="shared" si="8"/>
        <v>250000</v>
      </c>
      <c r="R47" s="28"/>
      <c r="S47" s="28"/>
      <c r="T47" s="28"/>
      <c r="U47" s="28"/>
      <c r="V47" s="28"/>
      <c r="W47" s="28"/>
    </row>
    <row r="48" spans="1:24" ht="19.5" customHeight="1" x14ac:dyDescent="0.35">
      <c r="A48" s="28"/>
      <c r="B48" s="50" t="s">
        <v>60</v>
      </c>
      <c r="C48" s="36"/>
      <c r="D48" s="87">
        <f t="shared" ref="D48:O48" si="24">SUM(D34:D47)</f>
        <v>241248604.43333334</v>
      </c>
      <c r="E48" s="87">
        <f t="shared" si="24"/>
        <v>1676333.3333333333</v>
      </c>
      <c r="F48" s="87">
        <f t="shared" si="24"/>
        <v>1676333.3333333333</v>
      </c>
      <c r="G48" s="87">
        <f t="shared" si="24"/>
        <v>1676333.3333333333</v>
      </c>
      <c r="H48" s="87">
        <f t="shared" si="24"/>
        <v>1676333.3333333333</v>
      </c>
      <c r="I48" s="87">
        <f t="shared" si="24"/>
        <v>1676333.3333333333</v>
      </c>
      <c r="J48" s="87">
        <f t="shared" si="24"/>
        <v>1676333.3333333333</v>
      </c>
      <c r="K48" s="87">
        <f t="shared" si="24"/>
        <v>1676333.3333333333</v>
      </c>
      <c r="L48" s="87">
        <f t="shared" si="24"/>
        <v>1676333.3333333333</v>
      </c>
      <c r="M48" s="87">
        <f t="shared" si="24"/>
        <v>1676333.3333333333</v>
      </c>
      <c r="N48" s="87">
        <f t="shared" si="24"/>
        <v>1651333.3333333333</v>
      </c>
      <c r="O48" s="87">
        <f t="shared" si="24"/>
        <v>1651333.3333333333</v>
      </c>
      <c r="P48" s="28"/>
      <c r="Q48" s="87">
        <f>SUM(Q33:Q47)</f>
        <v>265638271.09999999</v>
      </c>
      <c r="R48" s="28"/>
      <c r="S48" s="28"/>
      <c r="T48" s="28"/>
      <c r="U48" s="28"/>
      <c r="V48" s="28"/>
      <c r="W48" s="28"/>
    </row>
    <row r="49" spans="1:23" ht="19.5" customHeight="1" x14ac:dyDescent="0.35">
      <c r="A49" s="28"/>
      <c r="B49" s="22"/>
      <c r="C49" s="2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8"/>
      <c r="Q49" s="22"/>
      <c r="R49" s="28"/>
      <c r="S49" s="28"/>
      <c r="T49" s="28"/>
      <c r="U49" s="28"/>
      <c r="V49" s="28"/>
      <c r="W49" s="28"/>
    </row>
    <row r="50" spans="1:23" ht="19.5" customHeight="1" x14ac:dyDescent="0.35">
      <c r="A50" s="28"/>
      <c r="B50" s="22"/>
      <c r="C50" s="2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8"/>
      <c r="Q50" s="22"/>
      <c r="R50" s="28"/>
      <c r="S50" s="28"/>
      <c r="T50" s="28"/>
      <c r="U50" s="28"/>
      <c r="V50" s="28"/>
      <c r="W50" s="28"/>
    </row>
    <row r="51" spans="1:23" ht="19.5" customHeight="1" x14ac:dyDescent="0.35">
      <c r="A51" s="28"/>
      <c r="B51" s="312" t="s">
        <v>61</v>
      </c>
      <c r="C51" s="312" t="s">
        <v>32</v>
      </c>
      <c r="D51" s="257" t="s">
        <v>33</v>
      </c>
      <c r="E51" s="257" t="s">
        <v>34</v>
      </c>
      <c r="F51" s="257" t="s">
        <v>35</v>
      </c>
      <c r="G51" s="257" t="s">
        <v>36</v>
      </c>
      <c r="H51" s="257" t="s">
        <v>37</v>
      </c>
      <c r="I51" s="257" t="s">
        <v>38</v>
      </c>
      <c r="J51" s="257" t="s">
        <v>39</v>
      </c>
      <c r="K51" s="257" t="s">
        <v>40</v>
      </c>
      <c r="L51" s="257" t="s">
        <v>41</v>
      </c>
      <c r="M51" s="257" t="s">
        <v>42</v>
      </c>
      <c r="N51" s="257" t="s">
        <v>43</v>
      </c>
      <c r="O51" s="257" t="s">
        <v>44</v>
      </c>
      <c r="P51" s="28"/>
      <c r="Q51" s="257" t="s">
        <v>45</v>
      </c>
      <c r="R51" s="28"/>
      <c r="S51" s="28"/>
      <c r="T51" s="28"/>
      <c r="U51" s="28"/>
      <c r="V51" s="28"/>
      <c r="W51" s="28"/>
    </row>
    <row r="52" spans="1:23" s="93" customFormat="1" ht="19.5" customHeight="1" x14ac:dyDescent="0.35">
      <c r="A52" s="86"/>
      <c r="B52" s="313"/>
      <c r="C52" s="313"/>
      <c r="D52" s="47" t="s">
        <v>128</v>
      </c>
      <c r="E52" s="47" t="s">
        <v>128</v>
      </c>
      <c r="F52" s="47" t="s">
        <v>128</v>
      </c>
      <c r="G52" s="47" t="s">
        <v>128</v>
      </c>
      <c r="H52" s="47" t="s">
        <v>128</v>
      </c>
      <c r="I52" s="47" t="s">
        <v>128</v>
      </c>
      <c r="J52" s="47" t="s">
        <v>128</v>
      </c>
      <c r="K52" s="47" t="s">
        <v>128</v>
      </c>
      <c r="L52" s="47" t="s">
        <v>128</v>
      </c>
      <c r="M52" s="47" t="s">
        <v>128</v>
      </c>
      <c r="N52" s="47" t="s">
        <v>128</v>
      </c>
      <c r="O52" s="47" t="s">
        <v>128</v>
      </c>
      <c r="P52" s="28"/>
      <c r="Q52" s="47" t="s">
        <v>128</v>
      </c>
      <c r="R52" s="86"/>
      <c r="S52" s="86"/>
      <c r="T52" s="86"/>
      <c r="U52" s="86"/>
      <c r="V52" s="86"/>
      <c r="W52" s="86"/>
    </row>
    <row r="53" spans="1:23" ht="19.5" customHeight="1" x14ac:dyDescent="0.35">
      <c r="A53" s="28"/>
      <c r="B53" s="17" t="s">
        <v>204</v>
      </c>
      <c r="C53" s="48"/>
      <c r="D53" s="49">
        <v>0</v>
      </c>
      <c r="E53" s="49">
        <f t="shared" ref="E53:N53" si="25">D53</f>
        <v>0</v>
      </c>
      <c r="F53" s="49">
        <f t="shared" si="25"/>
        <v>0</v>
      </c>
      <c r="G53" s="49">
        <f t="shared" si="25"/>
        <v>0</v>
      </c>
      <c r="H53" s="49">
        <f t="shared" si="25"/>
        <v>0</v>
      </c>
      <c r="I53" s="49">
        <f t="shared" si="25"/>
        <v>0</v>
      </c>
      <c r="J53" s="49">
        <f t="shared" si="25"/>
        <v>0</v>
      </c>
      <c r="K53" s="49">
        <f t="shared" si="25"/>
        <v>0</v>
      </c>
      <c r="L53" s="49">
        <f t="shared" si="25"/>
        <v>0</v>
      </c>
      <c r="M53" s="49">
        <f t="shared" si="25"/>
        <v>0</v>
      </c>
      <c r="N53" s="49">
        <f t="shared" si="25"/>
        <v>0</v>
      </c>
      <c r="O53" s="49">
        <f>CAPEX!D71</f>
        <v>16690477.109999999</v>
      </c>
      <c r="P53" s="28"/>
      <c r="Q53" s="49">
        <f t="shared" ref="Q53:Q58" si="26">D53+E53+F53+G53+H53+I53+J53+K53+L53+M53+N53+O53</f>
        <v>16690477.109999999</v>
      </c>
      <c r="R53" s="28"/>
      <c r="S53" s="28"/>
      <c r="T53" s="28"/>
      <c r="U53" s="28"/>
      <c r="V53" s="28"/>
      <c r="W53" s="28"/>
    </row>
    <row r="54" spans="1:23" ht="19.5" customHeight="1" x14ac:dyDescent="0.35">
      <c r="A54" s="28"/>
      <c r="B54" s="17" t="s">
        <v>63</v>
      </c>
      <c r="C54" s="48"/>
      <c r="D54" s="49">
        <v>2220000</v>
      </c>
      <c r="E54" s="49">
        <v>0</v>
      </c>
      <c r="F54" s="49">
        <f t="shared" ref="F54:O54" si="27">E54</f>
        <v>0</v>
      </c>
      <c r="G54" s="49">
        <f t="shared" si="27"/>
        <v>0</v>
      </c>
      <c r="H54" s="49">
        <f t="shared" si="27"/>
        <v>0</v>
      </c>
      <c r="I54" s="49">
        <f t="shared" si="27"/>
        <v>0</v>
      </c>
      <c r="J54" s="49">
        <f t="shared" si="27"/>
        <v>0</v>
      </c>
      <c r="K54" s="49">
        <f t="shared" si="27"/>
        <v>0</v>
      </c>
      <c r="L54" s="49">
        <f t="shared" si="27"/>
        <v>0</v>
      </c>
      <c r="M54" s="49">
        <f t="shared" si="27"/>
        <v>0</v>
      </c>
      <c r="N54" s="49">
        <f t="shared" si="27"/>
        <v>0</v>
      </c>
      <c r="O54" s="49">
        <f t="shared" si="27"/>
        <v>0</v>
      </c>
      <c r="P54" s="28"/>
      <c r="Q54" s="49">
        <f t="shared" si="26"/>
        <v>2220000</v>
      </c>
      <c r="R54" s="28"/>
      <c r="S54" s="28"/>
      <c r="T54" s="28"/>
      <c r="U54" s="28"/>
      <c r="V54" s="28"/>
      <c r="W54" s="28"/>
    </row>
    <row r="55" spans="1:23" s="84" customFormat="1" ht="19.5" customHeight="1" x14ac:dyDescent="0.35">
      <c r="A55" s="28"/>
      <c r="B55" s="18" t="s">
        <v>62</v>
      </c>
      <c r="C55" s="48"/>
      <c r="D55" s="49">
        <v>0</v>
      </c>
      <c r="E55" s="49">
        <f>D55</f>
        <v>0</v>
      </c>
      <c r="F55" s="49">
        <f t="shared" ref="F55:O55" si="28">E55</f>
        <v>0</v>
      </c>
      <c r="G55" s="49">
        <f t="shared" si="28"/>
        <v>0</v>
      </c>
      <c r="H55" s="49">
        <f t="shared" si="28"/>
        <v>0</v>
      </c>
      <c r="I55" s="49">
        <f t="shared" si="28"/>
        <v>0</v>
      </c>
      <c r="J55" s="49">
        <f t="shared" si="28"/>
        <v>0</v>
      </c>
      <c r="K55" s="49">
        <f t="shared" si="28"/>
        <v>0</v>
      </c>
      <c r="L55" s="49">
        <f t="shared" si="28"/>
        <v>0</v>
      </c>
      <c r="M55" s="49">
        <f t="shared" si="28"/>
        <v>0</v>
      </c>
      <c r="N55" s="49">
        <f t="shared" si="28"/>
        <v>0</v>
      </c>
      <c r="O55" s="49">
        <f t="shared" si="28"/>
        <v>0</v>
      </c>
      <c r="P55" s="28"/>
      <c r="Q55" s="49">
        <f t="shared" si="26"/>
        <v>0</v>
      </c>
      <c r="R55" s="28"/>
      <c r="S55" s="28"/>
      <c r="T55" s="28"/>
      <c r="U55" s="28"/>
      <c r="V55" s="28"/>
      <c r="W55" s="28"/>
    </row>
    <row r="56" spans="1:23" ht="19.5" customHeight="1" x14ac:dyDescent="0.35">
      <c r="A56" s="28"/>
      <c r="B56" s="17" t="s">
        <v>27</v>
      </c>
      <c r="C56" s="48"/>
      <c r="D56" s="49">
        <v>0</v>
      </c>
      <c r="E56" s="49">
        <f>D56</f>
        <v>0</v>
      </c>
      <c r="F56" s="49">
        <f t="shared" ref="F56:O56" si="29">E56</f>
        <v>0</v>
      </c>
      <c r="G56" s="49">
        <f t="shared" si="29"/>
        <v>0</v>
      </c>
      <c r="H56" s="49">
        <f t="shared" si="29"/>
        <v>0</v>
      </c>
      <c r="I56" s="49">
        <f t="shared" si="29"/>
        <v>0</v>
      </c>
      <c r="J56" s="49">
        <f t="shared" si="29"/>
        <v>0</v>
      </c>
      <c r="K56" s="49">
        <f t="shared" si="29"/>
        <v>0</v>
      </c>
      <c r="L56" s="49">
        <f t="shared" si="29"/>
        <v>0</v>
      </c>
      <c r="M56" s="49">
        <f t="shared" si="29"/>
        <v>0</v>
      </c>
      <c r="N56" s="49">
        <f t="shared" si="29"/>
        <v>0</v>
      </c>
      <c r="O56" s="49">
        <f t="shared" si="29"/>
        <v>0</v>
      </c>
      <c r="P56" s="28"/>
      <c r="Q56" s="49">
        <f t="shared" si="26"/>
        <v>0</v>
      </c>
      <c r="R56" s="28"/>
      <c r="S56" s="28"/>
      <c r="T56" s="28"/>
      <c r="U56" s="28"/>
      <c r="V56" s="28"/>
      <c r="W56" s="28"/>
    </row>
    <row r="57" spans="1:23" ht="19.5" customHeight="1" x14ac:dyDescent="0.35">
      <c r="A57" s="28"/>
      <c r="B57" s="17" t="s">
        <v>26</v>
      </c>
      <c r="C57" s="48"/>
      <c r="D57" s="49">
        <v>0</v>
      </c>
      <c r="E57" s="49">
        <f>D57</f>
        <v>0</v>
      </c>
      <c r="F57" s="49">
        <f t="shared" ref="F57:O57" si="30">E57</f>
        <v>0</v>
      </c>
      <c r="G57" s="49">
        <f t="shared" si="30"/>
        <v>0</v>
      </c>
      <c r="H57" s="49">
        <f t="shared" si="30"/>
        <v>0</v>
      </c>
      <c r="I57" s="49">
        <f t="shared" si="30"/>
        <v>0</v>
      </c>
      <c r="J57" s="49">
        <f t="shared" si="30"/>
        <v>0</v>
      </c>
      <c r="K57" s="49">
        <f t="shared" si="30"/>
        <v>0</v>
      </c>
      <c r="L57" s="49">
        <f t="shared" si="30"/>
        <v>0</v>
      </c>
      <c r="M57" s="49">
        <f t="shared" si="30"/>
        <v>0</v>
      </c>
      <c r="N57" s="49">
        <f t="shared" si="30"/>
        <v>0</v>
      </c>
      <c r="O57" s="49">
        <f t="shared" si="30"/>
        <v>0</v>
      </c>
      <c r="P57" s="28"/>
      <c r="Q57" s="49">
        <f t="shared" si="26"/>
        <v>0</v>
      </c>
      <c r="R57" s="28"/>
      <c r="S57" s="28"/>
      <c r="T57" s="28"/>
      <c r="U57" s="28"/>
      <c r="V57" s="28"/>
      <c r="W57" s="28"/>
    </row>
    <row r="58" spans="1:23" ht="19.5" customHeight="1" x14ac:dyDescent="0.35">
      <c r="A58" s="28"/>
      <c r="B58" s="17" t="s">
        <v>59</v>
      </c>
      <c r="C58" s="48"/>
      <c r="D58" s="49">
        <v>0</v>
      </c>
      <c r="E58" s="49">
        <f>D58</f>
        <v>0</v>
      </c>
      <c r="F58" s="49">
        <f t="shared" ref="F58:O58" si="31">E58</f>
        <v>0</v>
      </c>
      <c r="G58" s="49">
        <f t="shared" si="31"/>
        <v>0</v>
      </c>
      <c r="H58" s="49">
        <f t="shared" si="31"/>
        <v>0</v>
      </c>
      <c r="I58" s="49">
        <f t="shared" si="31"/>
        <v>0</v>
      </c>
      <c r="J58" s="49">
        <f t="shared" si="31"/>
        <v>0</v>
      </c>
      <c r="K58" s="49">
        <f t="shared" si="31"/>
        <v>0</v>
      </c>
      <c r="L58" s="49">
        <f t="shared" si="31"/>
        <v>0</v>
      </c>
      <c r="M58" s="49">
        <f t="shared" si="31"/>
        <v>0</v>
      </c>
      <c r="N58" s="49">
        <f t="shared" si="31"/>
        <v>0</v>
      </c>
      <c r="O58" s="49">
        <f t="shared" si="31"/>
        <v>0</v>
      </c>
      <c r="P58" s="28"/>
      <c r="Q58" s="49">
        <f t="shared" si="26"/>
        <v>0</v>
      </c>
      <c r="R58" s="28"/>
      <c r="S58" s="28"/>
      <c r="T58" s="28"/>
      <c r="U58" s="28"/>
      <c r="V58" s="28"/>
      <c r="W58" s="28"/>
    </row>
    <row r="59" spans="1:23" ht="19.5" customHeight="1" x14ac:dyDescent="0.35">
      <c r="A59" s="28"/>
      <c r="B59" s="50" t="s">
        <v>64</v>
      </c>
      <c r="C59" s="36"/>
      <c r="D59" s="87">
        <f>SUM(D53:D58)</f>
        <v>2220000</v>
      </c>
      <c r="E59" s="87">
        <f t="shared" ref="E59" si="32">SUM(E53:E58)</f>
        <v>0</v>
      </c>
      <c r="F59" s="87">
        <f t="shared" ref="F59" si="33">SUM(F53:F58)</f>
        <v>0</v>
      </c>
      <c r="G59" s="87">
        <f t="shared" ref="G59" si="34">SUM(G53:G58)</f>
        <v>0</v>
      </c>
      <c r="H59" s="87">
        <f t="shared" ref="H59" si="35">SUM(H53:H58)</f>
        <v>0</v>
      </c>
      <c r="I59" s="87">
        <f t="shared" ref="I59" si="36">SUM(I53:I58)</f>
        <v>0</v>
      </c>
      <c r="J59" s="87">
        <f t="shared" ref="J59" si="37">SUM(J53:J58)</f>
        <v>0</v>
      </c>
      <c r="K59" s="87">
        <f t="shared" ref="K59" si="38">SUM(K53:K58)</f>
        <v>0</v>
      </c>
      <c r="L59" s="87">
        <f t="shared" ref="L59" si="39">SUM(L53:L58)</f>
        <v>0</v>
      </c>
      <c r="M59" s="87">
        <f t="shared" ref="M59" si="40">SUM(M53:M58)</f>
        <v>0</v>
      </c>
      <c r="N59" s="87">
        <f t="shared" ref="N59" si="41">SUM(N53:N58)</f>
        <v>0</v>
      </c>
      <c r="O59" s="87">
        <f t="shared" ref="O59" si="42">SUM(O53:O58)</f>
        <v>16690477.109999999</v>
      </c>
      <c r="P59" s="28"/>
      <c r="Q59" s="87">
        <f>SUM(Q53:Q58)</f>
        <v>18910477.109999999</v>
      </c>
      <c r="R59" s="28"/>
      <c r="S59" s="28"/>
      <c r="T59" s="28"/>
      <c r="U59" s="28"/>
      <c r="V59" s="28"/>
      <c r="W59" s="28"/>
    </row>
    <row r="60" spans="1:23" ht="19.5" customHeight="1" x14ac:dyDescent="0.35">
      <c r="A60" s="28"/>
      <c r="B60" s="22"/>
      <c r="C60" s="28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8"/>
      <c r="Q60" s="22"/>
      <c r="R60" s="28"/>
      <c r="S60" s="28"/>
      <c r="T60" s="28"/>
      <c r="U60" s="28"/>
      <c r="V60" s="28"/>
      <c r="W60" s="28"/>
    </row>
    <row r="61" spans="1:23" ht="19.5" customHeight="1" x14ac:dyDescent="0.35">
      <c r="A61" s="28"/>
      <c r="B61" s="35" t="s">
        <v>65</v>
      </c>
      <c r="C61" s="36"/>
      <c r="D61" s="37">
        <f t="shared" ref="D61:O61" si="43">SUM(D28-D48-D59)</f>
        <v>-232308604.43333334</v>
      </c>
      <c r="E61" s="37">
        <f t="shared" si="43"/>
        <v>9483666.666666666</v>
      </c>
      <c r="F61" s="37">
        <f t="shared" si="43"/>
        <v>9483666.666666666</v>
      </c>
      <c r="G61" s="37">
        <f t="shared" si="43"/>
        <v>9483666.666666666</v>
      </c>
      <c r="H61" s="37">
        <f t="shared" si="43"/>
        <v>9483666.666666666</v>
      </c>
      <c r="I61" s="37">
        <f t="shared" si="43"/>
        <v>9483666.666666666</v>
      </c>
      <c r="J61" s="37">
        <f t="shared" si="43"/>
        <v>9483666.666666666</v>
      </c>
      <c r="K61" s="37">
        <f t="shared" si="43"/>
        <v>9483666.666666666</v>
      </c>
      <c r="L61" s="37">
        <f t="shared" si="43"/>
        <v>9483666.666666666</v>
      </c>
      <c r="M61" s="37">
        <f t="shared" si="43"/>
        <v>9483666.666666666</v>
      </c>
      <c r="N61" s="37">
        <f t="shared" si="43"/>
        <v>9508666.666666666</v>
      </c>
      <c r="O61" s="37">
        <f t="shared" si="43"/>
        <v>-7181810.4433333334</v>
      </c>
      <c r="P61" s="28"/>
      <c r="Q61" s="231">
        <f>D61+E61+F61+G61+H61+I61+J61+K61+L61+M61+N61+O61</f>
        <v>-144628748.2100001</v>
      </c>
      <c r="R61" s="28"/>
      <c r="S61" s="28"/>
      <c r="T61" s="28"/>
      <c r="U61" s="28"/>
      <c r="V61" s="28"/>
      <c r="W61" s="28"/>
    </row>
    <row r="62" spans="1:23" ht="19.5" customHeight="1" x14ac:dyDescent="0.35">
      <c r="A62" s="28"/>
      <c r="B62" s="22"/>
      <c r="C62" s="28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8"/>
      <c r="Q62" s="22"/>
      <c r="R62" s="28"/>
      <c r="S62" s="28"/>
      <c r="T62" s="28"/>
      <c r="U62" s="28"/>
      <c r="V62" s="28"/>
      <c r="W62" s="28"/>
    </row>
    <row r="63" spans="1:23" ht="19.5" customHeight="1" x14ac:dyDescent="0.35">
      <c r="A63" s="28"/>
      <c r="B63" s="312" t="s">
        <v>66</v>
      </c>
      <c r="C63" s="312" t="s">
        <v>32</v>
      </c>
      <c r="D63" s="257" t="s">
        <v>33</v>
      </c>
      <c r="E63" s="257" t="s">
        <v>34</v>
      </c>
      <c r="F63" s="257" t="s">
        <v>35</v>
      </c>
      <c r="G63" s="257" t="s">
        <v>36</v>
      </c>
      <c r="H63" s="257" t="s">
        <v>37</v>
      </c>
      <c r="I63" s="257" t="s">
        <v>38</v>
      </c>
      <c r="J63" s="257" t="s">
        <v>39</v>
      </c>
      <c r="K63" s="257" t="s">
        <v>40</v>
      </c>
      <c r="L63" s="257" t="s">
        <v>41</v>
      </c>
      <c r="M63" s="257" t="s">
        <v>42</v>
      </c>
      <c r="N63" s="257" t="s">
        <v>43</v>
      </c>
      <c r="O63" s="257" t="s">
        <v>44</v>
      </c>
      <c r="P63" s="28"/>
      <c r="Q63" s="257" t="s">
        <v>45</v>
      </c>
      <c r="R63" s="28"/>
      <c r="S63" s="28"/>
      <c r="T63" s="28"/>
      <c r="U63" s="28"/>
      <c r="V63" s="28"/>
      <c r="W63" s="28"/>
    </row>
    <row r="64" spans="1:23" s="93" customFormat="1" ht="19.5" customHeight="1" x14ac:dyDescent="0.35">
      <c r="A64" s="86"/>
      <c r="B64" s="313"/>
      <c r="C64" s="313"/>
      <c r="D64" s="47" t="s">
        <v>128</v>
      </c>
      <c r="E64" s="47" t="s">
        <v>128</v>
      </c>
      <c r="F64" s="47" t="s">
        <v>128</v>
      </c>
      <c r="G64" s="47" t="s">
        <v>128</v>
      </c>
      <c r="H64" s="47" t="s">
        <v>128</v>
      </c>
      <c r="I64" s="47" t="s">
        <v>128</v>
      </c>
      <c r="J64" s="47" t="s">
        <v>128</v>
      </c>
      <c r="K64" s="47" t="s">
        <v>128</v>
      </c>
      <c r="L64" s="47" t="s">
        <v>128</v>
      </c>
      <c r="M64" s="47" t="s">
        <v>128</v>
      </c>
      <c r="N64" s="47" t="s">
        <v>128</v>
      </c>
      <c r="O64" s="47" t="s">
        <v>128</v>
      </c>
      <c r="P64" s="28"/>
      <c r="Q64" s="47" t="s">
        <v>128</v>
      </c>
      <c r="R64" s="86"/>
      <c r="S64" s="86"/>
      <c r="T64" s="86"/>
      <c r="U64" s="86"/>
      <c r="V64" s="86"/>
      <c r="W64" s="86"/>
    </row>
    <row r="65" spans="1:23" ht="19.5" customHeight="1" x14ac:dyDescent="0.35">
      <c r="A65" s="28"/>
      <c r="B65" s="17" t="s">
        <v>67</v>
      </c>
      <c r="C65" s="48"/>
      <c r="D65" s="49">
        <v>0</v>
      </c>
      <c r="E65" s="49">
        <v>0</v>
      </c>
      <c r="F65" s="49">
        <v>0</v>
      </c>
      <c r="G65" s="49">
        <v>0</v>
      </c>
      <c r="H65" s="49">
        <v>0</v>
      </c>
      <c r="I65" s="49">
        <v>0</v>
      </c>
      <c r="J65" s="49">
        <v>0</v>
      </c>
      <c r="K65" s="49">
        <v>0</v>
      </c>
      <c r="L65" s="49">
        <v>0</v>
      </c>
      <c r="M65" s="49">
        <v>0</v>
      </c>
      <c r="N65" s="49">
        <v>0</v>
      </c>
      <c r="O65" s="49">
        <v>0</v>
      </c>
      <c r="P65" s="28"/>
      <c r="Q65" s="49">
        <f>D65+E65+F65+G65+H65+I65+J65+K65+L65+M65+N65+O65</f>
        <v>0</v>
      </c>
      <c r="R65" s="28"/>
      <c r="S65" s="28"/>
      <c r="T65" s="28"/>
      <c r="U65" s="28"/>
      <c r="V65" s="28"/>
      <c r="W65" s="28"/>
    </row>
    <row r="66" spans="1:23" ht="19.5" customHeight="1" x14ac:dyDescent="0.35">
      <c r="A66" s="28"/>
      <c r="B66" s="17" t="s">
        <v>68</v>
      </c>
      <c r="C66" s="48"/>
      <c r="D66" s="49">
        <v>0</v>
      </c>
      <c r="E66" s="49">
        <v>0</v>
      </c>
      <c r="F66" s="49">
        <v>0</v>
      </c>
      <c r="G66" s="49">
        <v>0</v>
      </c>
      <c r="H66" s="49">
        <v>0</v>
      </c>
      <c r="I66" s="49">
        <v>0</v>
      </c>
      <c r="J66" s="49">
        <v>0</v>
      </c>
      <c r="K66" s="49">
        <v>0</v>
      </c>
      <c r="L66" s="49">
        <v>0</v>
      </c>
      <c r="M66" s="49">
        <v>0</v>
      </c>
      <c r="N66" s="49">
        <v>0</v>
      </c>
      <c r="O66" s="49">
        <v>0</v>
      </c>
      <c r="P66" s="28"/>
      <c r="Q66" s="49">
        <f>D66+E66+F66+G66+H66+I66+J66+K66+L66+M66+N66+O66</f>
        <v>0</v>
      </c>
      <c r="R66" s="28"/>
      <c r="S66" s="28"/>
      <c r="T66" s="28"/>
      <c r="U66" s="28"/>
      <c r="V66" s="28"/>
      <c r="W66" s="28"/>
    </row>
    <row r="67" spans="1:23" ht="19.5" customHeight="1" x14ac:dyDescent="0.35">
      <c r="A67" s="28"/>
      <c r="B67" s="17" t="s">
        <v>69</v>
      </c>
      <c r="C67" s="48"/>
      <c r="D67" s="49">
        <v>0</v>
      </c>
      <c r="E67" s="49">
        <v>0</v>
      </c>
      <c r="F67" s="49">
        <v>0</v>
      </c>
      <c r="G67" s="49">
        <v>0</v>
      </c>
      <c r="H67" s="49">
        <v>0</v>
      </c>
      <c r="I67" s="49">
        <v>0</v>
      </c>
      <c r="J67" s="49">
        <v>0</v>
      </c>
      <c r="K67" s="49">
        <v>0</v>
      </c>
      <c r="L67" s="49">
        <v>0</v>
      </c>
      <c r="M67" s="49">
        <v>0</v>
      </c>
      <c r="N67" s="49">
        <v>0</v>
      </c>
      <c r="O67" s="49">
        <v>0</v>
      </c>
      <c r="P67" s="28"/>
      <c r="Q67" s="49">
        <f>D67+E67+F67+G67+H67+I67+J67+K67+L67+M67+N67+O67</f>
        <v>0</v>
      </c>
      <c r="R67" s="28"/>
      <c r="S67" s="28"/>
      <c r="T67" s="28"/>
      <c r="U67" s="28"/>
      <c r="V67" s="28"/>
      <c r="W67" s="28"/>
    </row>
    <row r="68" spans="1:23" ht="19.5" customHeight="1" x14ac:dyDescent="0.35">
      <c r="A68" s="28"/>
      <c r="B68" s="57" t="s">
        <v>70</v>
      </c>
      <c r="C68" s="48"/>
      <c r="D68" s="87">
        <f>SUM(D65:D67)</f>
        <v>0</v>
      </c>
      <c r="E68" s="87">
        <f t="shared" ref="E68" si="44">SUM(E65:E67)</f>
        <v>0</v>
      </c>
      <c r="F68" s="87">
        <f t="shared" ref="F68" si="45">SUM(F65:F67)</f>
        <v>0</v>
      </c>
      <c r="G68" s="87">
        <f t="shared" ref="G68" si="46">SUM(G65:G67)</f>
        <v>0</v>
      </c>
      <c r="H68" s="87">
        <f t="shared" ref="H68" si="47">SUM(H65:H67)</f>
        <v>0</v>
      </c>
      <c r="I68" s="87">
        <f t="shared" ref="I68" si="48">SUM(I65:I67)</f>
        <v>0</v>
      </c>
      <c r="J68" s="87">
        <f t="shared" ref="J68" si="49">SUM(J65:J67)</f>
        <v>0</v>
      </c>
      <c r="K68" s="87">
        <f t="shared" ref="K68" si="50">SUM(K65:K67)</f>
        <v>0</v>
      </c>
      <c r="L68" s="87">
        <f t="shared" ref="L68" si="51">SUM(L65:L67)</f>
        <v>0</v>
      </c>
      <c r="M68" s="87">
        <f t="shared" ref="M68" si="52">SUM(M65:M67)</f>
        <v>0</v>
      </c>
      <c r="N68" s="87">
        <f t="shared" ref="N68" si="53">SUM(N65:N67)</f>
        <v>0</v>
      </c>
      <c r="O68" s="87">
        <f t="shared" ref="O68" si="54">SUM(O65:O67)</f>
        <v>0</v>
      </c>
      <c r="P68" s="28"/>
      <c r="Q68" s="87">
        <f>SUM(Q65:Q67)</f>
        <v>0</v>
      </c>
      <c r="R68" s="28"/>
      <c r="S68" s="28"/>
      <c r="T68" s="28"/>
      <c r="U68" s="28"/>
      <c r="V68" s="28"/>
      <c r="W68" s="28"/>
    </row>
    <row r="69" spans="1:23" ht="19.5" customHeight="1" x14ac:dyDescent="0.35">
      <c r="A69" s="28"/>
      <c r="B69" s="22"/>
      <c r="C69" s="28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8"/>
      <c r="Q69" s="22"/>
      <c r="R69" s="28"/>
      <c r="S69" s="28"/>
      <c r="T69" s="28"/>
      <c r="U69" s="28"/>
      <c r="V69" s="28"/>
      <c r="W69" s="28"/>
    </row>
    <row r="70" spans="1:23" ht="19.5" customHeight="1" x14ac:dyDescent="0.35">
      <c r="A70" s="28"/>
      <c r="B70" s="35" t="s">
        <v>71</v>
      </c>
      <c r="C70" s="36"/>
      <c r="D70" s="37">
        <f>D61-D68</f>
        <v>-232308604.43333334</v>
      </c>
      <c r="E70" s="37">
        <f t="shared" ref="E70" si="55">E61-E68</f>
        <v>9483666.666666666</v>
      </c>
      <c r="F70" s="37">
        <f t="shared" ref="F70" si="56">F61-F68</f>
        <v>9483666.666666666</v>
      </c>
      <c r="G70" s="37">
        <f t="shared" ref="G70" si="57">G61-G68</f>
        <v>9483666.666666666</v>
      </c>
      <c r="H70" s="37">
        <f t="shared" ref="H70" si="58">H61-H68</f>
        <v>9483666.666666666</v>
      </c>
      <c r="I70" s="37">
        <f t="shared" ref="I70" si="59">I61-I68</f>
        <v>9483666.666666666</v>
      </c>
      <c r="J70" s="37">
        <f t="shared" ref="J70" si="60">J61-J68</f>
        <v>9483666.666666666</v>
      </c>
      <c r="K70" s="37">
        <f t="shared" ref="K70" si="61">K61-K68</f>
        <v>9483666.666666666</v>
      </c>
      <c r="L70" s="37">
        <f t="shared" ref="L70" si="62">L61-L68</f>
        <v>9483666.666666666</v>
      </c>
      <c r="M70" s="37">
        <f t="shared" ref="M70" si="63">M61-M68</f>
        <v>9483666.666666666</v>
      </c>
      <c r="N70" s="37">
        <f t="shared" ref="N70" si="64">N61-N68</f>
        <v>9508666.666666666</v>
      </c>
      <c r="O70" s="37">
        <f t="shared" ref="O70" si="65">O61-O68</f>
        <v>-7181810.4433333334</v>
      </c>
      <c r="P70" s="28"/>
      <c r="Q70" s="37">
        <f>Q61-Q68</f>
        <v>-144628748.2100001</v>
      </c>
      <c r="R70" s="28"/>
      <c r="S70" s="28"/>
      <c r="T70" s="28"/>
      <c r="U70" s="28"/>
      <c r="V70" s="28"/>
      <c r="W70" s="28"/>
    </row>
    <row r="71" spans="1:23" ht="19.5" customHeight="1" x14ac:dyDescent="0.35">
      <c r="A71" s="28"/>
      <c r="B71" s="22"/>
      <c r="C71" s="28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8"/>
      <c r="Q71" s="22"/>
      <c r="R71" s="28"/>
      <c r="S71" s="28"/>
      <c r="T71" s="28"/>
      <c r="U71" s="28"/>
      <c r="V71" s="28"/>
      <c r="W71" s="28"/>
    </row>
    <row r="72" spans="1:23" ht="19.5" customHeight="1" x14ac:dyDescent="0.35">
      <c r="A72" s="28"/>
      <c r="B72" s="35" t="s">
        <v>72</v>
      </c>
      <c r="C72" s="36"/>
      <c r="D72" s="37">
        <f t="shared" ref="D72:O72" si="66">D88</f>
        <v>0</v>
      </c>
      <c r="E72" s="37">
        <f t="shared" si="66"/>
        <v>0</v>
      </c>
      <c r="F72" s="37">
        <f t="shared" si="66"/>
        <v>0</v>
      </c>
      <c r="G72" s="37">
        <f t="shared" si="66"/>
        <v>0</v>
      </c>
      <c r="H72" s="37">
        <f t="shared" si="66"/>
        <v>0</v>
      </c>
      <c r="I72" s="37">
        <f t="shared" si="66"/>
        <v>0</v>
      </c>
      <c r="J72" s="37">
        <f t="shared" si="66"/>
        <v>0</v>
      </c>
      <c r="K72" s="37">
        <f t="shared" si="66"/>
        <v>0</v>
      </c>
      <c r="L72" s="37">
        <f t="shared" si="66"/>
        <v>0</v>
      </c>
      <c r="M72" s="37">
        <f t="shared" si="66"/>
        <v>0</v>
      </c>
      <c r="N72" s="37">
        <f t="shared" si="66"/>
        <v>0</v>
      </c>
      <c r="O72" s="37">
        <f t="shared" si="66"/>
        <v>0</v>
      </c>
      <c r="P72" s="28"/>
      <c r="Q72" s="37">
        <f>Q70*0.3</f>
        <v>-43388624.463000029</v>
      </c>
      <c r="R72" s="28"/>
      <c r="S72" s="28"/>
      <c r="T72" s="28"/>
      <c r="U72" s="28"/>
      <c r="V72" s="28"/>
      <c r="W72" s="28"/>
    </row>
    <row r="73" spans="1:23" ht="19.5" customHeight="1" x14ac:dyDescent="0.35">
      <c r="A73" s="28"/>
      <c r="B73" s="22"/>
      <c r="C73" s="28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8"/>
      <c r="Q73" s="22"/>
      <c r="R73" s="28"/>
      <c r="S73" s="28"/>
      <c r="T73" s="28"/>
      <c r="U73" s="28"/>
      <c r="V73" s="28"/>
      <c r="W73" s="28"/>
    </row>
    <row r="74" spans="1:23" ht="19.5" customHeight="1" x14ac:dyDescent="0.35">
      <c r="A74" s="28"/>
      <c r="B74" s="35" t="s">
        <v>73</v>
      </c>
      <c r="C74" s="36"/>
      <c r="D74" s="37">
        <f t="shared" ref="D74:O74" si="67">D70-D72</f>
        <v>-232308604.43333334</v>
      </c>
      <c r="E74" s="37">
        <f t="shared" si="67"/>
        <v>9483666.666666666</v>
      </c>
      <c r="F74" s="37">
        <f t="shared" si="67"/>
        <v>9483666.666666666</v>
      </c>
      <c r="G74" s="37">
        <f t="shared" si="67"/>
        <v>9483666.666666666</v>
      </c>
      <c r="H74" s="37">
        <f t="shared" si="67"/>
        <v>9483666.666666666</v>
      </c>
      <c r="I74" s="37">
        <f t="shared" si="67"/>
        <v>9483666.666666666</v>
      </c>
      <c r="J74" s="37">
        <f t="shared" si="67"/>
        <v>9483666.666666666</v>
      </c>
      <c r="K74" s="37">
        <f t="shared" si="67"/>
        <v>9483666.666666666</v>
      </c>
      <c r="L74" s="37">
        <f t="shared" si="67"/>
        <v>9483666.666666666</v>
      </c>
      <c r="M74" s="37">
        <f t="shared" si="67"/>
        <v>9483666.666666666</v>
      </c>
      <c r="N74" s="37">
        <f t="shared" si="67"/>
        <v>9508666.666666666</v>
      </c>
      <c r="O74" s="37">
        <f t="shared" si="67"/>
        <v>-7181810.4433333334</v>
      </c>
      <c r="P74" s="28"/>
      <c r="Q74" s="37">
        <f>Q70-Q72</f>
        <v>-101240123.74700007</v>
      </c>
      <c r="R74" s="28"/>
      <c r="S74" s="28"/>
      <c r="T74" s="28"/>
      <c r="U74" s="28"/>
      <c r="V74" s="28"/>
      <c r="W74" s="28"/>
    </row>
    <row r="75" spans="1:23" ht="16.5" customHeight="1" x14ac:dyDescent="0.35">
      <c r="A75" s="28"/>
      <c r="B75" s="22"/>
      <c r="C75" s="28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8"/>
      <c r="Q75" s="22"/>
      <c r="R75" s="28"/>
      <c r="S75" s="28"/>
      <c r="T75" s="28"/>
      <c r="U75" s="28"/>
      <c r="V75" s="28"/>
      <c r="W75" s="28"/>
    </row>
    <row r="76" spans="1:23" ht="19.5" customHeight="1" x14ac:dyDescent="0.35">
      <c r="A76" s="28"/>
      <c r="B76" s="35" t="s">
        <v>74</v>
      </c>
      <c r="C76" s="36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28"/>
      <c r="Q76" s="37"/>
      <c r="R76" s="28"/>
      <c r="S76" s="28"/>
      <c r="T76" s="28"/>
      <c r="U76" s="28"/>
      <c r="V76" s="28"/>
      <c r="W76" s="28"/>
    </row>
    <row r="77" spans="1:23" ht="19.5" customHeight="1" x14ac:dyDescent="0.35">
      <c r="A77" s="28"/>
      <c r="B77" s="22"/>
      <c r="C77" s="28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8"/>
      <c r="Q77" s="22"/>
      <c r="R77" s="28"/>
      <c r="S77" s="28"/>
      <c r="T77" s="28"/>
      <c r="U77" s="28"/>
      <c r="V77" s="28"/>
      <c r="W77" s="28"/>
    </row>
    <row r="78" spans="1:23" ht="19.5" customHeight="1" x14ac:dyDescent="0.35">
      <c r="A78" s="28"/>
      <c r="B78" s="35" t="s">
        <v>75</v>
      </c>
      <c r="C78" s="36"/>
      <c r="D78" s="37">
        <f>D94</f>
        <v>0</v>
      </c>
      <c r="E78" s="37">
        <f t="shared" ref="E78:O78" si="68">E94</f>
        <v>0</v>
      </c>
      <c r="F78" s="37">
        <f t="shared" si="68"/>
        <v>0</v>
      </c>
      <c r="G78" s="37">
        <f t="shared" si="68"/>
        <v>0</v>
      </c>
      <c r="H78" s="37">
        <f t="shared" si="68"/>
        <v>0</v>
      </c>
      <c r="I78" s="37">
        <f t="shared" si="68"/>
        <v>0</v>
      </c>
      <c r="J78" s="37">
        <f t="shared" si="68"/>
        <v>0</v>
      </c>
      <c r="K78" s="37">
        <f t="shared" si="68"/>
        <v>0</v>
      </c>
      <c r="L78" s="37">
        <f t="shared" si="68"/>
        <v>0</v>
      </c>
      <c r="M78" s="37">
        <f t="shared" si="68"/>
        <v>0</v>
      </c>
      <c r="N78" s="37">
        <f t="shared" si="68"/>
        <v>0</v>
      </c>
      <c r="O78" s="37">
        <f t="shared" si="68"/>
        <v>0</v>
      </c>
      <c r="P78" s="28"/>
      <c r="Q78" s="37">
        <f>SUM(D78:O78)</f>
        <v>0</v>
      </c>
      <c r="R78" s="28"/>
      <c r="S78" s="28"/>
      <c r="T78" s="28"/>
      <c r="U78" s="28"/>
      <c r="V78" s="28"/>
      <c r="W78" s="28"/>
    </row>
    <row r="79" spans="1:23" ht="19.5" customHeight="1" x14ac:dyDescent="0.35">
      <c r="A79" s="28"/>
      <c r="B79" s="22"/>
      <c r="C79" s="28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8"/>
      <c r="Q79" s="22"/>
      <c r="R79" s="28"/>
      <c r="S79" s="28"/>
      <c r="T79" s="28"/>
      <c r="U79" s="28"/>
      <c r="V79" s="28"/>
      <c r="W79" s="28"/>
    </row>
    <row r="80" spans="1:23" ht="19.5" customHeight="1" x14ac:dyDescent="0.35">
      <c r="A80" s="28"/>
      <c r="B80" s="35" t="s">
        <v>76</v>
      </c>
      <c r="C80" s="36"/>
      <c r="D80" s="37">
        <f>D74-D78</f>
        <v>-232308604.43333334</v>
      </c>
      <c r="E80" s="37">
        <f t="shared" ref="E80" si="69">E74-E78</f>
        <v>9483666.666666666</v>
      </c>
      <c r="F80" s="37">
        <f t="shared" ref="F80" si="70">F74-F78</f>
        <v>9483666.666666666</v>
      </c>
      <c r="G80" s="37">
        <f t="shared" ref="G80" si="71">G74-G78</f>
        <v>9483666.666666666</v>
      </c>
      <c r="H80" s="37">
        <f t="shared" ref="H80" si="72">H74-H78</f>
        <v>9483666.666666666</v>
      </c>
      <c r="I80" s="37">
        <f t="shared" ref="I80" si="73">I74-I78</f>
        <v>9483666.666666666</v>
      </c>
      <c r="J80" s="37">
        <f t="shared" ref="J80" si="74">J74-J78</f>
        <v>9483666.666666666</v>
      </c>
      <c r="K80" s="37">
        <f t="shared" ref="K80" si="75">K74-K78</f>
        <v>9483666.666666666</v>
      </c>
      <c r="L80" s="37">
        <f t="shared" ref="L80" si="76">L74-L78</f>
        <v>9483666.666666666</v>
      </c>
      <c r="M80" s="37">
        <f t="shared" ref="M80" si="77">M74-M78</f>
        <v>9483666.666666666</v>
      </c>
      <c r="N80" s="37">
        <f t="shared" ref="N80" si="78">N74-N78</f>
        <v>9508666.666666666</v>
      </c>
      <c r="O80" s="37">
        <f t="shared" ref="O80" si="79">O74-O78</f>
        <v>-7181810.4433333334</v>
      </c>
      <c r="P80" s="28"/>
      <c r="Q80" s="37">
        <f>Q74-Q78</f>
        <v>-101240123.74700007</v>
      </c>
      <c r="R80" s="28"/>
      <c r="S80" s="28"/>
      <c r="T80" s="28"/>
      <c r="U80" s="28"/>
      <c r="V80" s="28"/>
      <c r="W80" s="28"/>
    </row>
    <row r="81" spans="1:24" ht="19.5" customHeight="1" x14ac:dyDescent="0.35">
      <c r="A81" s="28"/>
      <c r="B81" s="22"/>
      <c r="C81" s="28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8"/>
      <c r="Q81" s="22"/>
      <c r="R81" s="28"/>
      <c r="S81" s="28"/>
      <c r="T81" s="28"/>
      <c r="U81" s="28"/>
      <c r="V81" s="28"/>
      <c r="W81" s="28"/>
    </row>
    <row r="82" spans="1:24" ht="19.5" customHeight="1" x14ac:dyDescent="0.35">
      <c r="A82" s="28"/>
      <c r="B82" s="58"/>
      <c r="C82" s="28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28"/>
      <c r="Q82" s="56"/>
      <c r="R82" s="28"/>
      <c r="S82" s="28"/>
      <c r="T82" s="28"/>
      <c r="U82" s="28"/>
      <c r="V82" s="28"/>
      <c r="W82" s="28"/>
    </row>
    <row r="83" spans="1:24" ht="49.5" hidden="1" customHeight="1" x14ac:dyDescent="0.35">
      <c r="A83" s="3"/>
      <c r="B83" s="314" t="s">
        <v>77</v>
      </c>
      <c r="C83" s="314"/>
      <c r="D83" s="314"/>
      <c r="E83" s="314"/>
      <c r="F83" s="314"/>
      <c r="G83" s="314"/>
      <c r="H83" s="314"/>
      <c r="I83" s="314"/>
      <c r="J83" s="314"/>
      <c r="K83" s="314"/>
      <c r="L83" s="314"/>
      <c r="M83" s="314"/>
      <c r="N83" s="314"/>
      <c r="O83" s="314"/>
      <c r="P83" s="314"/>
      <c r="Q83" s="314"/>
      <c r="R83" s="3"/>
      <c r="S83" s="3"/>
      <c r="T83" s="3"/>
      <c r="U83" s="3"/>
      <c r="V83" s="3"/>
      <c r="W83" s="3"/>
      <c r="X83" s="3"/>
    </row>
    <row r="84" spans="1:24" ht="15" hidden="1" customHeight="1" x14ac:dyDescent="0.35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</row>
    <row r="85" spans="1:24" ht="15" customHeight="1" x14ac:dyDescent="0.35">
      <c r="A85" s="28"/>
      <c r="R85" s="28"/>
      <c r="S85" s="28"/>
      <c r="T85" s="28"/>
      <c r="U85" s="28"/>
      <c r="V85" s="28"/>
      <c r="W85" s="28"/>
    </row>
    <row r="86" spans="1:24" ht="15" customHeight="1" x14ac:dyDescent="0.35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</row>
    <row r="87" spans="1:24" ht="15" customHeight="1" x14ac:dyDescent="0.35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</row>
    <row r="88" spans="1:24" ht="15" customHeight="1" x14ac:dyDescent="0.35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</row>
    <row r="89" spans="1:24" ht="15" customHeight="1" x14ac:dyDescent="0.35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</row>
    <row r="90" spans="1:24" ht="15" customHeight="1" x14ac:dyDescent="0.35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</row>
    <row r="91" spans="1:24" ht="15" customHeight="1" x14ac:dyDescent="0.3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</row>
    <row r="92" spans="1:24" ht="15" customHeight="1" x14ac:dyDescent="0.35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</row>
    <row r="93" spans="1:24" ht="15" customHeight="1" x14ac:dyDescent="0.35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</row>
    <row r="94" spans="1:24" ht="15" customHeight="1" x14ac:dyDescent="0.35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</row>
    <row r="95" spans="1:24" ht="15" customHeight="1" x14ac:dyDescent="0.3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</row>
    <row r="96" spans="1:24" ht="15" customHeight="1" x14ac:dyDescent="0.35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</row>
    <row r="97" spans="1:23" ht="15" customHeight="1" x14ac:dyDescent="0.35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</row>
    <row r="98" spans="1:23" ht="15" customHeight="1" x14ac:dyDescent="0.35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</row>
    <row r="99" spans="1:23" ht="15" customHeight="1" x14ac:dyDescent="0.35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</row>
    <row r="100" spans="1:23" ht="15" customHeight="1" x14ac:dyDescent="0.35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</row>
    <row r="101" spans="1:23" ht="15" customHeight="1" x14ac:dyDescent="0.35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</row>
    <row r="102" spans="1:23" ht="15" customHeight="1" x14ac:dyDescent="0.35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</row>
    <row r="103" spans="1:23" ht="15" customHeight="1" x14ac:dyDescent="0.35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</row>
    <row r="104" spans="1:23" ht="15" customHeight="1" x14ac:dyDescent="0.35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</row>
    <row r="105" spans="1:23" ht="15" customHeight="1" x14ac:dyDescent="0.3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</row>
    <row r="106" spans="1:23" ht="15" customHeight="1" x14ac:dyDescent="0.35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</row>
    <row r="107" spans="1:23" ht="15" customHeight="1" x14ac:dyDescent="0.35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</row>
    <row r="108" spans="1:23" ht="15" customHeight="1" x14ac:dyDescent="0.35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</row>
    <row r="109" spans="1:23" ht="15" customHeight="1" x14ac:dyDescent="0.35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</row>
    <row r="110" spans="1:23" ht="15" customHeight="1" x14ac:dyDescent="0.35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</row>
    <row r="111" spans="1:23" ht="15" customHeight="1" x14ac:dyDescent="0.35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</row>
    <row r="112" spans="1:23" ht="15" customHeight="1" x14ac:dyDescent="0.35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</row>
    <row r="113" spans="1:23" ht="15" customHeight="1" x14ac:dyDescent="0.35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</row>
    <row r="114" spans="1:23" ht="15" customHeight="1" x14ac:dyDescent="0.35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</row>
    <row r="115" spans="1:23" ht="15" customHeight="1" x14ac:dyDescent="0.3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</row>
    <row r="116" spans="1:23" ht="15" customHeight="1" x14ac:dyDescent="0.35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</row>
    <row r="117" spans="1:23" ht="15" customHeight="1" x14ac:dyDescent="0.35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</row>
    <row r="118" spans="1:23" ht="15" customHeight="1" x14ac:dyDescent="0.35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</row>
    <row r="119" spans="1:23" ht="15" customHeight="1" x14ac:dyDescent="0.35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</row>
    <row r="120" spans="1:23" ht="15" customHeight="1" x14ac:dyDescent="0.35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</row>
    <row r="121" spans="1:23" ht="15" customHeight="1" x14ac:dyDescent="0.35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</row>
    <row r="122" spans="1:23" ht="15" customHeight="1" x14ac:dyDescent="0.35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</row>
    <row r="123" spans="1:23" ht="15" customHeight="1" x14ac:dyDescent="0.35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</row>
    <row r="124" spans="1:23" ht="15" customHeight="1" x14ac:dyDescent="0.35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</row>
    <row r="125" spans="1:23" ht="15" customHeight="1" x14ac:dyDescent="0.3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</row>
    <row r="126" spans="1:23" ht="15" customHeight="1" x14ac:dyDescent="0.35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</row>
    <row r="127" spans="1:23" ht="15" customHeight="1" x14ac:dyDescent="0.3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</row>
    <row r="128" spans="1:23" ht="15" customHeight="1" x14ac:dyDescent="0.35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</row>
    <row r="129" spans="1:23" ht="15" customHeight="1" x14ac:dyDescent="0.35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</row>
    <row r="130" spans="1:23" ht="15" customHeight="1" x14ac:dyDescent="0.35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</row>
    <row r="131" spans="1:23" ht="15" customHeight="1" x14ac:dyDescent="0.35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</row>
    <row r="132" spans="1:23" ht="15" customHeight="1" x14ac:dyDescent="0.35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</row>
    <row r="133" spans="1:23" ht="15" customHeight="1" x14ac:dyDescent="0.35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</row>
    <row r="134" spans="1:23" ht="15" customHeight="1" x14ac:dyDescent="0.35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</row>
    <row r="135" spans="1:23" ht="15" customHeight="1" x14ac:dyDescent="0.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</row>
    <row r="136" spans="1:23" ht="15" customHeight="1" x14ac:dyDescent="0.35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</row>
    <row r="137" spans="1:23" ht="15" customHeight="1" x14ac:dyDescent="0.35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</row>
    <row r="138" spans="1:23" ht="15" customHeight="1" x14ac:dyDescent="0.35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</row>
    <row r="139" spans="1:23" ht="15" customHeight="1" x14ac:dyDescent="0.35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</row>
    <row r="140" spans="1:23" ht="15" customHeight="1" x14ac:dyDescent="0.35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</row>
    <row r="141" spans="1:23" ht="15" customHeight="1" x14ac:dyDescent="0.35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</row>
    <row r="142" spans="1:23" ht="15" customHeight="1" x14ac:dyDescent="0.35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</row>
    <row r="143" spans="1:23" ht="15" customHeight="1" x14ac:dyDescent="0.35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</row>
    <row r="144" spans="1:23" ht="15" customHeight="1" x14ac:dyDescent="0.35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</row>
    <row r="145" spans="1:23" ht="15" customHeight="1" x14ac:dyDescent="0.3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</row>
    <row r="146" spans="1:23" ht="15" customHeight="1" x14ac:dyDescent="0.35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</row>
    <row r="147" spans="1:23" ht="15" customHeight="1" x14ac:dyDescent="0.35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</row>
    <row r="148" spans="1:23" ht="15" customHeight="1" x14ac:dyDescent="0.35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</row>
    <row r="149" spans="1:23" ht="15" customHeight="1" x14ac:dyDescent="0.35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</row>
    <row r="150" spans="1:23" ht="15" customHeight="1" x14ac:dyDescent="0.35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</row>
    <row r="151" spans="1:23" ht="15" customHeight="1" x14ac:dyDescent="0.35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</row>
    <row r="152" spans="1:23" ht="15" customHeight="1" x14ac:dyDescent="0.35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</row>
    <row r="153" spans="1:23" ht="15" customHeight="1" x14ac:dyDescent="0.35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</row>
    <row r="154" spans="1:23" ht="15" customHeight="1" x14ac:dyDescent="0.35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</row>
    <row r="155" spans="1:23" ht="15" customHeight="1" x14ac:dyDescent="0.3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</row>
    <row r="156" spans="1:23" ht="15" customHeight="1" x14ac:dyDescent="0.35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</row>
    <row r="157" spans="1:23" ht="15" customHeight="1" x14ac:dyDescent="0.35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</row>
    <row r="158" spans="1:23" ht="15" customHeight="1" x14ac:dyDescent="0.35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</row>
    <row r="159" spans="1:23" ht="15" customHeight="1" x14ac:dyDescent="0.35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</row>
    <row r="160" spans="1:23" ht="15" customHeight="1" x14ac:dyDescent="0.35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</row>
    <row r="161" spans="1:23" ht="15" customHeight="1" x14ac:dyDescent="0.35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</row>
    <row r="162" spans="1:23" ht="15" customHeight="1" x14ac:dyDescent="0.35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</row>
    <row r="163" spans="1:23" ht="15" customHeight="1" x14ac:dyDescent="0.35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</row>
    <row r="164" spans="1:23" ht="15" customHeight="1" x14ac:dyDescent="0.35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</row>
    <row r="165" spans="1:23" ht="15" customHeight="1" x14ac:dyDescent="0.3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</row>
    <row r="166" spans="1:23" ht="15" customHeight="1" x14ac:dyDescent="0.35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</row>
    <row r="167" spans="1:23" ht="15" customHeight="1" x14ac:dyDescent="0.35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</row>
    <row r="168" spans="1:23" ht="15" customHeight="1" x14ac:dyDescent="0.35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</row>
    <row r="169" spans="1:23" ht="15" customHeight="1" x14ac:dyDescent="0.35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</row>
    <row r="170" spans="1:23" ht="15" customHeight="1" x14ac:dyDescent="0.35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</row>
    <row r="171" spans="1:23" ht="15" customHeight="1" x14ac:dyDescent="0.35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</row>
    <row r="172" spans="1:23" ht="15" customHeight="1" x14ac:dyDescent="0.3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</row>
    <row r="173" spans="1:23" ht="15" customHeight="1" x14ac:dyDescent="0.35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</row>
    <row r="174" spans="1:23" ht="15" customHeight="1" x14ac:dyDescent="0.35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</row>
    <row r="175" spans="1:23" ht="15" customHeight="1" x14ac:dyDescent="0.3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</row>
    <row r="176" spans="1:23" ht="15" customHeight="1" x14ac:dyDescent="0.35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</row>
    <row r="177" spans="1:23" ht="15" customHeight="1" x14ac:dyDescent="0.35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</row>
    <row r="178" spans="1:23" ht="15" customHeight="1" x14ac:dyDescent="0.35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</row>
    <row r="179" spans="1:23" ht="15" customHeight="1" x14ac:dyDescent="0.35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</row>
    <row r="180" spans="1:23" ht="15" customHeight="1" x14ac:dyDescent="0.35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</row>
    <row r="181" spans="1:23" ht="15" customHeight="1" x14ac:dyDescent="0.35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</row>
    <row r="182" spans="1:23" ht="15" customHeight="1" x14ac:dyDescent="0.35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</row>
    <row r="183" spans="1:23" ht="15" customHeight="1" x14ac:dyDescent="0.35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</row>
    <row r="184" spans="1:23" ht="15" customHeight="1" x14ac:dyDescent="0.35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</row>
    <row r="185" spans="1:23" ht="15" customHeight="1" x14ac:dyDescent="0.3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</row>
    <row r="186" spans="1:23" ht="15" customHeight="1" x14ac:dyDescent="0.35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</row>
    <row r="187" spans="1:23" ht="15" customHeight="1" x14ac:dyDescent="0.35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</row>
    <row r="188" spans="1:23" ht="15" customHeight="1" x14ac:dyDescent="0.35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</row>
    <row r="189" spans="1:23" ht="15" customHeight="1" x14ac:dyDescent="0.35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</row>
    <row r="190" spans="1:23" ht="15" customHeight="1" x14ac:dyDescent="0.35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</row>
    <row r="191" spans="1:23" ht="15" customHeight="1" x14ac:dyDescent="0.35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</row>
    <row r="192" spans="1:23" ht="15" customHeight="1" x14ac:dyDescent="0.35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</row>
    <row r="193" spans="1:23" ht="15" customHeight="1" x14ac:dyDescent="0.35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</row>
    <row r="194" spans="1:23" ht="15" customHeight="1" x14ac:dyDescent="0.35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</row>
    <row r="195" spans="1:23" ht="15" customHeight="1" x14ac:dyDescent="0.3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</row>
    <row r="196" spans="1:23" ht="15" customHeight="1" x14ac:dyDescent="0.35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</row>
    <row r="197" spans="1:23" ht="15" customHeight="1" x14ac:dyDescent="0.35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</row>
    <row r="198" spans="1:23" ht="15" customHeight="1" x14ac:dyDescent="0.35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</row>
    <row r="199" spans="1:23" ht="15" customHeight="1" x14ac:dyDescent="0.35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</row>
    <row r="200" spans="1:23" ht="15" customHeight="1" x14ac:dyDescent="0.35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</row>
    <row r="201" spans="1:23" ht="15" customHeight="1" x14ac:dyDescent="0.35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</row>
    <row r="202" spans="1:23" ht="15" customHeight="1" x14ac:dyDescent="0.35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</row>
    <row r="203" spans="1:23" ht="15" customHeight="1" x14ac:dyDescent="0.35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</row>
    <row r="204" spans="1:23" ht="15" customHeight="1" x14ac:dyDescent="0.35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</row>
    <row r="205" spans="1:23" ht="15" customHeight="1" x14ac:dyDescent="0.3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</row>
    <row r="206" spans="1:23" ht="15" customHeight="1" x14ac:dyDescent="0.35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</row>
    <row r="207" spans="1:23" ht="15" customHeight="1" x14ac:dyDescent="0.35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</row>
    <row r="208" spans="1:23" ht="15" customHeight="1" x14ac:dyDescent="0.35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</row>
    <row r="209" spans="1:23" ht="15" customHeight="1" x14ac:dyDescent="0.35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</row>
    <row r="210" spans="1:23" ht="15" customHeight="1" x14ac:dyDescent="0.35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</row>
    <row r="211" spans="1:23" ht="15" customHeight="1" x14ac:dyDescent="0.35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</row>
    <row r="212" spans="1:23" ht="15" customHeight="1" x14ac:dyDescent="0.35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</row>
    <row r="213" spans="1:23" ht="15" customHeight="1" x14ac:dyDescent="0.35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</row>
    <row r="214" spans="1:23" ht="15" customHeight="1" x14ac:dyDescent="0.35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</row>
    <row r="215" spans="1:23" ht="15" customHeight="1" x14ac:dyDescent="0.3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</row>
    <row r="216" spans="1:23" ht="15" customHeight="1" x14ac:dyDescent="0.35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</row>
    <row r="217" spans="1:23" ht="15" customHeight="1" x14ac:dyDescent="0.35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</row>
    <row r="218" spans="1:23" ht="15" customHeight="1" x14ac:dyDescent="0.35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</row>
    <row r="219" spans="1:23" ht="15" customHeight="1" x14ac:dyDescent="0.35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</row>
    <row r="220" spans="1:23" ht="15" customHeight="1" x14ac:dyDescent="0.35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</row>
    <row r="221" spans="1:23" ht="15" customHeight="1" x14ac:dyDescent="0.35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</row>
    <row r="222" spans="1:23" ht="15" customHeight="1" x14ac:dyDescent="0.35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</row>
    <row r="223" spans="1:23" ht="15" customHeight="1" x14ac:dyDescent="0.35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</row>
    <row r="224" spans="1:23" ht="15" customHeight="1" x14ac:dyDescent="0.35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</row>
    <row r="225" spans="1:23" ht="15" customHeight="1" x14ac:dyDescent="0.3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</row>
    <row r="226" spans="1:23" ht="15" customHeight="1" x14ac:dyDescent="0.35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</row>
    <row r="227" spans="1:23" ht="15" customHeight="1" x14ac:dyDescent="0.35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</row>
    <row r="228" spans="1:23" ht="15" customHeight="1" x14ac:dyDescent="0.35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</row>
    <row r="229" spans="1:23" ht="15" customHeight="1" x14ac:dyDescent="0.35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</row>
    <row r="230" spans="1:23" ht="15" customHeight="1" x14ac:dyDescent="0.35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</row>
    <row r="231" spans="1:23" ht="15" customHeight="1" x14ac:dyDescent="0.35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</row>
    <row r="232" spans="1:23" ht="15" customHeight="1" x14ac:dyDescent="0.35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</row>
    <row r="233" spans="1:23" ht="15" customHeight="1" x14ac:dyDescent="0.35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</row>
    <row r="234" spans="1:23" ht="15" customHeight="1" x14ac:dyDescent="0.35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</row>
    <row r="235" spans="1:23" ht="15" customHeight="1" x14ac:dyDescent="0.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</row>
    <row r="236" spans="1:23" ht="15" customHeight="1" x14ac:dyDescent="0.35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</row>
    <row r="237" spans="1:23" ht="15" customHeight="1" x14ac:dyDescent="0.35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</row>
    <row r="238" spans="1:23" ht="15" customHeight="1" x14ac:dyDescent="0.35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</row>
    <row r="239" spans="1:23" ht="15" customHeight="1" x14ac:dyDescent="0.35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</row>
    <row r="240" spans="1:23" ht="15" customHeight="1" x14ac:dyDescent="0.35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</row>
    <row r="241" spans="1:23" ht="15" customHeight="1" x14ac:dyDescent="0.35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</row>
    <row r="242" spans="1:23" ht="15" customHeight="1" x14ac:dyDescent="0.35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</row>
    <row r="243" spans="1:23" ht="15" customHeight="1" x14ac:dyDescent="0.35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</row>
    <row r="244" spans="1:23" ht="15" customHeight="1" x14ac:dyDescent="0.35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</row>
    <row r="245" spans="1:23" ht="15" customHeight="1" x14ac:dyDescent="0.3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</row>
    <row r="246" spans="1:23" ht="15" customHeight="1" x14ac:dyDescent="0.35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</row>
    <row r="247" spans="1:23" ht="15" customHeight="1" x14ac:dyDescent="0.35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</row>
    <row r="248" spans="1:23" ht="15" customHeight="1" x14ac:dyDescent="0.35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</row>
    <row r="249" spans="1:23" ht="15" customHeight="1" x14ac:dyDescent="0.35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</row>
    <row r="250" spans="1:23" ht="15" customHeight="1" x14ac:dyDescent="0.35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</row>
    <row r="251" spans="1:23" ht="15" customHeight="1" x14ac:dyDescent="0.35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</row>
    <row r="252" spans="1:23" ht="15" customHeight="1" x14ac:dyDescent="0.35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</row>
    <row r="253" spans="1:23" ht="15" customHeight="1" x14ac:dyDescent="0.35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</row>
    <row r="254" spans="1:23" ht="15" customHeight="1" x14ac:dyDescent="0.35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</row>
    <row r="255" spans="1:23" ht="15" customHeight="1" x14ac:dyDescent="0.3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</row>
    <row r="256" spans="1:23" ht="15" customHeight="1" x14ac:dyDescent="0.35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</row>
    <row r="257" spans="1:23" ht="15" customHeight="1" x14ac:dyDescent="0.35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</row>
    <row r="258" spans="1:23" ht="15" customHeight="1" x14ac:dyDescent="0.35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</row>
    <row r="259" spans="1:23" ht="15" customHeight="1" x14ac:dyDescent="0.35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</row>
    <row r="260" spans="1:23" ht="15" customHeight="1" x14ac:dyDescent="0.35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</row>
    <row r="261" spans="1:23" ht="15" customHeight="1" x14ac:dyDescent="0.35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</row>
    <row r="262" spans="1:23" ht="15" customHeight="1" x14ac:dyDescent="0.35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</row>
    <row r="263" spans="1:23" ht="15" customHeight="1" x14ac:dyDescent="0.35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</row>
    <row r="264" spans="1:23" ht="15" customHeight="1" x14ac:dyDescent="0.35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</row>
    <row r="265" spans="1:23" ht="15" customHeight="1" x14ac:dyDescent="0.3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</row>
    <row r="266" spans="1:23" ht="15" customHeight="1" x14ac:dyDescent="0.35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</row>
    <row r="267" spans="1:23" ht="15" customHeight="1" x14ac:dyDescent="0.35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</row>
    <row r="268" spans="1:23" ht="15" customHeight="1" x14ac:dyDescent="0.35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</row>
    <row r="269" spans="1:23" ht="15" customHeight="1" x14ac:dyDescent="0.35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</row>
    <row r="270" spans="1:23" ht="15" customHeight="1" x14ac:dyDescent="0.35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</row>
    <row r="271" spans="1:23" ht="15" customHeight="1" x14ac:dyDescent="0.35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</row>
    <row r="272" spans="1:23" ht="15" customHeight="1" x14ac:dyDescent="0.35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</row>
    <row r="273" spans="1:23" ht="15" customHeight="1" x14ac:dyDescent="0.35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</row>
    <row r="274" spans="1:23" ht="15" customHeight="1" x14ac:dyDescent="0.35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</row>
    <row r="275" spans="1:23" ht="15" customHeight="1" x14ac:dyDescent="0.3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</row>
    <row r="276" spans="1:23" ht="15" customHeight="1" x14ac:dyDescent="0.35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</row>
    <row r="277" spans="1:23" ht="15" customHeight="1" x14ac:dyDescent="0.35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</row>
    <row r="278" spans="1:23" ht="15" customHeight="1" x14ac:dyDescent="0.35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</row>
    <row r="279" spans="1:23" ht="15" customHeight="1" x14ac:dyDescent="0.35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</row>
    <row r="280" spans="1:23" ht="15" customHeight="1" x14ac:dyDescent="0.35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</row>
    <row r="281" spans="1:23" ht="15" customHeight="1" x14ac:dyDescent="0.35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</row>
    <row r="282" spans="1:23" ht="15" customHeight="1" x14ac:dyDescent="0.35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</row>
    <row r="283" spans="1:23" ht="15" customHeight="1" x14ac:dyDescent="0.35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</row>
    <row r="284" spans="1:23" ht="15.75" customHeight="1" x14ac:dyDescent="0.35"/>
    <row r="285" spans="1:23" ht="15.75" customHeight="1" x14ac:dyDescent="0.35"/>
    <row r="286" spans="1:23" ht="15.75" customHeight="1" x14ac:dyDescent="0.35"/>
    <row r="287" spans="1:23" ht="15.75" customHeight="1" x14ac:dyDescent="0.35"/>
    <row r="288" spans="1:23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</sheetData>
  <mergeCells count="17">
    <mergeCell ref="B51:B52"/>
    <mergeCell ref="C51:C52"/>
    <mergeCell ref="B63:B64"/>
    <mergeCell ref="C63:C64"/>
    <mergeCell ref="B83:Q83"/>
    <mergeCell ref="B1:H1"/>
    <mergeCell ref="B2:C2"/>
    <mergeCell ref="B3:C3"/>
    <mergeCell ref="B5:C5"/>
    <mergeCell ref="B6:C6"/>
    <mergeCell ref="B31:B32"/>
    <mergeCell ref="C31:C32"/>
    <mergeCell ref="C8:C9"/>
    <mergeCell ref="C15:C16"/>
    <mergeCell ref="B15:B16"/>
    <mergeCell ref="C21:C22"/>
    <mergeCell ref="B21:B22"/>
  </mergeCells>
  <conditionalFormatting sqref="C30 Q59:Q60 Q17:Q19 D68 D66 J68:O68 J66:O66 Q65:Q67 E66:I68 D53:O62 D69:O81 D17:O19 D28:O30 D23:O26 D48:O50 D65:O65 D10:O12 Q33:Q48 N33:N46 D33:D47 F33:M47 O33:O47 E33:E46">
    <cfRule type="cellIs" dxfId="31" priority="91" operator="lessThan">
      <formula>0</formula>
    </cfRule>
  </conditionalFormatting>
  <conditionalFormatting sqref="Q12">
    <cfRule type="cellIs" dxfId="30" priority="92" operator="lessThan">
      <formula>0</formula>
    </cfRule>
  </conditionalFormatting>
  <conditionalFormatting sqref="Q10:Q11">
    <cfRule type="cellIs" dxfId="29" priority="93" operator="lessThan">
      <formula>0</formula>
    </cfRule>
  </conditionalFormatting>
  <conditionalFormatting sqref="Q23:Q26 Q28:Q30 Q49:Q50 Q62 Q69 Q71 Q73 Q75 Q77 Q79 Q81">
    <cfRule type="cellIs" dxfId="28" priority="94" operator="lessThan">
      <formula>0</formula>
    </cfRule>
  </conditionalFormatting>
  <conditionalFormatting sqref="Q61">
    <cfRule type="cellIs" dxfId="27" priority="96" operator="lessThan">
      <formula>0</formula>
    </cfRule>
  </conditionalFormatting>
  <conditionalFormatting sqref="E47 N47">
    <cfRule type="cellIs" dxfId="26" priority="97" operator="lessThan">
      <formula>0</formula>
    </cfRule>
  </conditionalFormatting>
  <conditionalFormatting sqref="E47 N47">
    <cfRule type="cellIs" dxfId="25" priority="98" operator="lessThan">
      <formula>0</formula>
    </cfRule>
  </conditionalFormatting>
  <conditionalFormatting sqref="Q70">
    <cfRule type="cellIs" dxfId="24" priority="99" operator="lessThan">
      <formula>0</formula>
    </cfRule>
  </conditionalFormatting>
  <conditionalFormatting sqref="Q72">
    <cfRule type="cellIs" dxfId="23" priority="101" operator="lessThan">
      <formula>0</formula>
    </cfRule>
  </conditionalFormatting>
  <conditionalFormatting sqref="Q74">
    <cfRule type="cellIs" dxfId="22" priority="102" operator="lessThan">
      <formula>0</formula>
    </cfRule>
  </conditionalFormatting>
  <conditionalFormatting sqref="Q76">
    <cfRule type="cellIs" dxfId="21" priority="103" operator="lessThan">
      <formula>0</formula>
    </cfRule>
  </conditionalFormatting>
  <conditionalFormatting sqref="Q78">
    <cfRule type="cellIs" dxfId="20" priority="105" operator="lessThan">
      <formula>0</formula>
    </cfRule>
  </conditionalFormatting>
  <conditionalFormatting sqref="Q80">
    <cfRule type="cellIs" dxfId="19" priority="106" operator="lessThan">
      <formula>0</formula>
    </cfRule>
  </conditionalFormatting>
  <conditionalFormatting sqref="D67 J67:O67">
    <cfRule type="cellIs" dxfId="18" priority="107" operator="lessThan">
      <formula>0</formula>
    </cfRule>
  </conditionalFormatting>
  <conditionalFormatting sqref="Q53:Q58">
    <cfRule type="cellIs" dxfId="17" priority="2" operator="lessThan">
      <formula>0</formula>
    </cfRule>
  </conditionalFormatting>
  <conditionalFormatting sqref="Q68">
    <cfRule type="cellIs" dxfId="16" priority="1" operator="lessThan">
      <formula>0</formula>
    </cfRule>
  </conditionalFormatting>
  <pageMargins left="0.3" right="0.3" top="0.3" bottom="0.3" header="0" footer="0"/>
  <pageSetup scale="16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00B050"/>
          <x14:sparklines>
            <x14:sparkline>
              <xm:f>'INCOME STATEMENT'!D46:O46</xm:f>
              <xm:sqref>C46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STATEMENT'!D45:O45</xm:f>
              <xm:sqref>C45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STATEMENT'!D36:O36</xm:f>
              <xm:sqref>C36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STATEMENT'!D44:O44</xm:f>
              <xm:sqref>C44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STATEMENT'!D10:O10</xm:f>
              <xm:sqref>C10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STATEMENT'!D11:O11</xm:f>
              <xm:sqref>C11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STATEMENT'!D12:O12</xm:f>
              <xm:sqref>C12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STATEMENT'!D17:O17</xm:f>
              <xm:sqref>C17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STATEMENT'!D18:O18</xm:f>
              <xm:sqref>C18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STATEMENT'!D19:O19</xm:f>
              <xm:sqref>C19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STATEMENT'!D23:O23</xm:f>
              <xm:sqref>C23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STATEMENT'!D24:O24</xm:f>
              <xm:sqref>C24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STATEMENT'!D25:O25</xm:f>
              <xm:sqref>C25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STATEMENT'!D26:O26</xm:f>
              <xm:sqref>C26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STATEMENT'!D28:O28</xm:f>
              <xm:sqref>C28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STATEMENT'!D34:O34</xm:f>
              <xm:sqref>C34</xm:sqref>
            </x14:sparkline>
            <x14:sparkline>
              <xm:f>'INCOME STATEMENT'!D33:O33</xm:f>
              <xm:sqref>C33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STATEMENT'!D35:O35</xm:f>
              <xm:sqref>C35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STATEMENT'!D37:O37</xm:f>
              <xm:sqref>C37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STATEMENT'!D38:O38</xm:f>
              <xm:sqref>C38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STATEMENT'!D39:O39</xm:f>
              <xm:sqref>C39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STATEMENT'!D40:O40</xm:f>
              <xm:sqref>C40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STATEMENT'!D41:O41</xm:f>
              <xm:sqref>C41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STATEMENT'!D42:O42</xm:f>
              <xm:sqref>C42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STATEMENT'!D43:O43</xm:f>
              <xm:sqref>C43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STATEMENT'!D47:O47</xm:f>
              <xm:sqref>C47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STATEMENT'!D48:O48</xm:f>
              <xm:sqref>C48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STATEMENT'!D65:O65</xm:f>
              <xm:sqref>C65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STATEMENT'!D66:O66</xm:f>
              <xm:sqref>C66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STATEMENT'!D67:O67</xm:f>
              <xm:sqref>C67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STATEMENT'!D68:O68</xm:f>
              <xm:sqref>C68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STATEMENT'!D70:O70</xm:f>
              <xm:sqref>C70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STATEMENT'!D74:O74</xm:f>
              <xm:sqref>C74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STATEMENT'!D78:O78</xm:f>
              <xm:sqref>C78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STATEMENT'!D76:O76</xm:f>
              <xm:sqref>C76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STATEMENT'!D72:O72</xm:f>
              <xm:sqref>C72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STATEMENT'!D80:O80</xm:f>
              <xm:sqref>C80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STATEMENT'!D61:O61</xm:f>
              <xm:sqref>C61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STATEMENT'!D59:O59</xm:f>
              <xm:sqref>C59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STATEMENT'!D58:O58</xm:f>
              <xm:sqref>C58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STATEMENT'!D57:O57</xm:f>
              <xm:sqref>C57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STATEMENT'!D54:O54</xm:f>
              <xm:sqref>C54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STATEMENT'!D56:O56</xm:f>
              <xm:sqref>C56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STATEMENT'!D53:O53</xm:f>
              <xm:sqref>C53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STATEMENT'!D55:O55</xm:f>
              <xm:sqref>C55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010"/>
  <sheetViews>
    <sheetView topLeftCell="A56" zoomScale="60" zoomScaleNormal="60" workbookViewId="0">
      <selection activeCell="B1" sqref="B1:H82"/>
    </sheetView>
  </sheetViews>
  <sheetFormatPr defaultColWidth="14.453125" defaultRowHeight="15" customHeight="1" x14ac:dyDescent="0.35"/>
  <cols>
    <col min="1" max="1" width="3.36328125" style="95" customWidth="1"/>
    <col min="2" max="2" width="40.1796875" style="95" customWidth="1"/>
    <col min="3" max="3" width="15.81640625" style="95" customWidth="1"/>
    <col min="4" max="4" width="25.36328125" style="95" bestFit="1" customWidth="1"/>
    <col min="5" max="5" width="24" style="95" bestFit="1" customWidth="1"/>
    <col min="6" max="6" width="24" style="95" customWidth="1"/>
    <col min="7" max="7" width="2.36328125" style="95" customWidth="1"/>
    <col min="8" max="8" width="24" style="95" bestFit="1" customWidth="1"/>
    <col min="9" max="14" width="28.6328125" style="95" customWidth="1"/>
    <col min="15" max="16384" width="14.453125" style="95"/>
  </cols>
  <sheetData>
    <row r="1" spans="1:15" ht="45" customHeight="1" x14ac:dyDescent="0.35">
      <c r="A1" s="94"/>
      <c r="B1" s="305" t="s">
        <v>29</v>
      </c>
      <c r="C1" s="306"/>
      <c r="D1" s="306"/>
      <c r="E1" s="306"/>
      <c r="F1" s="306"/>
      <c r="G1" s="25"/>
      <c r="H1" s="25"/>
      <c r="I1" s="94"/>
      <c r="J1" s="94"/>
      <c r="K1" s="94"/>
      <c r="L1" s="94"/>
      <c r="M1" s="94"/>
      <c r="N1" s="94"/>
      <c r="O1" s="94"/>
    </row>
    <row r="2" spans="1:15" ht="21.75" customHeight="1" x14ac:dyDescent="0.35">
      <c r="A2" s="26"/>
      <c r="B2" s="308" t="s">
        <v>30</v>
      </c>
      <c r="C2" s="309"/>
      <c r="D2" s="27"/>
      <c r="E2" s="27"/>
      <c r="F2" s="27"/>
      <c r="G2" s="27"/>
      <c r="H2" s="27"/>
      <c r="I2" s="28"/>
      <c r="J2" s="28"/>
      <c r="K2" s="28"/>
      <c r="L2" s="28"/>
      <c r="M2" s="28"/>
      <c r="N2" s="28"/>
    </row>
    <row r="3" spans="1:15" ht="34.5" customHeight="1" thickBot="1" x14ac:dyDescent="0.4">
      <c r="A3" s="29"/>
      <c r="B3" s="310" t="s">
        <v>201</v>
      </c>
      <c r="C3" s="311"/>
      <c r="D3" s="30"/>
      <c r="E3" s="30"/>
      <c r="F3" s="30"/>
      <c r="G3" s="30"/>
      <c r="H3" s="30"/>
      <c r="I3" s="29"/>
      <c r="J3" s="29"/>
      <c r="K3" s="29"/>
      <c r="L3" s="29"/>
      <c r="M3" s="29"/>
      <c r="N3" s="29"/>
    </row>
    <row r="4" spans="1:15" ht="15" customHeight="1" x14ac:dyDescent="0.35">
      <c r="A4" s="28"/>
      <c r="B4" s="31"/>
      <c r="C4" s="32"/>
      <c r="D4" s="32"/>
      <c r="E4" s="32"/>
      <c r="F4" s="32"/>
      <c r="G4" s="32"/>
      <c r="H4" s="32"/>
      <c r="I4" s="28"/>
      <c r="J4" s="28"/>
      <c r="K4" s="28"/>
      <c r="L4" s="28"/>
      <c r="M4" s="28"/>
      <c r="N4" s="28"/>
    </row>
    <row r="5" spans="1:15" ht="21.75" customHeight="1" x14ac:dyDescent="0.35">
      <c r="A5" s="26"/>
      <c r="B5" s="308" t="s">
        <v>31</v>
      </c>
      <c r="C5" s="309"/>
      <c r="D5" s="27"/>
      <c r="E5" s="27"/>
      <c r="F5" s="27"/>
      <c r="G5" s="27"/>
      <c r="H5" s="27"/>
      <c r="I5" s="28"/>
      <c r="J5" s="28"/>
      <c r="K5" s="28"/>
      <c r="L5" s="28"/>
      <c r="M5" s="28"/>
      <c r="N5" s="28"/>
    </row>
    <row r="6" spans="1:15" ht="34.5" customHeight="1" thickBot="1" x14ac:dyDescent="0.4">
      <c r="A6" s="29"/>
      <c r="B6" s="310" t="s">
        <v>245</v>
      </c>
      <c r="C6" s="311"/>
      <c r="D6" s="30"/>
      <c r="E6" s="30"/>
      <c r="F6" s="30"/>
      <c r="G6" s="30"/>
      <c r="H6" s="30"/>
      <c r="I6" s="29"/>
      <c r="J6" s="29"/>
      <c r="K6" s="29"/>
      <c r="L6" s="29"/>
      <c r="M6" s="29"/>
      <c r="N6" s="29"/>
    </row>
    <row r="7" spans="1:15" s="238" customFormat="1" ht="24.5" customHeight="1" x14ac:dyDescent="0.35">
      <c r="A7" s="99"/>
      <c r="B7" s="281"/>
      <c r="C7" s="274"/>
      <c r="D7" s="98"/>
      <c r="E7" s="98"/>
      <c r="F7" s="98"/>
      <c r="G7" s="98"/>
      <c r="H7" s="98"/>
      <c r="I7" s="99"/>
      <c r="J7" s="99"/>
      <c r="K7" s="99"/>
      <c r="L7" s="99"/>
      <c r="M7" s="99"/>
      <c r="N7" s="99"/>
    </row>
    <row r="8" spans="1:15" ht="15" customHeight="1" x14ac:dyDescent="0.35">
      <c r="A8" s="28"/>
      <c r="B8" s="33"/>
      <c r="C8" s="32"/>
      <c r="D8" s="32"/>
      <c r="E8" s="32"/>
      <c r="F8" s="32"/>
      <c r="G8" s="32"/>
      <c r="H8" s="32"/>
      <c r="I8" s="28"/>
      <c r="J8" s="28"/>
      <c r="K8" s="28"/>
      <c r="L8" s="28"/>
      <c r="M8" s="28"/>
      <c r="N8" s="28"/>
    </row>
    <row r="9" spans="1:15" ht="19.5" customHeight="1" x14ac:dyDescent="0.35">
      <c r="A9" s="29"/>
      <c r="B9" s="31"/>
      <c r="C9" s="303" t="s">
        <v>32</v>
      </c>
      <c r="D9" s="255" t="s">
        <v>196</v>
      </c>
      <c r="E9" s="255" t="s">
        <v>197</v>
      </c>
      <c r="F9" s="255" t="s">
        <v>198</v>
      </c>
      <c r="G9" s="30"/>
      <c r="H9" s="255" t="s">
        <v>45</v>
      </c>
      <c r="I9" s="29"/>
      <c r="J9" s="29"/>
      <c r="K9" s="29"/>
      <c r="L9" s="29"/>
      <c r="M9" s="29"/>
      <c r="N9" s="29"/>
    </row>
    <row r="10" spans="1:15" ht="19.5" customHeight="1" x14ac:dyDescent="0.35">
      <c r="A10" s="99"/>
      <c r="B10" s="100"/>
      <c r="C10" s="304"/>
      <c r="D10" s="34" t="s">
        <v>128</v>
      </c>
      <c r="E10" s="34" t="s">
        <v>128</v>
      </c>
      <c r="F10" s="34" t="s">
        <v>128</v>
      </c>
      <c r="G10" s="98"/>
      <c r="H10" s="34" t="s">
        <v>128</v>
      </c>
      <c r="I10" s="29"/>
      <c r="J10" s="99"/>
      <c r="K10" s="99"/>
      <c r="L10" s="99"/>
      <c r="M10" s="99"/>
      <c r="N10" s="99"/>
    </row>
    <row r="11" spans="1:15" ht="19.5" customHeight="1" x14ac:dyDescent="0.35">
      <c r="A11" s="28"/>
      <c r="B11" s="35" t="s">
        <v>48</v>
      </c>
      <c r="C11" s="36"/>
      <c r="D11" s="37">
        <f>D20</f>
        <v>131400000</v>
      </c>
      <c r="E11" s="37">
        <f t="shared" ref="E11:F11" si="0">E20</f>
        <v>131400000</v>
      </c>
      <c r="F11" s="37">
        <f t="shared" si="0"/>
        <v>131400000</v>
      </c>
      <c r="G11" s="38"/>
      <c r="H11" s="37">
        <f>D11+E11+F11</f>
        <v>394200000</v>
      </c>
      <c r="I11" s="29"/>
      <c r="J11" s="28"/>
      <c r="K11" s="28"/>
      <c r="L11" s="28"/>
    </row>
    <row r="12" spans="1:15" ht="19.5" customHeight="1" thickBot="1" x14ac:dyDescent="0.4">
      <c r="A12" s="28"/>
      <c r="B12" s="39" t="s">
        <v>46</v>
      </c>
      <c r="C12" s="36"/>
      <c r="D12" s="37">
        <f>D49+D60</f>
        <v>278548748.20999998</v>
      </c>
      <c r="E12" s="37">
        <f t="shared" ref="E12:F12" si="1">E49+E60</f>
        <v>38176477.109999999</v>
      </c>
      <c r="F12" s="37">
        <f t="shared" si="1"/>
        <v>38176477.109999999</v>
      </c>
      <c r="G12" s="28"/>
      <c r="H12" s="37">
        <f>D12+E12+F12</f>
        <v>354901702.43000001</v>
      </c>
      <c r="I12" s="29"/>
      <c r="J12" s="28"/>
      <c r="K12" s="28"/>
      <c r="L12" s="28"/>
      <c r="M12" s="28"/>
      <c r="N12" s="28"/>
    </row>
    <row r="13" spans="1:15" ht="21.75" customHeight="1" thickTop="1" thickBot="1" x14ac:dyDescent="0.4">
      <c r="A13" s="28"/>
      <c r="B13" s="40" t="s">
        <v>47</v>
      </c>
      <c r="C13" s="41"/>
      <c r="D13" s="37">
        <f t="shared" ref="D13" si="2">D11-D12</f>
        <v>-147148748.20999998</v>
      </c>
      <c r="E13" s="37">
        <f>E11-E12</f>
        <v>93223522.890000001</v>
      </c>
      <c r="F13" s="37">
        <f t="shared" ref="F13" si="3">F11-F12</f>
        <v>93223522.890000001</v>
      </c>
      <c r="G13" s="30"/>
      <c r="H13" s="37">
        <f>D13+E13+F13</f>
        <v>39298297.570000023</v>
      </c>
      <c r="I13" s="29"/>
      <c r="J13" s="28"/>
      <c r="K13" s="28"/>
      <c r="L13" s="28"/>
    </row>
    <row r="14" spans="1:15" ht="19.5" customHeight="1" x14ac:dyDescent="0.35">
      <c r="A14" s="28"/>
      <c r="B14" s="28"/>
      <c r="C14" s="38"/>
      <c r="D14" s="28"/>
      <c r="E14" s="28"/>
      <c r="F14" s="28"/>
      <c r="G14" s="38"/>
      <c r="H14" s="28"/>
      <c r="I14" s="29"/>
      <c r="J14" s="28"/>
      <c r="K14" s="28"/>
      <c r="L14" s="28"/>
    </row>
    <row r="15" spans="1:15" ht="19.5" customHeight="1" x14ac:dyDescent="0.35">
      <c r="A15" s="42"/>
      <c r="B15" s="43"/>
      <c r="C15" s="44"/>
      <c r="D15" s="44"/>
      <c r="E15" s="44"/>
      <c r="F15" s="44"/>
      <c r="G15" s="44"/>
      <c r="H15" s="44"/>
      <c r="I15" s="29"/>
      <c r="J15" s="42"/>
      <c r="K15" s="42"/>
      <c r="L15" s="42"/>
      <c r="M15" s="42"/>
      <c r="N15" s="42"/>
      <c r="O15" s="45"/>
    </row>
    <row r="16" spans="1:15" ht="19.5" customHeight="1" x14ac:dyDescent="0.35">
      <c r="A16" s="29"/>
      <c r="B16" s="303" t="s">
        <v>48</v>
      </c>
      <c r="C16" s="303" t="s">
        <v>32</v>
      </c>
      <c r="D16" s="257" t="s">
        <v>196</v>
      </c>
      <c r="E16" s="257" t="s">
        <v>197</v>
      </c>
      <c r="F16" s="257" t="s">
        <v>198</v>
      </c>
      <c r="G16" s="30"/>
      <c r="H16" s="257" t="s">
        <v>45</v>
      </c>
      <c r="I16" s="29"/>
      <c r="J16" s="29"/>
      <c r="K16" s="29"/>
      <c r="L16" s="29"/>
      <c r="M16" s="29"/>
      <c r="N16" s="29"/>
    </row>
    <row r="17" spans="1:14" ht="19.5" customHeight="1" x14ac:dyDescent="0.35">
      <c r="A17" s="99"/>
      <c r="B17" s="304"/>
      <c r="C17" s="304"/>
      <c r="D17" s="47" t="s">
        <v>128</v>
      </c>
      <c r="E17" s="47" t="s">
        <v>128</v>
      </c>
      <c r="F17" s="47" t="s">
        <v>128</v>
      </c>
      <c r="G17" s="98"/>
      <c r="H17" s="47" t="s">
        <v>128</v>
      </c>
      <c r="I17" s="29"/>
      <c r="J17" s="99"/>
      <c r="K17" s="99"/>
      <c r="L17" s="99"/>
      <c r="M17" s="99"/>
      <c r="N17" s="99"/>
    </row>
    <row r="18" spans="1:14" ht="15.5" x14ac:dyDescent="0.35">
      <c r="A18" s="28"/>
      <c r="B18" s="18" t="str">
        <f>'INCOME STATEMENT'!B17</f>
        <v>Income from Bike Rental</v>
      </c>
      <c r="C18" s="48"/>
      <c r="D18" s="49">
        <f>'REVENUE GENERATION'!O4</f>
        <v>131400000</v>
      </c>
      <c r="E18" s="49">
        <f>D18</f>
        <v>131400000</v>
      </c>
      <c r="F18" s="49">
        <f>E18</f>
        <v>131400000</v>
      </c>
      <c r="G18" s="38"/>
      <c r="H18" s="49">
        <f>D18+E18+F18</f>
        <v>394200000</v>
      </c>
      <c r="I18" s="28"/>
      <c r="J18" s="28"/>
      <c r="K18" s="28"/>
      <c r="L18" s="28"/>
    </row>
    <row r="19" spans="1:14" ht="15.5" x14ac:dyDescent="0.35">
      <c r="A19" s="28"/>
      <c r="B19" s="18" t="str">
        <f>'INCOME STATEMENT'!B18</f>
        <v>Income from Bike Sales</v>
      </c>
      <c r="C19" s="48"/>
      <c r="D19" s="49">
        <f>'REVENUE GENERATION'!O5</f>
        <v>0</v>
      </c>
      <c r="E19" s="49">
        <f>D19</f>
        <v>0</v>
      </c>
      <c r="F19" s="49">
        <f>E19</f>
        <v>0</v>
      </c>
      <c r="G19" s="38"/>
      <c r="H19" s="49">
        <f>D19+E19+F19</f>
        <v>0</v>
      </c>
      <c r="I19" s="28"/>
      <c r="J19" s="28"/>
      <c r="K19" s="28"/>
      <c r="L19" s="28"/>
    </row>
    <row r="20" spans="1:14" ht="15.5" x14ac:dyDescent="0.35">
      <c r="A20" s="28"/>
      <c r="B20" s="50" t="s">
        <v>49</v>
      </c>
      <c r="C20" s="88"/>
      <c r="D20" s="87">
        <f>SUM(D18:D19)</f>
        <v>131400000</v>
      </c>
      <c r="E20" s="87">
        <f t="shared" ref="E20:F20" si="4">SUM(E18:E19)</f>
        <v>131400000</v>
      </c>
      <c r="F20" s="87">
        <f t="shared" si="4"/>
        <v>131400000</v>
      </c>
      <c r="G20" s="38"/>
      <c r="H20" s="87">
        <f>SUM(H18:H19)</f>
        <v>394200000</v>
      </c>
      <c r="I20" s="28"/>
      <c r="J20" s="28"/>
      <c r="K20" s="28"/>
      <c r="L20" s="28"/>
    </row>
    <row r="21" spans="1:14" ht="15.5" x14ac:dyDescent="0.35">
      <c r="A21" s="28"/>
      <c r="B21" s="28"/>
      <c r="C21" s="38"/>
      <c r="D21" s="28"/>
      <c r="E21" s="28"/>
      <c r="F21" s="28"/>
      <c r="G21" s="38"/>
      <c r="H21" s="28"/>
      <c r="I21" s="28"/>
      <c r="J21" s="28"/>
      <c r="K21" s="28"/>
      <c r="L21" s="28"/>
    </row>
    <row r="22" spans="1:14" ht="15.5" x14ac:dyDescent="0.35">
      <c r="A22" s="28"/>
      <c r="B22" s="303" t="s">
        <v>50</v>
      </c>
      <c r="C22" s="303" t="s">
        <v>32</v>
      </c>
      <c r="D22" s="255" t="s">
        <v>33</v>
      </c>
      <c r="E22" s="255" t="s">
        <v>34</v>
      </c>
      <c r="F22" s="255" t="s">
        <v>35</v>
      </c>
      <c r="G22" s="38"/>
      <c r="H22" s="255" t="s">
        <v>45</v>
      </c>
      <c r="I22" s="28"/>
      <c r="J22" s="28"/>
      <c r="K22" s="28"/>
      <c r="L22" s="28"/>
    </row>
    <row r="23" spans="1:14" ht="15.5" x14ac:dyDescent="0.35">
      <c r="A23" s="86"/>
      <c r="B23" s="304"/>
      <c r="C23" s="304"/>
      <c r="D23" s="34" t="s">
        <v>128</v>
      </c>
      <c r="E23" s="34" t="s">
        <v>128</v>
      </c>
      <c r="F23" s="34" t="s">
        <v>128</v>
      </c>
      <c r="G23" s="38"/>
      <c r="H23" s="34" t="s">
        <v>128</v>
      </c>
      <c r="I23" s="86"/>
      <c r="J23" s="86"/>
      <c r="K23" s="86"/>
      <c r="L23" s="86"/>
    </row>
    <row r="24" spans="1:14" ht="15.5" x14ac:dyDescent="0.35">
      <c r="A24" s="51"/>
      <c r="B24" s="52" t="s">
        <v>51</v>
      </c>
      <c r="C24" s="48"/>
      <c r="D24" s="91">
        <v>0</v>
      </c>
      <c r="E24" s="91">
        <v>0</v>
      </c>
      <c r="F24" s="91">
        <v>0</v>
      </c>
      <c r="G24" s="38"/>
      <c r="H24" s="49">
        <f>D24+E24+F24</f>
        <v>0</v>
      </c>
      <c r="I24" s="51"/>
      <c r="J24" s="51"/>
      <c r="K24" s="51"/>
      <c r="L24" s="51"/>
    </row>
    <row r="25" spans="1:14" ht="15.5" x14ac:dyDescent="0.35">
      <c r="A25" s="28"/>
      <c r="B25" s="52" t="s">
        <v>52</v>
      </c>
      <c r="C25" s="48"/>
      <c r="D25" s="91">
        <v>0</v>
      </c>
      <c r="E25" s="91">
        <v>0</v>
      </c>
      <c r="F25" s="91">
        <v>0</v>
      </c>
      <c r="G25" s="92"/>
      <c r="H25" s="49">
        <f>D25+E25+F25</f>
        <v>0</v>
      </c>
      <c r="I25" s="28"/>
      <c r="J25" s="28"/>
      <c r="K25" s="28"/>
      <c r="L25" s="28"/>
    </row>
    <row r="26" spans="1:14" ht="15.5" x14ac:dyDescent="0.35">
      <c r="A26" s="26"/>
      <c r="B26" s="52" t="s">
        <v>53</v>
      </c>
      <c r="C26" s="48"/>
      <c r="D26" s="91">
        <v>0</v>
      </c>
      <c r="E26" s="91">
        <v>0</v>
      </c>
      <c r="F26" s="91">
        <v>0</v>
      </c>
      <c r="G26" s="92"/>
      <c r="H26" s="49">
        <f>D26+E26+F26</f>
        <v>0</v>
      </c>
      <c r="I26" s="26"/>
      <c r="J26" s="26"/>
      <c r="K26" s="26"/>
      <c r="L26" s="26"/>
    </row>
    <row r="27" spans="1:14" ht="15.5" x14ac:dyDescent="0.35">
      <c r="A27" s="28"/>
      <c r="B27" s="50" t="s">
        <v>50</v>
      </c>
      <c r="C27" s="36"/>
      <c r="D27" s="90">
        <v>0</v>
      </c>
      <c r="E27" s="90">
        <v>0</v>
      </c>
      <c r="F27" s="90">
        <v>0</v>
      </c>
      <c r="G27" s="89"/>
      <c r="H27" s="90">
        <f>SUM(H24:H26)</f>
        <v>0</v>
      </c>
      <c r="I27" s="28"/>
      <c r="J27" s="28"/>
      <c r="K27" s="28"/>
      <c r="L27" s="28"/>
    </row>
    <row r="28" spans="1:14" ht="15.5" x14ac:dyDescent="0.35">
      <c r="A28" s="28"/>
      <c r="B28" s="28"/>
      <c r="C28" s="38"/>
      <c r="D28" s="28"/>
      <c r="E28" s="28"/>
      <c r="F28" s="28"/>
      <c r="G28" s="38"/>
      <c r="H28" s="28"/>
      <c r="I28" s="28"/>
      <c r="J28" s="28"/>
      <c r="K28" s="28"/>
      <c r="L28" s="28"/>
    </row>
    <row r="29" spans="1:14" ht="15.5" x14ac:dyDescent="0.35">
      <c r="A29" s="28"/>
      <c r="B29" s="35" t="s">
        <v>54</v>
      </c>
      <c r="C29" s="36"/>
      <c r="D29" s="37">
        <f t="shared" ref="D29:F29" si="5">D20-D27</f>
        <v>131400000</v>
      </c>
      <c r="E29" s="37">
        <f t="shared" si="5"/>
        <v>131400000</v>
      </c>
      <c r="F29" s="37">
        <f t="shared" si="5"/>
        <v>131400000</v>
      </c>
      <c r="G29" s="38"/>
      <c r="H29" s="37">
        <f>H20-H27</f>
        <v>394200000</v>
      </c>
      <c r="I29" s="28"/>
      <c r="J29" s="28"/>
      <c r="K29" s="28"/>
      <c r="L29" s="28"/>
    </row>
    <row r="30" spans="1:14" ht="15.5" x14ac:dyDescent="0.35">
      <c r="A30" s="28"/>
      <c r="B30" s="31"/>
      <c r="C30" s="38"/>
      <c r="D30" s="32"/>
      <c r="E30" s="32"/>
      <c r="F30" s="32"/>
      <c r="G30" s="38"/>
      <c r="H30" s="32"/>
      <c r="I30" s="28"/>
      <c r="J30" s="28"/>
      <c r="K30" s="28"/>
      <c r="L30" s="28"/>
    </row>
    <row r="31" spans="1:14" ht="15.5" x14ac:dyDescent="0.35">
      <c r="A31" s="28"/>
      <c r="B31" s="46" t="s">
        <v>55</v>
      </c>
      <c r="C31" s="53"/>
      <c r="D31" s="53"/>
      <c r="E31" s="53"/>
      <c r="F31" s="53"/>
      <c r="G31" s="38"/>
      <c r="H31" s="55"/>
      <c r="I31" s="28"/>
      <c r="J31" s="28"/>
      <c r="K31" s="28"/>
      <c r="L31" s="28"/>
    </row>
    <row r="32" spans="1:14" ht="15.5" x14ac:dyDescent="0.35">
      <c r="A32" s="28"/>
      <c r="B32" s="299" t="s">
        <v>56</v>
      </c>
      <c r="C32" s="301" t="s">
        <v>32</v>
      </c>
      <c r="D32" s="257" t="s">
        <v>196</v>
      </c>
      <c r="E32" s="257" t="s">
        <v>197</v>
      </c>
      <c r="F32" s="257" t="s">
        <v>198</v>
      </c>
      <c r="G32" s="30"/>
      <c r="H32" s="257" t="s">
        <v>45</v>
      </c>
      <c r="I32" s="28"/>
      <c r="J32" s="28"/>
      <c r="K32" s="28"/>
      <c r="L32" s="28"/>
    </row>
    <row r="33" spans="1:15" ht="15.5" x14ac:dyDescent="0.35">
      <c r="A33" s="86"/>
      <c r="B33" s="315"/>
      <c r="C33" s="302"/>
      <c r="D33" s="47" t="s">
        <v>128</v>
      </c>
      <c r="E33" s="47" t="s">
        <v>128</v>
      </c>
      <c r="F33" s="47" t="s">
        <v>128</v>
      </c>
      <c r="G33" s="98"/>
      <c r="H33" s="47" t="s">
        <v>128</v>
      </c>
      <c r="I33" s="86"/>
      <c r="J33" s="86"/>
      <c r="K33" s="86"/>
      <c r="L33" s="86"/>
    </row>
    <row r="34" spans="1:15" ht="19.5" customHeight="1" x14ac:dyDescent="0.35">
      <c r="A34" s="86"/>
      <c r="B34" s="273" t="str">
        <f>'INCOME STATEMENT'!B33</f>
        <v>Power and Energy</v>
      </c>
      <c r="C34" s="85"/>
      <c r="D34" s="49">
        <f>'INCOME STATEMENT'!Q33</f>
        <v>6000000</v>
      </c>
      <c r="E34" s="49">
        <v>0</v>
      </c>
      <c r="F34" s="49">
        <f>E34</f>
        <v>0</v>
      </c>
      <c r="G34" s="56"/>
      <c r="H34" s="49">
        <f>D34+E34+F34</f>
        <v>6000000</v>
      </c>
      <c r="I34" s="86"/>
      <c r="J34" s="86"/>
      <c r="K34" s="86"/>
      <c r="L34" s="86"/>
    </row>
    <row r="35" spans="1:15" ht="19.5" customHeight="1" x14ac:dyDescent="0.35">
      <c r="A35" s="28"/>
      <c r="B35" s="273" t="str">
        <f>'INCOME STATEMENT'!B34</f>
        <v>Office Equipments</v>
      </c>
      <c r="C35" s="85"/>
      <c r="D35" s="49">
        <f>'INCOME STATEMENT'!Q34</f>
        <v>166904771.09999999</v>
      </c>
      <c r="E35" s="49">
        <v>0</v>
      </c>
      <c r="F35" s="49">
        <v>0</v>
      </c>
      <c r="G35" s="56"/>
      <c r="H35" s="49">
        <f t="shared" ref="H35:H48" si="6">D35+E35+F35</f>
        <v>166904771.09999999</v>
      </c>
      <c r="I35" s="28"/>
      <c r="J35" s="28"/>
      <c r="K35" s="28"/>
      <c r="L35" s="28"/>
      <c r="M35" s="28"/>
      <c r="N35" s="28"/>
    </row>
    <row r="36" spans="1:15" ht="19.5" customHeight="1" x14ac:dyDescent="0.35">
      <c r="A36" s="3"/>
      <c r="B36" s="273" t="str">
        <f>'INCOME STATEMENT'!B35</f>
        <v xml:space="preserve">Salaries &amp; Wages </v>
      </c>
      <c r="C36" s="85"/>
      <c r="D36" s="49">
        <f>'INCOME STATEMENT'!Q35</f>
        <v>14760000</v>
      </c>
      <c r="E36" s="49">
        <f t="shared" ref="E36:E46" si="7">D36</f>
        <v>14760000</v>
      </c>
      <c r="F36" s="49">
        <f t="shared" ref="F36:F42" si="8">E36</f>
        <v>14760000</v>
      </c>
      <c r="G36" s="38"/>
      <c r="H36" s="49">
        <f t="shared" si="6"/>
        <v>44280000</v>
      </c>
      <c r="I36" s="3"/>
      <c r="J36" s="3"/>
      <c r="K36" s="3"/>
      <c r="L36" s="3"/>
      <c r="M36" s="3"/>
      <c r="N36" s="3"/>
      <c r="O36" s="3"/>
    </row>
    <row r="37" spans="1:15" ht="19.5" customHeight="1" x14ac:dyDescent="0.35">
      <c r="A37" s="28"/>
      <c r="B37" s="273" t="str">
        <f>'INCOME STATEMENT'!B36</f>
        <v>Staff Welfare, Medicals and Entertainment</v>
      </c>
      <c r="C37" s="85"/>
      <c r="D37" s="49">
        <f>'INCOME STATEMENT'!Q36</f>
        <v>0</v>
      </c>
      <c r="E37" s="49">
        <f t="shared" si="7"/>
        <v>0</v>
      </c>
      <c r="F37" s="49">
        <f t="shared" si="8"/>
        <v>0</v>
      </c>
      <c r="G37" s="56"/>
      <c r="H37" s="49">
        <f t="shared" si="6"/>
        <v>0</v>
      </c>
      <c r="I37" s="28"/>
      <c r="J37" s="28"/>
      <c r="K37" s="28"/>
      <c r="L37" s="28"/>
      <c r="M37" s="28"/>
      <c r="N37" s="28"/>
    </row>
    <row r="38" spans="1:15" ht="19.5" customHeight="1" x14ac:dyDescent="0.35">
      <c r="A38" s="28"/>
      <c r="B38" s="273" t="str">
        <f>'INCOME STATEMENT'!B37</f>
        <v>Training and Development</v>
      </c>
      <c r="C38" s="85"/>
      <c r="D38" s="49">
        <f>'INCOME STATEMENT'!Q37</f>
        <v>0</v>
      </c>
      <c r="E38" s="49">
        <f t="shared" si="7"/>
        <v>0</v>
      </c>
      <c r="F38" s="49">
        <f t="shared" si="8"/>
        <v>0</v>
      </c>
      <c r="G38" s="56"/>
      <c r="H38" s="49">
        <f t="shared" si="6"/>
        <v>0</v>
      </c>
      <c r="I38" s="28"/>
      <c r="J38" s="28"/>
      <c r="K38" s="28"/>
      <c r="L38" s="28"/>
      <c r="M38" s="28"/>
      <c r="N38" s="28"/>
    </row>
    <row r="39" spans="1:15" ht="19.5" customHeight="1" x14ac:dyDescent="0.35">
      <c r="A39" s="28"/>
      <c r="B39" s="273" t="str">
        <f>'INCOME STATEMENT'!B38</f>
        <v xml:space="preserve">Rent and Mortgage </v>
      </c>
      <c r="C39" s="85"/>
      <c r="D39" s="49">
        <f>'INCOME STATEMENT'!Q38</f>
        <v>1000000</v>
      </c>
      <c r="E39" s="49">
        <f t="shared" si="7"/>
        <v>1000000</v>
      </c>
      <c r="F39" s="49">
        <f t="shared" si="8"/>
        <v>1000000</v>
      </c>
      <c r="G39" s="28"/>
      <c r="H39" s="49">
        <f t="shared" si="6"/>
        <v>3000000</v>
      </c>
      <c r="I39" s="28"/>
      <c r="J39" s="28"/>
      <c r="K39" s="28"/>
      <c r="L39" s="28"/>
      <c r="M39" s="28"/>
      <c r="N39" s="28"/>
    </row>
    <row r="40" spans="1:15" ht="19.5" customHeight="1" x14ac:dyDescent="0.35">
      <c r="A40" s="28"/>
      <c r="B40" s="273" t="str">
        <f>'INCOME STATEMENT'!B39</f>
        <v>Office Supplies</v>
      </c>
      <c r="C40" s="85"/>
      <c r="D40" s="49">
        <f>'INCOME STATEMENT'!Q39</f>
        <v>0</v>
      </c>
      <c r="E40" s="49">
        <f t="shared" si="7"/>
        <v>0</v>
      </c>
      <c r="F40" s="49">
        <f t="shared" si="8"/>
        <v>0</v>
      </c>
      <c r="G40" s="28"/>
      <c r="H40" s="49">
        <f t="shared" si="6"/>
        <v>0</v>
      </c>
      <c r="I40" s="28"/>
      <c r="J40" s="28"/>
      <c r="K40" s="28"/>
      <c r="L40" s="28"/>
      <c r="M40" s="28"/>
      <c r="N40" s="28"/>
    </row>
    <row r="41" spans="1:15" ht="19.5" customHeight="1" x14ac:dyDescent="0.35">
      <c r="A41" s="28"/>
      <c r="B41" s="273" t="str">
        <f>'INCOME STATEMENT'!B40</f>
        <v>Utilities</v>
      </c>
      <c r="C41" s="85"/>
      <c r="D41" s="49">
        <f>'INCOME STATEMENT'!Q40</f>
        <v>0</v>
      </c>
      <c r="E41" s="49">
        <f t="shared" si="7"/>
        <v>0</v>
      </c>
      <c r="F41" s="49">
        <f t="shared" si="8"/>
        <v>0</v>
      </c>
      <c r="G41" s="28"/>
      <c r="H41" s="49">
        <f t="shared" si="6"/>
        <v>0</v>
      </c>
      <c r="I41" s="28"/>
      <c r="J41" s="28"/>
      <c r="K41" s="28"/>
      <c r="L41" s="28"/>
      <c r="M41" s="28"/>
      <c r="N41" s="28"/>
    </row>
    <row r="42" spans="1:15" ht="19.5" customHeight="1" x14ac:dyDescent="0.35">
      <c r="A42" s="28"/>
      <c r="B42" s="273" t="str">
        <f>'INCOME STATEMENT'!B41</f>
        <v>Advertising, Marketing, and Promotions</v>
      </c>
      <c r="C42" s="85"/>
      <c r="D42" s="49">
        <f>'INCOME STATEMENT'!Q41</f>
        <v>1000000.0000000001</v>
      </c>
      <c r="E42" s="49">
        <f t="shared" si="7"/>
        <v>1000000.0000000001</v>
      </c>
      <c r="F42" s="49">
        <f t="shared" si="8"/>
        <v>1000000.0000000001</v>
      </c>
      <c r="G42" s="28"/>
      <c r="H42" s="49">
        <f t="shared" si="6"/>
        <v>3000000.0000000005</v>
      </c>
      <c r="I42" s="28"/>
      <c r="J42" s="28"/>
      <c r="K42" s="28"/>
      <c r="L42" s="28"/>
      <c r="M42" s="28"/>
      <c r="N42" s="28"/>
    </row>
    <row r="43" spans="1:15" ht="19.5" customHeight="1" x14ac:dyDescent="0.35">
      <c r="A43" s="28"/>
      <c r="B43" s="273" t="str">
        <f>'INCOME STATEMENT'!B42</f>
        <v>Purchase of Machinery</v>
      </c>
      <c r="C43" s="85"/>
      <c r="D43" s="49">
        <f>'INCOME STATEMENT'!Q42</f>
        <v>68647500</v>
      </c>
      <c r="E43" s="49">
        <v>0</v>
      </c>
      <c r="F43" s="49">
        <v>0</v>
      </c>
      <c r="G43" s="28"/>
      <c r="H43" s="49">
        <f t="shared" si="6"/>
        <v>68647500</v>
      </c>
      <c r="I43" s="28"/>
      <c r="J43" s="28"/>
      <c r="K43" s="28"/>
      <c r="L43" s="28"/>
      <c r="M43" s="28"/>
      <c r="N43" s="28"/>
    </row>
    <row r="44" spans="1:15" ht="19.5" customHeight="1" x14ac:dyDescent="0.35">
      <c r="A44" s="28"/>
      <c r="B44" s="273" t="str">
        <f>'INCOME STATEMENT'!B43</f>
        <v>Repairs and Maintainance</v>
      </c>
      <c r="C44" s="85"/>
      <c r="D44" s="49">
        <f>'INCOME STATEMENT'!Q43</f>
        <v>3600000</v>
      </c>
      <c r="E44" s="49">
        <f t="shared" si="7"/>
        <v>3600000</v>
      </c>
      <c r="F44" s="49">
        <f t="shared" ref="F44:F48" si="9">E44</f>
        <v>3600000</v>
      </c>
      <c r="G44" s="28"/>
      <c r="H44" s="49">
        <f t="shared" si="6"/>
        <v>10800000</v>
      </c>
      <c r="I44" s="28"/>
      <c r="J44" s="28"/>
      <c r="K44" s="28"/>
      <c r="L44" s="28"/>
      <c r="M44" s="28"/>
      <c r="N44" s="28"/>
    </row>
    <row r="45" spans="1:15" ht="19.5" customHeight="1" x14ac:dyDescent="0.35">
      <c r="A45" s="86"/>
      <c r="B45" s="273" t="str">
        <f>'INCOME STATEMENT'!B44</f>
        <v>Bike Assembly</v>
      </c>
      <c r="C45" s="85"/>
      <c r="D45" s="49">
        <f>'INCOME STATEMENT'!Q44</f>
        <v>420000</v>
      </c>
      <c r="E45" s="49">
        <f t="shared" si="7"/>
        <v>420000</v>
      </c>
      <c r="F45" s="49">
        <f t="shared" si="9"/>
        <v>420000</v>
      </c>
      <c r="G45" s="28"/>
      <c r="H45" s="49">
        <f t="shared" si="6"/>
        <v>1260000</v>
      </c>
      <c r="I45" s="86"/>
      <c r="J45" s="86"/>
      <c r="K45" s="86"/>
      <c r="L45" s="86"/>
      <c r="M45" s="86"/>
      <c r="N45" s="86"/>
    </row>
    <row r="46" spans="1:15" ht="19.5" customHeight="1" x14ac:dyDescent="0.35">
      <c r="A46" s="28"/>
      <c r="B46" s="273" t="str">
        <f>'INCOME STATEMENT'!B45</f>
        <v>Internet and communication</v>
      </c>
      <c r="C46" s="85"/>
      <c r="D46" s="49">
        <f>'INCOME STATEMENT'!Q45</f>
        <v>456000</v>
      </c>
      <c r="E46" s="49">
        <f t="shared" si="7"/>
        <v>456000</v>
      </c>
      <c r="F46" s="49">
        <f t="shared" si="9"/>
        <v>456000</v>
      </c>
      <c r="G46" s="28"/>
      <c r="H46" s="49">
        <f t="shared" si="6"/>
        <v>1368000</v>
      </c>
      <c r="I46" s="28"/>
      <c r="J46" s="28"/>
      <c r="K46" s="28"/>
      <c r="L46" s="28"/>
      <c r="M46" s="28"/>
      <c r="N46" s="28"/>
    </row>
    <row r="47" spans="1:15" ht="15.5" x14ac:dyDescent="0.35">
      <c r="A47" s="86"/>
      <c r="B47" s="273" t="str">
        <f>'INCOME STATEMENT'!B46</f>
        <v>Shipping and Clearance</v>
      </c>
      <c r="C47" s="85"/>
      <c r="D47" s="49">
        <f>'INCOME STATEMENT'!Q46</f>
        <v>2600000</v>
      </c>
      <c r="E47" s="49">
        <v>0</v>
      </c>
      <c r="F47" s="49">
        <f t="shared" si="9"/>
        <v>0</v>
      </c>
      <c r="G47" s="28"/>
      <c r="H47" s="49">
        <f t="shared" si="6"/>
        <v>2600000</v>
      </c>
      <c r="I47" s="86"/>
      <c r="J47" s="86"/>
      <c r="K47" s="86"/>
      <c r="L47" s="86"/>
      <c r="M47" s="86"/>
      <c r="N47" s="86"/>
    </row>
    <row r="48" spans="1:15" ht="15.5" x14ac:dyDescent="0.35">
      <c r="A48" s="28"/>
      <c r="B48" s="273" t="str">
        <f>'INCOME STATEMENT'!B47</f>
        <v>Others</v>
      </c>
      <c r="C48" s="85"/>
      <c r="D48" s="49">
        <f>'INCOME STATEMENT'!Q47</f>
        <v>250000</v>
      </c>
      <c r="E48" s="49">
        <f>D48</f>
        <v>250000</v>
      </c>
      <c r="F48" s="49">
        <f t="shared" si="9"/>
        <v>250000</v>
      </c>
      <c r="G48" s="28"/>
      <c r="H48" s="49">
        <f t="shared" si="6"/>
        <v>750000</v>
      </c>
      <c r="I48" s="28"/>
      <c r="J48" s="28"/>
      <c r="K48" s="28"/>
      <c r="L48" s="28"/>
      <c r="M48" s="28"/>
      <c r="N48" s="28"/>
    </row>
    <row r="49" spans="1:14" ht="15.5" x14ac:dyDescent="0.35">
      <c r="A49" s="28"/>
      <c r="B49" s="272" t="s">
        <v>60</v>
      </c>
      <c r="C49" s="36"/>
      <c r="D49" s="87">
        <f>SUM(D35:D48)</f>
        <v>259638271.09999999</v>
      </c>
      <c r="E49" s="87">
        <f>SUM(E35:E48)</f>
        <v>21486000</v>
      </c>
      <c r="F49" s="87">
        <f>SUM(F35:F48)</f>
        <v>21486000</v>
      </c>
      <c r="G49" s="28"/>
      <c r="H49" s="87">
        <f>SUM(H34:H48)</f>
        <v>308610271.10000002</v>
      </c>
      <c r="I49" s="28"/>
      <c r="J49" s="28"/>
      <c r="K49" s="28"/>
      <c r="L49" s="28"/>
      <c r="M49" s="28"/>
      <c r="N49" s="28"/>
    </row>
    <row r="50" spans="1:14" ht="15.5" x14ac:dyDescent="0.35">
      <c r="A50" s="28"/>
      <c r="B50" s="22"/>
      <c r="C50" s="28"/>
      <c r="D50" s="22"/>
      <c r="E50" s="22"/>
      <c r="F50" s="22"/>
      <c r="G50" s="28"/>
      <c r="H50" s="22"/>
      <c r="I50" s="28"/>
      <c r="J50" s="28"/>
      <c r="K50" s="28"/>
      <c r="L50" s="28"/>
      <c r="M50" s="28"/>
      <c r="N50" s="28"/>
    </row>
    <row r="51" spans="1:14" ht="15.5" x14ac:dyDescent="0.35">
      <c r="A51" s="28"/>
      <c r="B51" s="22"/>
      <c r="C51" s="28"/>
      <c r="D51" s="22"/>
      <c r="E51" s="22"/>
      <c r="F51" s="22"/>
      <c r="G51" s="28"/>
      <c r="H51" s="22"/>
      <c r="I51" s="28"/>
      <c r="J51" s="28"/>
      <c r="K51" s="28"/>
      <c r="L51" s="28"/>
      <c r="M51" s="28"/>
      <c r="N51" s="28"/>
    </row>
    <row r="52" spans="1:14" ht="15.5" x14ac:dyDescent="0.35">
      <c r="A52" s="28"/>
      <c r="B52" s="312" t="s">
        <v>61</v>
      </c>
      <c r="C52" s="312" t="s">
        <v>32</v>
      </c>
      <c r="D52" s="257" t="s">
        <v>196</v>
      </c>
      <c r="E52" s="257" t="s">
        <v>197</v>
      </c>
      <c r="F52" s="257" t="s">
        <v>198</v>
      </c>
      <c r="G52" s="28"/>
      <c r="H52" s="257" t="s">
        <v>45</v>
      </c>
      <c r="I52" s="28"/>
      <c r="J52" s="28"/>
      <c r="K52" s="28"/>
      <c r="L52" s="28"/>
      <c r="M52" s="28"/>
      <c r="N52" s="28"/>
    </row>
    <row r="53" spans="1:14" ht="15.5" x14ac:dyDescent="0.35">
      <c r="A53" s="86"/>
      <c r="B53" s="313"/>
      <c r="C53" s="313"/>
      <c r="D53" s="47" t="s">
        <v>128</v>
      </c>
      <c r="E53" s="47" t="s">
        <v>128</v>
      </c>
      <c r="F53" s="47" t="s">
        <v>128</v>
      </c>
      <c r="G53" s="28"/>
      <c r="H53" s="47" t="s">
        <v>126</v>
      </c>
      <c r="I53" s="86"/>
      <c r="J53" s="86"/>
      <c r="K53" s="86"/>
      <c r="L53" s="86"/>
      <c r="M53" s="86"/>
      <c r="N53" s="86"/>
    </row>
    <row r="54" spans="1:14" ht="15.5" x14ac:dyDescent="0.35">
      <c r="A54" s="28"/>
      <c r="B54" s="18" t="s">
        <v>202</v>
      </c>
      <c r="C54" s="48"/>
      <c r="D54" s="49">
        <f>'INCOME STATEMENT'!Q53</f>
        <v>16690477.109999999</v>
      </c>
      <c r="E54" s="49">
        <f t="shared" ref="E54:F59" si="10">D54</f>
        <v>16690477.109999999</v>
      </c>
      <c r="F54" s="49">
        <f t="shared" si="10"/>
        <v>16690477.109999999</v>
      </c>
      <c r="G54" s="28"/>
      <c r="H54" s="49">
        <f>D54+E54+F54</f>
        <v>50071431.329999998</v>
      </c>
      <c r="I54" s="28"/>
      <c r="J54" s="28"/>
      <c r="K54" s="28"/>
      <c r="L54" s="28"/>
      <c r="M54" s="28"/>
      <c r="N54" s="28"/>
    </row>
    <row r="55" spans="1:14" ht="15.5" x14ac:dyDescent="0.35">
      <c r="A55" s="28"/>
      <c r="B55" s="18" t="s">
        <v>63</v>
      </c>
      <c r="C55" s="48"/>
      <c r="D55" s="49">
        <f>'INCOME STATEMENT'!Q54</f>
        <v>2220000</v>
      </c>
      <c r="E55" s="49">
        <v>0</v>
      </c>
      <c r="F55" s="49">
        <f t="shared" si="10"/>
        <v>0</v>
      </c>
      <c r="G55" s="28"/>
      <c r="H55" s="49">
        <f t="shared" ref="H55:H59" si="11">D55+E55+F55</f>
        <v>2220000</v>
      </c>
      <c r="I55" s="28"/>
      <c r="J55" s="28"/>
      <c r="K55" s="28"/>
      <c r="L55" s="28"/>
      <c r="M55" s="28"/>
      <c r="N55" s="28"/>
    </row>
    <row r="56" spans="1:14" ht="15.5" x14ac:dyDescent="0.35">
      <c r="A56" s="28"/>
      <c r="B56" s="18" t="s">
        <v>62</v>
      </c>
      <c r="C56" s="48"/>
      <c r="D56" s="49">
        <f>'INCOME STATEMENT'!Q55</f>
        <v>0</v>
      </c>
      <c r="E56" s="49">
        <f t="shared" si="10"/>
        <v>0</v>
      </c>
      <c r="F56" s="49">
        <f t="shared" si="10"/>
        <v>0</v>
      </c>
      <c r="G56" s="28"/>
      <c r="H56" s="49">
        <f t="shared" si="11"/>
        <v>0</v>
      </c>
      <c r="I56" s="28"/>
      <c r="J56" s="28"/>
      <c r="K56" s="28"/>
      <c r="L56" s="28"/>
      <c r="M56" s="28"/>
      <c r="N56" s="28"/>
    </row>
    <row r="57" spans="1:14" ht="15.5" x14ac:dyDescent="0.35">
      <c r="A57" s="28"/>
      <c r="B57" s="18" t="s">
        <v>27</v>
      </c>
      <c r="C57" s="48"/>
      <c r="D57" s="49">
        <f>'INCOME STATEMENT'!Q56</f>
        <v>0</v>
      </c>
      <c r="E57" s="49">
        <f t="shared" si="10"/>
        <v>0</v>
      </c>
      <c r="F57" s="49">
        <f t="shared" si="10"/>
        <v>0</v>
      </c>
      <c r="G57" s="28"/>
      <c r="H57" s="49">
        <f t="shared" si="11"/>
        <v>0</v>
      </c>
      <c r="I57" s="28"/>
      <c r="J57" s="28"/>
      <c r="K57" s="28"/>
      <c r="L57" s="28"/>
      <c r="M57" s="28"/>
      <c r="N57" s="28"/>
    </row>
    <row r="58" spans="1:14" ht="15.5" x14ac:dyDescent="0.35">
      <c r="A58" s="28"/>
      <c r="B58" s="18" t="s">
        <v>26</v>
      </c>
      <c r="C58" s="48"/>
      <c r="D58" s="49">
        <f>'INCOME STATEMENT'!Q57</f>
        <v>0</v>
      </c>
      <c r="E58" s="49">
        <f t="shared" si="10"/>
        <v>0</v>
      </c>
      <c r="F58" s="49">
        <f t="shared" si="10"/>
        <v>0</v>
      </c>
      <c r="G58" s="28"/>
      <c r="H58" s="49">
        <f t="shared" si="11"/>
        <v>0</v>
      </c>
      <c r="I58" s="28"/>
      <c r="J58" s="28"/>
      <c r="K58" s="28"/>
      <c r="L58" s="28"/>
      <c r="M58" s="28"/>
      <c r="N58" s="28"/>
    </row>
    <row r="59" spans="1:14" ht="15.5" x14ac:dyDescent="0.35">
      <c r="A59" s="28"/>
      <c r="B59" s="18" t="s">
        <v>59</v>
      </c>
      <c r="C59" s="48"/>
      <c r="D59" s="49">
        <f>'INCOME STATEMENT'!Q58</f>
        <v>0</v>
      </c>
      <c r="E59" s="49">
        <f t="shared" si="10"/>
        <v>0</v>
      </c>
      <c r="F59" s="49">
        <f t="shared" si="10"/>
        <v>0</v>
      </c>
      <c r="G59" s="28"/>
      <c r="H59" s="49">
        <f t="shared" si="11"/>
        <v>0</v>
      </c>
      <c r="I59" s="28"/>
      <c r="J59" s="28"/>
      <c r="K59" s="28"/>
      <c r="L59" s="28"/>
      <c r="M59" s="28"/>
      <c r="N59" s="28"/>
    </row>
    <row r="60" spans="1:14" ht="15.5" x14ac:dyDescent="0.35">
      <c r="A60" s="28"/>
      <c r="B60" s="50" t="s">
        <v>64</v>
      </c>
      <c r="C60" s="36"/>
      <c r="D60" s="87">
        <f>SUM(D54:D59)</f>
        <v>18910477.109999999</v>
      </c>
      <c r="E60" s="87">
        <f t="shared" ref="E60" si="12">SUM(E54:E59)</f>
        <v>16690477.109999999</v>
      </c>
      <c r="F60" s="87">
        <f t="shared" ref="F60" si="13">SUM(F54:F59)</f>
        <v>16690477.109999999</v>
      </c>
      <c r="G60" s="28"/>
      <c r="H60" s="87">
        <f>SUM(H54:H59)</f>
        <v>52291431.329999998</v>
      </c>
      <c r="I60" s="28"/>
      <c r="J60" s="28"/>
      <c r="K60" s="28"/>
      <c r="L60" s="28"/>
      <c r="M60" s="28"/>
      <c r="N60" s="28"/>
    </row>
    <row r="61" spans="1:14" ht="15.5" x14ac:dyDescent="0.35">
      <c r="A61" s="28"/>
      <c r="B61" s="22"/>
      <c r="C61" s="28"/>
      <c r="D61" s="22"/>
      <c r="E61" s="22"/>
      <c r="F61" s="22"/>
      <c r="G61" s="28"/>
      <c r="H61" s="22"/>
      <c r="I61" s="28"/>
      <c r="J61" s="28"/>
      <c r="K61" s="28"/>
      <c r="L61" s="28"/>
      <c r="M61" s="28"/>
      <c r="N61" s="28"/>
    </row>
    <row r="62" spans="1:14" ht="15.5" x14ac:dyDescent="0.35">
      <c r="A62" s="28"/>
      <c r="B62" s="35" t="s">
        <v>65</v>
      </c>
      <c r="C62" s="36"/>
      <c r="D62" s="37">
        <f>SUM(D29-D49-D60)</f>
        <v>-147148748.20999998</v>
      </c>
      <c r="E62" s="37">
        <f>SUM(E29-E49-E60)</f>
        <v>93223522.890000001</v>
      </c>
      <c r="F62" s="37">
        <f>SUM(F29-F49-F60)</f>
        <v>93223522.890000001</v>
      </c>
      <c r="G62" s="28"/>
      <c r="H62" s="231">
        <f>E62+F62+D62</f>
        <v>39298297.570000023</v>
      </c>
      <c r="I62" s="28"/>
      <c r="J62" s="28"/>
      <c r="K62" s="28"/>
      <c r="L62" s="28"/>
      <c r="M62" s="28"/>
      <c r="N62" s="28"/>
    </row>
    <row r="63" spans="1:14" ht="15.5" x14ac:dyDescent="0.35">
      <c r="A63" s="28"/>
      <c r="B63" s="22"/>
      <c r="C63" s="28"/>
      <c r="D63" s="22"/>
      <c r="E63" s="22"/>
      <c r="F63" s="22"/>
      <c r="G63" s="28"/>
      <c r="H63" s="22"/>
      <c r="I63" s="28"/>
      <c r="J63" s="28"/>
      <c r="K63" s="28"/>
      <c r="L63" s="28"/>
      <c r="M63" s="28"/>
      <c r="N63" s="28"/>
    </row>
    <row r="64" spans="1:14" ht="15.5" x14ac:dyDescent="0.35">
      <c r="A64" s="28"/>
      <c r="B64" s="312" t="s">
        <v>66</v>
      </c>
      <c r="C64" s="312" t="s">
        <v>32</v>
      </c>
      <c r="D64" s="257" t="s">
        <v>196</v>
      </c>
      <c r="E64" s="257" t="s">
        <v>197</v>
      </c>
      <c r="F64" s="257" t="s">
        <v>198</v>
      </c>
      <c r="G64" s="28"/>
      <c r="H64" s="257" t="s">
        <v>45</v>
      </c>
      <c r="I64" s="28"/>
      <c r="J64" s="28"/>
      <c r="K64" s="28"/>
      <c r="L64" s="28"/>
      <c r="M64" s="28"/>
      <c r="N64" s="28"/>
    </row>
    <row r="65" spans="1:14" ht="15.5" x14ac:dyDescent="0.35">
      <c r="A65" s="86"/>
      <c r="B65" s="313"/>
      <c r="C65" s="313"/>
      <c r="D65" s="47" t="s">
        <v>128</v>
      </c>
      <c r="E65" s="47" t="s">
        <v>128</v>
      </c>
      <c r="F65" s="47" t="s">
        <v>128</v>
      </c>
      <c r="G65" s="28"/>
      <c r="H65" s="47" t="s">
        <v>128</v>
      </c>
      <c r="I65" s="86"/>
      <c r="J65" s="86"/>
      <c r="K65" s="86"/>
      <c r="L65" s="86"/>
      <c r="M65" s="86"/>
      <c r="N65" s="86"/>
    </row>
    <row r="66" spans="1:14" ht="15.5" x14ac:dyDescent="0.35">
      <c r="A66" s="28"/>
      <c r="B66" s="18" t="s">
        <v>67</v>
      </c>
      <c r="C66" s="48"/>
      <c r="D66" s="49">
        <v>0</v>
      </c>
      <c r="E66" s="49">
        <v>0</v>
      </c>
      <c r="F66" s="49">
        <v>0</v>
      </c>
      <c r="G66" s="28"/>
      <c r="H66" s="49">
        <f>D66+E66+F66</f>
        <v>0</v>
      </c>
      <c r="I66" s="28"/>
      <c r="J66" s="28"/>
      <c r="K66" s="28"/>
      <c r="L66" s="28"/>
      <c r="M66" s="28"/>
      <c r="N66" s="28"/>
    </row>
    <row r="67" spans="1:14" ht="15.5" x14ac:dyDescent="0.35">
      <c r="A67" s="28"/>
      <c r="B67" s="18" t="s">
        <v>68</v>
      </c>
      <c r="C67" s="48"/>
      <c r="D67" s="49">
        <v>0</v>
      </c>
      <c r="E67" s="49">
        <v>0</v>
      </c>
      <c r="F67" s="49">
        <v>0</v>
      </c>
      <c r="G67" s="28"/>
      <c r="H67" s="49">
        <f t="shared" ref="H67:H68" si="14">D67+E67+F67</f>
        <v>0</v>
      </c>
      <c r="I67" s="28"/>
      <c r="J67" s="28"/>
      <c r="K67" s="28"/>
      <c r="L67" s="28"/>
      <c r="M67" s="28"/>
      <c r="N67" s="28"/>
    </row>
    <row r="68" spans="1:14" ht="15.5" x14ac:dyDescent="0.35">
      <c r="A68" s="28"/>
      <c r="B68" s="18" t="s">
        <v>69</v>
      </c>
      <c r="C68" s="48"/>
      <c r="D68" s="49">
        <v>0</v>
      </c>
      <c r="E68" s="49">
        <v>0</v>
      </c>
      <c r="F68" s="49">
        <v>0</v>
      </c>
      <c r="G68" s="28"/>
      <c r="H68" s="49">
        <f t="shared" si="14"/>
        <v>0</v>
      </c>
      <c r="I68" s="28"/>
      <c r="J68" s="28"/>
      <c r="K68" s="28"/>
      <c r="L68" s="28"/>
      <c r="M68" s="28"/>
      <c r="N68" s="28"/>
    </row>
    <row r="69" spans="1:14" ht="15.5" x14ac:dyDescent="0.35">
      <c r="A69" s="28"/>
      <c r="B69" s="57" t="s">
        <v>70</v>
      </c>
      <c r="C69" s="48"/>
      <c r="D69" s="87">
        <f>SUM(D66:D68)</f>
        <v>0</v>
      </c>
      <c r="E69" s="87">
        <f t="shared" ref="E69" si="15">SUM(E66:E68)</f>
        <v>0</v>
      </c>
      <c r="F69" s="87">
        <f t="shared" ref="F69" si="16">SUM(F66:F68)</f>
        <v>0</v>
      </c>
      <c r="G69" s="28"/>
      <c r="H69" s="87">
        <f>SUM(H66:H68)</f>
        <v>0</v>
      </c>
      <c r="I69" s="28"/>
      <c r="J69" s="28"/>
      <c r="K69" s="28"/>
      <c r="L69" s="28"/>
      <c r="M69" s="28"/>
      <c r="N69" s="28"/>
    </row>
    <row r="70" spans="1:14" ht="15.5" x14ac:dyDescent="0.35">
      <c r="A70" s="28"/>
      <c r="B70" s="22"/>
      <c r="C70" s="28"/>
      <c r="D70" s="22"/>
      <c r="E70" s="22"/>
      <c r="F70" s="22"/>
      <c r="G70" s="28"/>
      <c r="H70" s="22"/>
      <c r="I70" s="28"/>
      <c r="J70" s="28"/>
      <c r="K70" s="28"/>
      <c r="L70" s="28"/>
      <c r="M70" s="28"/>
      <c r="N70" s="28"/>
    </row>
    <row r="71" spans="1:14" ht="15.5" x14ac:dyDescent="0.35">
      <c r="A71" s="28"/>
      <c r="B71" s="35" t="s">
        <v>71</v>
      </c>
      <c r="C71" s="36"/>
      <c r="D71" s="37">
        <f>D62-D69</f>
        <v>-147148748.20999998</v>
      </c>
      <c r="E71" s="37">
        <f t="shared" ref="E71" si="17">E62-E69</f>
        <v>93223522.890000001</v>
      </c>
      <c r="F71" s="37">
        <f t="shared" ref="F71" si="18">F62-F69</f>
        <v>93223522.890000001</v>
      </c>
      <c r="G71" s="28"/>
      <c r="H71" s="37">
        <f>H62-H69</f>
        <v>39298297.570000023</v>
      </c>
      <c r="I71" s="28"/>
      <c r="J71" s="28"/>
      <c r="K71" s="28"/>
      <c r="L71" s="28"/>
      <c r="M71" s="28"/>
      <c r="N71" s="28"/>
    </row>
    <row r="72" spans="1:14" ht="15.5" x14ac:dyDescent="0.35">
      <c r="A72" s="28"/>
      <c r="B72" s="22"/>
      <c r="C72" s="28"/>
      <c r="D72" s="22"/>
      <c r="E72" s="22"/>
      <c r="F72" s="22"/>
      <c r="G72" s="28"/>
      <c r="H72" s="22"/>
      <c r="I72" s="28"/>
      <c r="J72" s="28"/>
      <c r="K72" s="28"/>
      <c r="L72" s="28"/>
      <c r="M72" s="28"/>
      <c r="N72" s="28"/>
    </row>
    <row r="73" spans="1:14" ht="15.5" x14ac:dyDescent="0.35">
      <c r="A73" s="28"/>
      <c r="B73" s="35" t="s">
        <v>72</v>
      </c>
      <c r="C73" s="36"/>
      <c r="D73" s="37">
        <f t="shared" ref="D73" si="19">D89</f>
        <v>0</v>
      </c>
      <c r="E73" s="37">
        <v>0</v>
      </c>
      <c r="F73" s="37">
        <f>F71*0.3</f>
        <v>27967056.866999999</v>
      </c>
      <c r="G73" s="28"/>
      <c r="H73" s="37">
        <f>E73+F73</f>
        <v>27967056.866999999</v>
      </c>
      <c r="I73" s="28"/>
      <c r="J73" s="28"/>
      <c r="K73" s="28"/>
      <c r="L73" s="28"/>
      <c r="M73" s="28"/>
      <c r="N73" s="28"/>
    </row>
    <row r="74" spans="1:14" ht="15.5" x14ac:dyDescent="0.35">
      <c r="A74" s="28"/>
      <c r="B74" s="22"/>
      <c r="C74" s="28"/>
      <c r="D74" s="22"/>
      <c r="E74" s="22"/>
      <c r="F74" s="22"/>
      <c r="G74" s="28"/>
      <c r="H74" s="22"/>
      <c r="I74" s="28"/>
      <c r="J74" s="28"/>
      <c r="K74" s="28"/>
      <c r="L74" s="28"/>
      <c r="M74" s="28"/>
      <c r="N74" s="28"/>
    </row>
    <row r="75" spans="1:14" ht="15.5" x14ac:dyDescent="0.35">
      <c r="A75" s="28"/>
      <c r="B75" s="35" t="s">
        <v>73</v>
      </c>
      <c r="C75" s="36"/>
      <c r="D75" s="37">
        <f t="shared" ref="D75:F75" si="20">D71-D73</f>
        <v>-147148748.20999998</v>
      </c>
      <c r="E75" s="37">
        <f t="shared" si="20"/>
        <v>93223522.890000001</v>
      </c>
      <c r="F75" s="37">
        <f t="shared" si="20"/>
        <v>65256466.023000002</v>
      </c>
      <c r="G75" s="28"/>
      <c r="H75" s="37">
        <f>H71-H73</f>
        <v>11331240.703000024</v>
      </c>
      <c r="I75" s="28"/>
      <c r="J75" s="28"/>
      <c r="K75" s="28"/>
      <c r="L75" s="28"/>
      <c r="M75" s="28"/>
      <c r="N75" s="28"/>
    </row>
    <row r="76" spans="1:14" ht="16.5" customHeight="1" x14ac:dyDescent="0.35">
      <c r="A76" s="28"/>
      <c r="B76" s="22"/>
      <c r="C76" s="28"/>
      <c r="D76" s="22"/>
      <c r="E76" s="22"/>
      <c r="F76" s="22"/>
      <c r="G76" s="28"/>
      <c r="H76" s="22"/>
      <c r="I76" s="28"/>
      <c r="J76" s="28"/>
      <c r="K76" s="28"/>
      <c r="L76" s="28"/>
      <c r="M76" s="28"/>
      <c r="N76" s="28"/>
    </row>
    <row r="77" spans="1:14" ht="19.5" customHeight="1" x14ac:dyDescent="0.35">
      <c r="A77" s="28"/>
      <c r="B77" s="35" t="s">
        <v>74</v>
      </c>
      <c r="C77" s="36"/>
      <c r="D77" s="37"/>
      <c r="E77" s="37"/>
      <c r="F77" s="37"/>
      <c r="G77" s="28"/>
      <c r="H77" s="37"/>
      <c r="I77" s="28"/>
      <c r="J77" s="28"/>
      <c r="K77" s="28"/>
      <c r="L77" s="28"/>
      <c r="M77" s="28"/>
      <c r="N77" s="28"/>
    </row>
    <row r="78" spans="1:14" ht="19.5" customHeight="1" x14ac:dyDescent="0.35">
      <c r="A78" s="28"/>
      <c r="B78" s="22"/>
      <c r="C78" s="28"/>
      <c r="D78" s="22"/>
      <c r="E78" s="22"/>
      <c r="F78" s="22"/>
      <c r="G78" s="28"/>
      <c r="H78" s="22"/>
      <c r="I78" s="28"/>
      <c r="J78" s="28"/>
      <c r="K78" s="28"/>
      <c r="L78" s="28"/>
      <c r="M78" s="28"/>
      <c r="N78" s="28"/>
    </row>
    <row r="79" spans="1:14" ht="19.5" customHeight="1" x14ac:dyDescent="0.35">
      <c r="A79" s="28"/>
      <c r="B79" s="35" t="s">
        <v>75</v>
      </c>
      <c r="C79" s="36"/>
      <c r="D79" s="37">
        <f>D95</f>
        <v>0</v>
      </c>
      <c r="E79" s="37">
        <f t="shared" ref="E79:F79" si="21">E95</f>
        <v>0</v>
      </c>
      <c r="F79" s="37">
        <f t="shared" si="21"/>
        <v>0</v>
      </c>
      <c r="G79" s="28"/>
      <c r="H79" s="37">
        <f>SUM(D79:F79)</f>
        <v>0</v>
      </c>
      <c r="I79" s="28"/>
      <c r="J79" s="28"/>
      <c r="K79" s="28"/>
      <c r="L79" s="28"/>
      <c r="M79" s="28"/>
      <c r="N79" s="28"/>
    </row>
    <row r="80" spans="1:14" ht="19.5" customHeight="1" x14ac:dyDescent="0.35">
      <c r="A80" s="28"/>
      <c r="B80" s="22"/>
      <c r="C80" s="28"/>
      <c r="D80" s="22"/>
      <c r="E80" s="22"/>
      <c r="F80" s="22"/>
      <c r="G80" s="28"/>
      <c r="H80" s="22"/>
      <c r="I80" s="28"/>
      <c r="J80" s="28"/>
      <c r="K80" s="28"/>
      <c r="L80" s="28"/>
      <c r="M80" s="28"/>
      <c r="N80" s="28"/>
    </row>
    <row r="81" spans="1:15" ht="19.5" customHeight="1" x14ac:dyDescent="0.35">
      <c r="A81" s="28"/>
      <c r="B81" s="35" t="s">
        <v>76</v>
      </c>
      <c r="C81" s="36"/>
      <c r="D81" s="37">
        <f>D75-D79</f>
        <v>-147148748.20999998</v>
      </c>
      <c r="E81" s="37">
        <f t="shared" ref="E81" si="22">E75-E79</f>
        <v>93223522.890000001</v>
      </c>
      <c r="F81" s="37">
        <f t="shared" ref="F81" si="23">F75-F79</f>
        <v>65256466.023000002</v>
      </c>
      <c r="G81" s="28"/>
      <c r="H81" s="37">
        <f>H75-H79</f>
        <v>11331240.703000024</v>
      </c>
      <c r="I81" s="28"/>
      <c r="J81" s="28"/>
      <c r="K81" s="28"/>
      <c r="L81" s="28"/>
      <c r="M81" s="28"/>
      <c r="N81" s="28"/>
    </row>
    <row r="82" spans="1:15" ht="19.5" customHeight="1" x14ac:dyDescent="0.35">
      <c r="A82" s="28"/>
      <c r="B82" s="22"/>
      <c r="C82" s="28"/>
      <c r="D82" s="22"/>
      <c r="E82" s="22"/>
      <c r="F82" s="22"/>
      <c r="G82" s="28"/>
      <c r="H82" s="22"/>
      <c r="I82" s="28"/>
      <c r="J82" s="28"/>
      <c r="K82" s="28"/>
      <c r="L82" s="28"/>
      <c r="M82" s="28"/>
      <c r="N82" s="28"/>
    </row>
    <row r="83" spans="1:15" ht="19.5" customHeight="1" x14ac:dyDescent="0.35">
      <c r="A83" s="28"/>
      <c r="B83" s="58"/>
      <c r="C83" s="28"/>
      <c r="D83" s="56"/>
      <c r="E83" s="56"/>
      <c r="F83" s="56"/>
      <c r="G83" s="28"/>
      <c r="H83" s="56"/>
      <c r="I83" s="28"/>
      <c r="J83" s="28"/>
      <c r="K83" s="28"/>
      <c r="L83" s="28"/>
      <c r="M83" s="28"/>
      <c r="N83" s="28"/>
    </row>
    <row r="84" spans="1:15" ht="49.5" hidden="1" customHeight="1" x14ac:dyDescent="0.35">
      <c r="A84" s="3"/>
      <c r="B84" s="314" t="s">
        <v>77</v>
      </c>
      <c r="C84" s="314"/>
      <c r="D84" s="314"/>
      <c r="E84" s="314"/>
      <c r="F84" s="314"/>
      <c r="G84" s="314"/>
      <c r="H84" s="314"/>
      <c r="I84" s="3"/>
      <c r="J84" s="3"/>
      <c r="K84" s="3"/>
      <c r="L84" s="3"/>
      <c r="M84" s="3"/>
      <c r="N84" s="3"/>
      <c r="O84" s="3"/>
    </row>
    <row r="85" spans="1:15" ht="15" hidden="1" customHeight="1" x14ac:dyDescent="0.3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</row>
    <row r="86" spans="1:15" ht="15" customHeight="1" x14ac:dyDescent="0.35">
      <c r="A86" s="28"/>
      <c r="I86" s="28"/>
      <c r="J86" s="28"/>
      <c r="K86" s="28"/>
      <c r="L86" s="28"/>
      <c r="M86" s="28"/>
      <c r="N86" s="28"/>
    </row>
    <row r="87" spans="1:15" ht="15" customHeight="1" x14ac:dyDescent="0.35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</row>
    <row r="88" spans="1:15" ht="15" customHeight="1" x14ac:dyDescent="0.35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</row>
    <row r="89" spans="1:15" ht="15" customHeight="1" x14ac:dyDescent="0.35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</row>
    <row r="90" spans="1:15" ht="15" customHeight="1" x14ac:dyDescent="0.35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</row>
    <row r="91" spans="1:15" ht="15" customHeight="1" x14ac:dyDescent="0.3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</row>
    <row r="92" spans="1:15" ht="15.5" x14ac:dyDescent="0.35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</row>
    <row r="93" spans="1:15" ht="15.5" x14ac:dyDescent="0.35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</row>
    <row r="94" spans="1:15" ht="15.5" x14ac:dyDescent="0.35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</row>
    <row r="95" spans="1:15" ht="15.5" x14ac:dyDescent="0.3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</row>
    <row r="96" spans="1:15" ht="15.5" x14ac:dyDescent="0.35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</row>
    <row r="97" spans="1:14" ht="15.5" x14ac:dyDescent="0.35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</row>
    <row r="98" spans="1:14" ht="15.5" x14ac:dyDescent="0.35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</row>
    <row r="99" spans="1:14" ht="15.5" x14ac:dyDescent="0.35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</row>
    <row r="100" spans="1:14" ht="15.5" x14ac:dyDescent="0.35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</row>
    <row r="101" spans="1:14" ht="15.5" x14ac:dyDescent="0.35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</row>
    <row r="102" spans="1:14" ht="15.5" x14ac:dyDescent="0.35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</row>
    <row r="103" spans="1:14" ht="15.5" x14ac:dyDescent="0.35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</row>
    <row r="104" spans="1:14" ht="15.5" x14ac:dyDescent="0.35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</row>
    <row r="105" spans="1:14" ht="15.5" x14ac:dyDescent="0.3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</row>
    <row r="106" spans="1:14" ht="15.5" x14ac:dyDescent="0.35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</row>
    <row r="107" spans="1:14" ht="15.5" x14ac:dyDescent="0.35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</row>
    <row r="108" spans="1:14" ht="15.5" x14ac:dyDescent="0.35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</row>
    <row r="109" spans="1:14" ht="15.5" x14ac:dyDescent="0.35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</row>
    <row r="110" spans="1:14" ht="15.5" x14ac:dyDescent="0.35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</row>
    <row r="111" spans="1:14" ht="15.5" x14ac:dyDescent="0.35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</row>
    <row r="112" spans="1:14" ht="15.5" x14ac:dyDescent="0.35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</row>
    <row r="113" spans="1:14" ht="15.5" x14ac:dyDescent="0.35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</row>
    <row r="114" spans="1:14" ht="15.5" x14ac:dyDescent="0.35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</row>
    <row r="115" spans="1:14" ht="15.5" x14ac:dyDescent="0.3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</row>
    <row r="116" spans="1:14" ht="15.5" x14ac:dyDescent="0.35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</row>
    <row r="117" spans="1:14" ht="15.5" x14ac:dyDescent="0.35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</row>
    <row r="118" spans="1:14" ht="15.5" x14ac:dyDescent="0.35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</row>
    <row r="119" spans="1:14" ht="15.5" x14ac:dyDescent="0.35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</row>
    <row r="120" spans="1:14" ht="15.5" x14ac:dyDescent="0.35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</row>
    <row r="121" spans="1:14" ht="15.5" x14ac:dyDescent="0.35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</row>
    <row r="122" spans="1:14" ht="15.5" x14ac:dyDescent="0.35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</row>
    <row r="123" spans="1:14" ht="15.5" x14ac:dyDescent="0.35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</row>
    <row r="124" spans="1:14" ht="15.5" x14ac:dyDescent="0.35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</row>
    <row r="125" spans="1:14" ht="15.5" x14ac:dyDescent="0.3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</row>
    <row r="126" spans="1:14" ht="15.5" x14ac:dyDescent="0.35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</row>
    <row r="127" spans="1:14" ht="15.5" x14ac:dyDescent="0.3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</row>
    <row r="128" spans="1:14" ht="15.5" x14ac:dyDescent="0.35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</row>
    <row r="129" spans="1:14" ht="15.5" x14ac:dyDescent="0.35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</row>
    <row r="130" spans="1:14" ht="15.5" x14ac:dyDescent="0.35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</row>
    <row r="131" spans="1:14" ht="15.5" x14ac:dyDescent="0.35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</row>
    <row r="132" spans="1:14" ht="15.5" x14ac:dyDescent="0.35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</row>
    <row r="133" spans="1:14" ht="15.5" x14ac:dyDescent="0.35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</row>
    <row r="134" spans="1:14" ht="15.5" x14ac:dyDescent="0.35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</row>
    <row r="135" spans="1:14" ht="15.5" x14ac:dyDescent="0.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</row>
    <row r="136" spans="1:14" ht="15.5" x14ac:dyDescent="0.35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</row>
    <row r="137" spans="1:14" ht="15.5" x14ac:dyDescent="0.35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</row>
    <row r="138" spans="1:14" ht="15.5" x14ac:dyDescent="0.35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</row>
    <row r="139" spans="1:14" ht="15.5" x14ac:dyDescent="0.35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</row>
    <row r="140" spans="1:14" ht="15.5" x14ac:dyDescent="0.35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</row>
    <row r="141" spans="1:14" ht="15.5" x14ac:dyDescent="0.35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</row>
    <row r="142" spans="1:14" ht="15.5" x14ac:dyDescent="0.35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</row>
    <row r="143" spans="1:14" ht="15.5" x14ac:dyDescent="0.35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</row>
    <row r="144" spans="1:14" ht="15.5" x14ac:dyDescent="0.35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</row>
    <row r="145" spans="1:14" ht="15.5" x14ac:dyDescent="0.3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</row>
    <row r="146" spans="1:14" ht="15.5" x14ac:dyDescent="0.35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</row>
    <row r="147" spans="1:14" ht="15.5" x14ac:dyDescent="0.35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</row>
    <row r="148" spans="1:14" ht="15.5" x14ac:dyDescent="0.35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</row>
    <row r="149" spans="1:14" ht="15.5" x14ac:dyDescent="0.35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</row>
    <row r="150" spans="1:14" ht="15.5" x14ac:dyDescent="0.35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</row>
    <row r="151" spans="1:14" ht="15.5" x14ac:dyDescent="0.35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</row>
    <row r="152" spans="1:14" ht="15.5" x14ac:dyDescent="0.35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</row>
    <row r="153" spans="1:14" ht="15.5" x14ac:dyDescent="0.35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</row>
    <row r="154" spans="1:14" ht="15.5" x14ac:dyDescent="0.35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</row>
    <row r="155" spans="1:14" ht="15.5" x14ac:dyDescent="0.3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</row>
    <row r="156" spans="1:14" ht="15.5" x14ac:dyDescent="0.35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</row>
    <row r="157" spans="1:14" ht="15.5" x14ac:dyDescent="0.35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</row>
    <row r="158" spans="1:14" ht="15.5" x14ac:dyDescent="0.35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</row>
    <row r="159" spans="1:14" ht="15.5" x14ac:dyDescent="0.35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</row>
    <row r="160" spans="1:14" ht="15.5" x14ac:dyDescent="0.35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</row>
    <row r="161" spans="1:14" ht="15.5" x14ac:dyDescent="0.35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</row>
    <row r="162" spans="1:14" ht="15.5" x14ac:dyDescent="0.35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</row>
    <row r="163" spans="1:14" ht="15.5" x14ac:dyDescent="0.35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</row>
    <row r="164" spans="1:14" ht="15.5" x14ac:dyDescent="0.35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</row>
    <row r="165" spans="1:14" ht="15.5" x14ac:dyDescent="0.3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</row>
    <row r="166" spans="1:14" ht="15.5" x14ac:dyDescent="0.35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</row>
    <row r="167" spans="1:14" ht="15.5" x14ac:dyDescent="0.35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</row>
    <row r="168" spans="1:14" ht="15.5" x14ac:dyDescent="0.35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</row>
    <row r="169" spans="1:14" ht="15.5" x14ac:dyDescent="0.35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</row>
    <row r="170" spans="1:14" ht="15.5" x14ac:dyDescent="0.35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</row>
    <row r="171" spans="1:14" ht="15.5" x14ac:dyDescent="0.35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</row>
    <row r="172" spans="1:14" ht="15.5" x14ac:dyDescent="0.3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</row>
    <row r="173" spans="1:14" ht="15.5" x14ac:dyDescent="0.35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</row>
    <row r="174" spans="1:14" ht="15.5" x14ac:dyDescent="0.35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</row>
    <row r="175" spans="1:14" ht="15.5" x14ac:dyDescent="0.3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</row>
    <row r="176" spans="1:14" ht="15.5" x14ac:dyDescent="0.35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</row>
    <row r="177" spans="1:14" ht="15.5" x14ac:dyDescent="0.35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</row>
    <row r="178" spans="1:14" ht="15.5" x14ac:dyDescent="0.35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</row>
    <row r="179" spans="1:14" ht="15.5" x14ac:dyDescent="0.35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</row>
    <row r="180" spans="1:14" ht="15.5" x14ac:dyDescent="0.35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</row>
    <row r="181" spans="1:14" ht="15.5" x14ac:dyDescent="0.35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</row>
    <row r="182" spans="1:14" ht="15.5" x14ac:dyDescent="0.35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</row>
    <row r="183" spans="1:14" ht="15.5" x14ac:dyDescent="0.35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</row>
    <row r="184" spans="1:14" ht="15.5" x14ac:dyDescent="0.35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</row>
    <row r="185" spans="1:14" ht="15.5" x14ac:dyDescent="0.3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</row>
    <row r="186" spans="1:14" ht="15.5" x14ac:dyDescent="0.35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</row>
    <row r="187" spans="1:14" ht="15.5" x14ac:dyDescent="0.35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</row>
    <row r="188" spans="1:14" ht="15.5" x14ac:dyDescent="0.35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</row>
    <row r="189" spans="1:14" ht="15.5" x14ac:dyDescent="0.35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</row>
    <row r="190" spans="1:14" ht="15.5" x14ac:dyDescent="0.35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</row>
    <row r="191" spans="1:14" ht="15.5" x14ac:dyDescent="0.35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</row>
    <row r="192" spans="1:14" ht="15.5" x14ac:dyDescent="0.35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</row>
    <row r="193" spans="1:14" ht="15.5" x14ac:dyDescent="0.35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</row>
    <row r="194" spans="1:14" ht="15.5" x14ac:dyDescent="0.35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</row>
    <row r="195" spans="1:14" ht="15.5" x14ac:dyDescent="0.3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</row>
    <row r="196" spans="1:14" ht="15.5" x14ac:dyDescent="0.35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</row>
    <row r="197" spans="1:14" ht="15.5" x14ac:dyDescent="0.35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</row>
    <row r="198" spans="1:14" ht="15.5" x14ac:dyDescent="0.35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</row>
    <row r="199" spans="1:14" ht="15.5" x14ac:dyDescent="0.35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</row>
    <row r="200" spans="1:14" ht="15.5" x14ac:dyDescent="0.35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</row>
    <row r="201" spans="1:14" ht="15.5" x14ac:dyDescent="0.35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</row>
    <row r="202" spans="1:14" ht="15.5" x14ac:dyDescent="0.35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</row>
    <row r="203" spans="1:14" ht="15.5" x14ac:dyDescent="0.35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</row>
    <row r="204" spans="1:14" ht="15.5" x14ac:dyDescent="0.35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</row>
    <row r="205" spans="1:14" ht="15.5" x14ac:dyDescent="0.3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</row>
    <row r="206" spans="1:14" ht="15.5" x14ac:dyDescent="0.35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</row>
    <row r="207" spans="1:14" ht="15.5" x14ac:dyDescent="0.35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</row>
    <row r="208" spans="1:14" ht="15.5" x14ac:dyDescent="0.35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</row>
    <row r="209" spans="1:14" ht="15.5" x14ac:dyDescent="0.35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</row>
    <row r="210" spans="1:14" ht="15.5" x14ac:dyDescent="0.35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</row>
    <row r="211" spans="1:14" ht="15.5" x14ac:dyDescent="0.35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</row>
    <row r="212" spans="1:14" ht="15.5" x14ac:dyDescent="0.35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</row>
    <row r="213" spans="1:14" ht="15.5" x14ac:dyDescent="0.35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</row>
    <row r="214" spans="1:14" ht="15.5" x14ac:dyDescent="0.35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</row>
    <row r="215" spans="1:14" ht="15.5" x14ac:dyDescent="0.3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</row>
    <row r="216" spans="1:14" ht="15.5" x14ac:dyDescent="0.35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</row>
    <row r="217" spans="1:14" ht="15.5" x14ac:dyDescent="0.35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</row>
    <row r="218" spans="1:14" ht="15.5" x14ac:dyDescent="0.35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</row>
    <row r="219" spans="1:14" ht="15.5" x14ac:dyDescent="0.35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</row>
    <row r="220" spans="1:14" ht="15.5" x14ac:dyDescent="0.35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</row>
    <row r="221" spans="1:14" ht="15.5" x14ac:dyDescent="0.35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</row>
    <row r="222" spans="1:14" ht="15.5" x14ac:dyDescent="0.35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</row>
    <row r="223" spans="1:14" ht="15.5" x14ac:dyDescent="0.35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</row>
    <row r="224" spans="1:14" ht="15.5" x14ac:dyDescent="0.35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</row>
    <row r="225" spans="1:14" ht="15.5" x14ac:dyDescent="0.3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</row>
    <row r="226" spans="1:14" ht="15.5" x14ac:dyDescent="0.35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</row>
    <row r="227" spans="1:14" ht="15.5" x14ac:dyDescent="0.35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</row>
    <row r="228" spans="1:14" ht="15.5" x14ac:dyDescent="0.35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</row>
    <row r="229" spans="1:14" ht="15.5" x14ac:dyDescent="0.35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</row>
    <row r="230" spans="1:14" ht="15.5" x14ac:dyDescent="0.35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</row>
    <row r="231" spans="1:14" ht="15.5" x14ac:dyDescent="0.35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</row>
    <row r="232" spans="1:14" ht="15.5" x14ac:dyDescent="0.35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</row>
    <row r="233" spans="1:14" ht="15.5" x14ac:dyDescent="0.35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</row>
    <row r="234" spans="1:14" ht="15.5" x14ac:dyDescent="0.35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</row>
    <row r="235" spans="1:14" ht="15.5" x14ac:dyDescent="0.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</row>
    <row r="236" spans="1:14" ht="15.5" x14ac:dyDescent="0.35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</row>
    <row r="237" spans="1:14" ht="15.5" x14ac:dyDescent="0.35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</row>
    <row r="238" spans="1:14" ht="15.5" x14ac:dyDescent="0.35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</row>
    <row r="239" spans="1:14" ht="15.5" x14ac:dyDescent="0.35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</row>
    <row r="240" spans="1:14" ht="15.5" x14ac:dyDescent="0.35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</row>
    <row r="241" spans="1:14" ht="15.5" x14ac:dyDescent="0.35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</row>
    <row r="242" spans="1:14" ht="15.5" x14ac:dyDescent="0.35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</row>
    <row r="243" spans="1:14" ht="15.5" x14ac:dyDescent="0.35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</row>
    <row r="244" spans="1:14" ht="15.5" x14ac:dyDescent="0.35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</row>
    <row r="245" spans="1:14" ht="15.5" x14ac:dyDescent="0.3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</row>
    <row r="246" spans="1:14" ht="15.5" x14ac:dyDescent="0.35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</row>
    <row r="247" spans="1:14" ht="15.5" x14ac:dyDescent="0.35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</row>
    <row r="248" spans="1:14" ht="15.5" x14ac:dyDescent="0.35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</row>
    <row r="249" spans="1:14" ht="15.5" x14ac:dyDescent="0.35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</row>
    <row r="250" spans="1:14" ht="15.5" x14ac:dyDescent="0.35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</row>
    <row r="251" spans="1:14" ht="15.5" x14ac:dyDescent="0.35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</row>
    <row r="252" spans="1:14" ht="15.5" x14ac:dyDescent="0.35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</row>
    <row r="253" spans="1:14" ht="15.5" x14ac:dyDescent="0.35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</row>
    <row r="254" spans="1:14" ht="15.5" x14ac:dyDescent="0.35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</row>
    <row r="255" spans="1:14" ht="15.5" x14ac:dyDescent="0.3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</row>
    <row r="256" spans="1:14" ht="15.5" x14ac:dyDescent="0.35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</row>
    <row r="257" spans="1:14" ht="15.5" x14ac:dyDescent="0.35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</row>
    <row r="258" spans="1:14" ht="15.5" x14ac:dyDescent="0.35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</row>
    <row r="259" spans="1:14" ht="15.5" x14ac:dyDescent="0.35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</row>
    <row r="260" spans="1:14" ht="15.5" x14ac:dyDescent="0.35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</row>
    <row r="261" spans="1:14" ht="15.5" x14ac:dyDescent="0.35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</row>
    <row r="262" spans="1:14" ht="15.5" x14ac:dyDescent="0.35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</row>
    <row r="263" spans="1:14" ht="15.5" x14ac:dyDescent="0.35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</row>
    <row r="264" spans="1:14" ht="15.5" x14ac:dyDescent="0.35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</row>
    <row r="265" spans="1:14" ht="15.5" x14ac:dyDescent="0.3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</row>
    <row r="266" spans="1:14" ht="15.5" x14ac:dyDescent="0.35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</row>
    <row r="267" spans="1:14" ht="15.5" x14ac:dyDescent="0.35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</row>
    <row r="268" spans="1:14" ht="15.5" x14ac:dyDescent="0.35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</row>
    <row r="269" spans="1:14" ht="15.5" x14ac:dyDescent="0.35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</row>
    <row r="270" spans="1:14" ht="15.5" x14ac:dyDescent="0.35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</row>
    <row r="271" spans="1:14" ht="15.5" x14ac:dyDescent="0.35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</row>
    <row r="272" spans="1:14" ht="15.5" x14ac:dyDescent="0.35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</row>
    <row r="273" spans="1:14" ht="15.5" x14ac:dyDescent="0.35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</row>
    <row r="274" spans="1:14" ht="15.5" x14ac:dyDescent="0.35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</row>
    <row r="275" spans="1:14" ht="15.5" x14ac:dyDescent="0.3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</row>
    <row r="276" spans="1:14" ht="15.5" x14ac:dyDescent="0.35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</row>
    <row r="277" spans="1:14" ht="15.5" x14ac:dyDescent="0.35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</row>
    <row r="278" spans="1:14" ht="15.5" x14ac:dyDescent="0.35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</row>
    <row r="279" spans="1:14" ht="15.5" x14ac:dyDescent="0.35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</row>
    <row r="280" spans="1:14" ht="15.5" x14ac:dyDescent="0.35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</row>
    <row r="281" spans="1:14" ht="15.5" x14ac:dyDescent="0.35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</row>
    <row r="282" spans="1:14" ht="15.5" x14ac:dyDescent="0.35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</row>
    <row r="283" spans="1:14" ht="15.5" x14ac:dyDescent="0.35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</row>
    <row r="284" spans="1:14" ht="15.5" x14ac:dyDescent="0.35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</row>
    <row r="285" spans="1:14" ht="14.5" x14ac:dyDescent="0.35"/>
    <row r="286" spans="1:14" ht="14.5" x14ac:dyDescent="0.35"/>
    <row r="287" spans="1:14" ht="14.5" x14ac:dyDescent="0.35"/>
    <row r="288" spans="1:14" ht="14.5" x14ac:dyDescent="0.35"/>
    <row r="289" ht="14.5" x14ac:dyDescent="0.35"/>
    <row r="290" ht="14.5" x14ac:dyDescent="0.35"/>
    <row r="291" ht="14.5" x14ac:dyDescent="0.35"/>
    <row r="292" ht="14.5" x14ac:dyDescent="0.35"/>
    <row r="293" ht="14.5" x14ac:dyDescent="0.35"/>
    <row r="294" ht="14.5" x14ac:dyDescent="0.35"/>
    <row r="295" ht="14.5" x14ac:dyDescent="0.35"/>
    <row r="296" ht="14.5" x14ac:dyDescent="0.35"/>
    <row r="297" ht="14.5" x14ac:dyDescent="0.35"/>
    <row r="298" ht="14.5" x14ac:dyDescent="0.35"/>
    <row r="299" ht="14.5" x14ac:dyDescent="0.35"/>
    <row r="300" ht="14.5" x14ac:dyDescent="0.35"/>
    <row r="301" ht="14.5" x14ac:dyDescent="0.35"/>
    <row r="302" ht="14.5" x14ac:dyDescent="0.35"/>
    <row r="303" ht="14.5" x14ac:dyDescent="0.35"/>
    <row r="304" ht="14.5" x14ac:dyDescent="0.35"/>
    <row r="305" ht="14.5" x14ac:dyDescent="0.35"/>
    <row r="306" ht="14.5" x14ac:dyDescent="0.35"/>
    <row r="307" ht="14.5" x14ac:dyDescent="0.35"/>
    <row r="308" ht="14.5" x14ac:dyDescent="0.35"/>
    <row r="309" ht="14.5" x14ac:dyDescent="0.35"/>
    <row r="310" ht="14.5" x14ac:dyDescent="0.35"/>
    <row r="311" ht="14.5" x14ac:dyDescent="0.35"/>
    <row r="312" ht="14.5" x14ac:dyDescent="0.35"/>
    <row r="313" ht="14.5" x14ac:dyDescent="0.35"/>
    <row r="314" ht="14.5" x14ac:dyDescent="0.35"/>
    <row r="315" ht="14.5" x14ac:dyDescent="0.35"/>
    <row r="316" ht="14.5" x14ac:dyDescent="0.35"/>
    <row r="317" ht="14.5" x14ac:dyDescent="0.35"/>
    <row r="318" ht="14.5" x14ac:dyDescent="0.35"/>
    <row r="319" ht="14.5" x14ac:dyDescent="0.35"/>
    <row r="320" ht="14.5" x14ac:dyDescent="0.35"/>
    <row r="321" ht="14.5" x14ac:dyDescent="0.35"/>
    <row r="322" ht="14.5" x14ac:dyDescent="0.35"/>
    <row r="323" ht="14.5" x14ac:dyDescent="0.35"/>
    <row r="324" ht="14.5" x14ac:dyDescent="0.35"/>
    <row r="325" ht="14.5" x14ac:dyDescent="0.35"/>
    <row r="326" ht="14.5" x14ac:dyDescent="0.35"/>
    <row r="327" ht="14.5" x14ac:dyDescent="0.35"/>
    <row r="328" ht="14.5" x14ac:dyDescent="0.35"/>
    <row r="329" ht="14.5" x14ac:dyDescent="0.35"/>
    <row r="330" ht="14.5" x14ac:dyDescent="0.35"/>
    <row r="331" ht="14.5" x14ac:dyDescent="0.35"/>
    <row r="332" ht="14.5" x14ac:dyDescent="0.35"/>
    <row r="333" ht="14.5" x14ac:dyDescent="0.35"/>
    <row r="334" ht="14.5" x14ac:dyDescent="0.35"/>
    <row r="335" ht="14.5" x14ac:dyDescent="0.35"/>
    <row r="336" ht="14.5" x14ac:dyDescent="0.35"/>
    <row r="337" ht="14.5" x14ac:dyDescent="0.35"/>
    <row r="338" ht="14.5" x14ac:dyDescent="0.35"/>
    <row r="339" ht="14.5" x14ac:dyDescent="0.35"/>
    <row r="340" ht="14.5" x14ac:dyDescent="0.35"/>
    <row r="341" ht="14.5" x14ac:dyDescent="0.35"/>
    <row r="342" ht="14.5" x14ac:dyDescent="0.35"/>
    <row r="343" ht="14.5" x14ac:dyDescent="0.35"/>
    <row r="344" ht="14.5" x14ac:dyDescent="0.35"/>
    <row r="345" ht="14.5" x14ac:dyDescent="0.35"/>
    <row r="346" ht="14.5" x14ac:dyDescent="0.35"/>
    <row r="347" ht="14.5" x14ac:dyDescent="0.35"/>
    <row r="348" ht="14.5" x14ac:dyDescent="0.35"/>
    <row r="349" ht="14.5" x14ac:dyDescent="0.35"/>
    <row r="350" ht="14.5" x14ac:dyDescent="0.35"/>
    <row r="351" ht="14.5" x14ac:dyDescent="0.35"/>
    <row r="352" ht="14.5" x14ac:dyDescent="0.35"/>
    <row r="353" ht="14.5" x14ac:dyDescent="0.35"/>
    <row r="354" ht="14.5" x14ac:dyDescent="0.35"/>
    <row r="355" ht="14.5" x14ac:dyDescent="0.35"/>
    <row r="356" ht="14.5" x14ac:dyDescent="0.35"/>
    <row r="357" ht="14.5" x14ac:dyDescent="0.35"/>
    <row r="358" ht="14.5" x14ac:dyDescent="0.35"/>
    <row r="359" ht="14.5" x14ac:dyDescent="0.35"/>
    <row r="360" ht="14.5" x14ac:dyDescent="0.35"/>
    <row r="361" ht="14.5" x14ac:dyDescent="0.35"/>
    <row r="362" ht="14.5" x14ac:dyDescent="0.35"/>
    <row r="363" ht="14.5" x14ac:dyDescent="0.35"/>
    <row r="364" ht="14.5" x14ac:dyDescent="0.35"/>
    <row r="365" ht="14.5" x14ac:dyDescent="0.35"/>
    <row r="366" ht="14.5" x14ac:dyDescent="0.35"/>
    <row r="367" ht="14.5" x14ac:dyDescent="0.35"/>
    <row r="368" ht="14.5" x14ac:dyDescent="0.35"/>
    <row r="369" ht="14.5" x14ac:dyDescent="0.35"/>
    <row r="370" ht="14.5" x14ac:dyDescent="0.35"/>
    <row r="371" ht="14.5" x14ac:dyDescent="0.35"/>
    <row r="372" ht="14.5" x14ac:dyDescent="0.35"/>
    <row r="373" ht="14.5" x14ac:dyDescent="0.35"/>
    <row r="374" ht="14.5" x14ac:dyDescent="0.35"/>
    <row r="375" ht="14.5" x14ac:dyDescent="0.35"/>
    <row r="376" ht="14.5" x14ac:dyDescent="0.35"/>
    <row r="377" ht="14.5" x14ac:dyDescent="0.35"/>
    <row r="378" ht="14.5" x14ac:dyDescent="0.35"/>
    <row r="379" ht="14.5" x14ac:dyDescent="0.35"/>
    <row r="380" ht="14.5" x14ac:dyDescent="0.35"/>
    <row r="381" ht="14.5" x14ac:dyDescent="0.35"/>
    <row r="382" ht="14.5" x14ac:dyDescent="0.35"/>
    <row r="383" ht="14.5" x14ac:dyDescent="0.35"/>
    <row r="384" ht="14.5" x14ac:dyDescent="0.35"/>
    <row r="385" ht="14.5" x14ac:dyDescent="0.35"/>
    <row r="386" ht="14.5" x14ac:dyDescent="0.35"/>
    <row r="387" ht="14.5" x14ac:dyDescent="0.35"/>
    <row r="388" ht="14.5" x14ac:dyDescent="0.35"/>
    <row r="389" ht="14.5" x14ac:dyDescent="0.35"/>
    <row r="390" ht="14.5" x14ac:dyDescent="0.35"/>
    <row r="391" ht="14.5" x14ac:dyDescent="0.35"/>
    <row r="392" ht="14.5" x14ac:dyDescent="0.35"/>
    <row r="393" ht="14.5" x14ac:dyDescent="0.35"/>
    <row r="394" ht="14.5" x14ac:dyDescent="0.35"/>
    <row r="395" ht="14.5" x14ac:dyDescent="0.35"/>
    <row r="396" ht="14.5" x14ac:dyDescent="0.35"/>
    <row r="397" ht="14.5" x14ac:dyDescent="0.35"/>
    <row r="398" ht="14.5" x14ac:dyDescent="0.35"/>
    <row r="399" ht="14.5" x14ac:dyDescent="0.35"/>
    <row r="400" ht="14.5" x14ac:dyDescent="0.35"/>
    <row r="401" ht="14.5" x14ac:dyDescent="0.35"/>
    <row r="402" ht="14.5" x14ac:dyDescent="0.35"/>
    <row r="403" ht="14.5" x14ac:dyDescent="0.35"/>
    <row r="404" ht="14.5" x14ac:dyDescent="0.35"/>
    <row r="405" ht="14.5" x14ac:dyDescent="0.35"/>
    <row r="406" ht="14.5" x14ac:dyDescent="0.35"/>
    <row r="407" ht="14.5" x14ac:dyDescent="0.35"/>
    <row r="408" ht="14.5" x14ac:dyDescent="0.35"/>
    <row r="409" ht="14.5" x14ac:dyDescent="0.35"/>
    <row r="410" ht="14.5" x14ac:dyDescent="0.35"/>
    <row r="411" ht="14.5" x14ac:dyDescent="0.35"/>
    <row r="412" ht="14.5" x14ac:dyDescent="0.35"/>
    <row r="413" ht="14.5" x14ac:dyDescent="0.35"/>
    <row r="414" ht="14.5" x14ac:dyDescent="0.35"/>
    <row r="415" ht="14.5" x14ac:dyDescent="0.35"/>
    <row r="416" ht="14.5" x14ac:dyDescent="0.35"/>
    <row r="417" ht="14.5" x14ac:dyDescent="0.35"/>
    <row r="418" ht="14.5" x14ac:dyDescent="0.35"/>
    <row r="419" ht="14.5" x14ac:dyDescent="0.35"/>
    <row r="420" ht="14.5" x14ac:dyDescent="0.35"/>
    <row r="421" ht="14.5" x14ac:dyDescent="0.35"/>
    <row r="422" ht="14.5" x14ac:dyDescent="0.35"/>
    <row r="423" ht="14.5" x14ac:dyDescent="0.35"/>
    <row r="424" ht="14.5" x14ac:dyDescent="0.35"/>
    <row r="425" ht="14.5" x14ac:dyDescent="0.35"/>
    <row r="426" ht="14.5" x14ac:dyDescent="0.35"/>
    <row r="427" ht="14.5" x14ac:dyDescent="0.35"/>
    <row r="428" ht="14.5" x14ac:dyDescent="0.35"/>
    <row r="429" ht="14.5" x14ac:dyDescent="0.35"/>
    <row r="430" ht="14.5" x14ac:dyDescent="0.35"/>
    <row r="431" ht="14.5" x14ac:dyDescent="0.35"/>
    <row r="432" ht="14.5" x14ac:dyDescent="0.35"/>
    <row r="433" ht="14.5" x14ac:dyDescent="0.35"/>
    <row r="434" ht="14.5" x14ac:dyDescent="0.35"/>
    <row r="435" ht="14.5" x14ac:dyDescent="0.35"/>
    <row r="436" ht="14.5" x14ac:dyDescent="0.35"/>
    <row r="437" ht="14.5" x14ac:dyDescent="0.35"/>
    <row r="438" ht="14.5" x14ac:dyDescent="0.35"/>
    <row r="439" ht="14.5" x14ac:dyDescent="0.35"/>
    <row r="440" ht="14.5" x14ac:dyDescent="0.35"/>
    <row r="441" ht="14.5" x14ac:dyDescent="0.35"/>
    <row r="442" ht="14.5" x14ac:dyDescent="0.35"/>
    <row r="443" ht="14.5" x14ac:dyDescent="0.35"/>
    <row r="444" ht="14.5" x14ac:dyDescent="0.35"/>
    <row r="445" ht="14.5" x14ac:dyDescent="0.35"/>
    <row r="446" ht="14.5" x14ac:dyDescent="0.35"/>
    <row r="447" ht="14.5" x14ac:dyDescent="0.35"/>
    <row r="448" ht="14.5" x14ac:dyDescent="0.35"/>
    <row r="449" ht="14.5" x14ac:dyDescent="0.35"/>
    <row r="450" ht="14.5" x14ac:dyDescent="0.35"/>
    <row r="451" ht="14.5" x14ac:dyDescent="0.35"/>
    <row r="452" ht="14.5" x14ac:dyDescent="0.35"/>
    <row r="453" ht="14.5" x14ac:dyDescent="0.35"/>
    <row r="454" ht="14.5" x14ac:dyDescent="0.35"/>
    <row r="455" ht="14.5" x14ac:dyDescent="0.35"/>
    <row r="456" ht="14.5" x14ac:dyDescent="0.35"/>
    <row r="457" ht="14.5" x14ac:dyDescent="0.35"/>
    <row r="458" ht="14.5" x14ac:dyDescent="0.35"/>
    <row r="459" ht="14.5" x14ac:dyDescent="0.35"/>
    <row r="460" ht="14.5" x14ac:dyDescent="0.35"/>
    <row r="461" ht="14.5" x14ac:dyDescent="0.35"/>
    <row r="462" ht="14.5" x14ac:dyDescent="0.35"/>
    <row r="463" ht="14.5" x14ac:dyDescent="0.35"/>
    <row r="464" ht="14.5" x14ac:dyDescent="0.35"/>
    <row r="465" ht="14.5" x14ac:dyDescent="0.35"/>
    <row r="466" ht="14.5" x14ac:dyDescent="0.35"/>
    <row r="467" ht="14.5" x14ac:dyDescent="0.35"/>
    <row r="468" ht="14.5" x14ac:dyDescent="0.35"/>
    <row r="469" ht="14.5" x14ac:dyDescent="0.35"/>
    <row r="470" ht="14.5" x14ac:dyDescent="0.35"/>
    <row r="471" ht="14.5" x14ac:dyDescent="0.35"/>
    <row r="472" ht="14.5" x14ac:dyDescent="0.35"/>
    <row r="473" ht="14.5" x14ac:dyDescent="0.35"/>
    <row r="474" ht="14.5" x14ac:dyDescent="0.35"/>
    <row r="475" ht="14.5" x14ac:dyDescent="0.35"/>
    <row r="476" ht="14.5" x14ac:dyDescent="0.35"/>
    <row r="477" ht="14.5" x14ac:dyDescent="0.35"/>
    <row r="478" ht="14.5" x14ac:dyDescent="0.35"/>
    <row r="479" ht="14.5" x14ac:dyDescent="0.35"/>
    <row r="480" ht="14.5" x14ac:dyDescent="0.35"/>
    <row r="481" ht="14.5" x14ac:dyDescent="0.35"/>
    <row r="482" ht="14.5" x14ac:dyDescent="0.35"/>
    <row r="483" ht="14.5" x14ac:dyDescent="0.35"/>
    <row r="484" ht="14.5" x14ac:dyDescent="0.35"/>
    <row r="485" ht="14.5" x14ac:dyDescent="0.35"/>
    <row r="486" ht="14.5" x14ac:dyDescent="0.35"/>
    <row r="487" ht="14.5" x14ac:dyDescent="0.35"/>
    <row r="488" ht="14.5" x14ac:dyDescent="0.35"/>
    <row r="489" ht="14.5" x14ac:dyDescent="0.35"/>
    <row r="490" ht="14.5" x14ac:dyDescent="0.35"/>
    <row r="491" ht="14.5" x14ac:dyDescent="0.35"/>
    <row r="492" ht="14.5" x14ac:dyDescent="0.35"/>
    <row r="493" ht="14.5" x14ac:dyDescent="0.35"/>
    <row r="494" ht="14.5" x14ac:dyDescent="0.35"/>
    <row r="495" ht="14.5" x14ac:dyDescent="0.35"/>
    <row r="496" ht="14.5" x14ac:dyDescent="0.35"/>
    <row r="497" ht="14.5" x14ac:dyDescent="0.35"/>
    <row r="498" ht="14.5" x14ac:dyDescent="0.35"/>
    <row r="499" ht="14.5" x14ac:dyDescent="0.35"/>
    <row r="500" ht="14.5" x14ac:dyDescent="0.35"/>
    <row r="501" ht="14.5" x14ac:dyDescent="0.35"/>
    <row r="502" ht="14.5" x14ac:dyDescent="0.35"/>
    <row r="503" ht="14.5" x14ac:dyDescent="0.35"/>
    <row r="504" ht="14.5" x14ac:dyDescent="0.35"/>
    <row r="505" ht="14.5" x14ac:dyDescent="0.35"/>
    <row r="506" ht="14.5" x14ac:dyDescent="0.35"/>
    <row r="507" ht="14.5" x14ac:dyDescent="0.35"/>
    <row r="508" ht="14.5" x14ac:dyDescent="0.35"/>
    <row r="509" ht="14.5" x14ac:dyDescent="0.35"/>
    <row r="510" ht="14.5" x14ac:dyDescent="0.35"/>
    <row r="511" ht="14.5" x14ac:dyDescent="0.35"/>
    <row r="512" ht="14.5" x14ac:dyDescent="0.35"/>
    <row r="513" ht="14.5" x14ac:dyDescent="0.35"/>
    <row r="514" ht="14.5" x14ac:dyDescent="0.35"/>
    <row r="515" ht="14.5" x14ac:dyDescent="0.35"/>
    <row r="516" ht="14.5" x14ac:dyDescent="0.35"/>
    <row r="517" ht="14.5" x14ac:dyDescent="0.35"/>
    <row r="518" ht="14.5" x14ac:dyDescent="0.35"/>
    <row r="519" ht="14.5" x14ac:dyDescent="0.35"/>
    <row r="520" ht="14.5" x14ac:dyDescent="0.35"/>
    <row r="521" ht="14.5" x14ac:dyDescent="0.35"/>
    <row r="522" ht="14.5" x14ac:dyDescent="0.35"/>
    <row r="523" ht="14.5" x14ac:dyDescent="0.35"/>
    <row r="524" ht="14.5" x14ac:dyDescent="0.35"/>
    <row r="525" ht="14.5" x14ac:dyDescent="0.35"/>
    <row r="526" ht="14.5" x14ac:dyDescent="0.35"/>
    <row r="527" ht="14.5" x14ac:dyDescent="0.35"/>
    <row r="528" ht="14.5" x14ac:dyDescent="0.35"/>
    <row r="529" ht="14.5" x14ac:dyDescent="0.35"/>
    <row r="530" ht="14.5" x14ac:dyDescent="0.35"/>
    <row r="531" ht="14.5" x14ac:dyDescent="0.35"/>
    <row r="532" ht="14.5" x14ac:dyDescent="0.35"/>
    <row r="533" ht="14.5" x14ac:dyDescent="0.35"/>
    <row r="534" ht="14.5" x14ac:dyDescent="0.35"/>
    <row r="535" ht="14.5" x14ac:dyDescent="0.35"/>
    <row r="536" ht="14.5" x14ac:dyDescent="0.35"/>
    <row r="537" ht="14.5" x14ac:dyDescent="0.35"/>
    <row r="538" ht="14.5" x14ac:dyDescent="0.35"/>
    <row r="539" ht="14.5" x14ac:dyDescent="0.35"/>
    <row r="540" ht="14.5" x14ac:dyDescent="0.35"/>
    <row r="541" ht="14.5" x14ac:dyDescent="0.35"/>
    <row r="542" ht="14.5" x14ac:dyDescent="0.35"/>
    <row r="543" ht="14.5" x14ac:dyDescent="0.35"/>
    <row r="544" ht="14.5" x14ac:dyDescent="0.35"/>
    <row r="545" ht="14.5" x14ac:dyDescent="0.35"/>
    <row r="546" ht="14.5" x14ac:dyDescent="0.35"/>
    <row r="547" ht="14.5" x14ac:dyDescent="0.35"/>
    <row r="548" ht="14.5" x14ac:dyDescent="0.35"/>
    <row r="549" ht="14.5" x14ac:dyDescent="0.35"/>
    <row r="550" ht="14.5" x14ac:dyDescent="0.35"/>
    <row r="551" ht="14.5" x14ac:dyDescent="0.35"/>
    <row r="552" ht="14.5" x14ac:dyDescent="0.35"/>
    <row r="553" ht="14.5" x14ac:dyDescent="0.35"/>
    <row r="554" ht="14.5" x14ac:dyDescent="0.35"/>
    <row r="555" ht="14.5" x14ac:dyDescent="0.35"/>
    <row r="556" ht="14.5" x14ac:dyDescent="0.35"/>
    <row r="557" ht="14.5" x14ac:dyDescent="0.35"/>
    <row r="558" ht="14.5" x14ac:dyDescent="0.35"/>
    <row r="559" ht="14.5" x14ac:dyDescent="0.35"/>
    <row r="560" ht="14.5" x14ac:dyDescent="0.35"/>
    <row r="561" ht="14.5" x14ac:dyDescent="0.35"/>
    <row r="562" ht="14.5" x14ac:dyDescent="0.35"/>
    <row r="563" ht="14.5" x14ac:dyDescent="0.35"/>
    <row r="564" ht="14.5" x14ac:dyDescent="0.35"/>
    <row r="565" ht="14.5" x14ac:dyDescent="0.35"/>
    <row r="566" ht="14.5" x14ac:dyDescent="0.35"/>
    <row r="567" ht="14.5" x14ac:dyDescent="0.35"/>
    <row r="568" ht="14.5" x14ac:dyDescent="0.35"/>
    <row r="569" ht="14.5" x14ac:dyDescent="0.35"/>
    <row r="570" ht="14.5" x14ac:dyDescent="0.35"/>
    <row r="571" ht="14.5" x14ac:dyDescent="0.35"/>
    <row r="572" ht="14.5" x14ac:dyDescent="0.35"/>
    <row r="573" ht="14.5" x14ac:dyDescent="0.35"/>
    <row r="574" ht="14.5" x14ac:dyDescent="0.35"/>
    <row r="575" ht="14.5" x14ac:dyDescent="0.35"/>
    <row r="576" ht="14.5" x14ac:dyDescent="0.35"/>
    <row r="577" ht="14.5" x14ac:dyDescent="0.35"/>
    <row r="578" ht="14.5" x14ac:dyDescent="0.35"/>
    <row r="579" ht="14.5" x14ac:dyDescent="0.35"/>
    <row r="580" ht="14.5" x14ac:dyDescent="0.35"/>
    <row r="581" ht="14.5" x14ac:dyDescent="0.35"/>
    <row r="582" ht="14.5" x14ac:dyDescent="0.35"/>
    <row r="583" ht="14.5" x14ac:dyDescent="0.35"/>
    <row r="584" ht="14.5" x14ac:dyDescent="0.35"/>
    <row r="585" ht="14.5" x14ac:dyDescent="0.35"/>
    <row r="586" ht="14.5" x14ac:dyDescent="0.35"/>
    <row r="587" ht="14.5" x14ac:dyDescent="0.35"/>
    <row r="588" ht="14.5" x14ac:dyDescent="0.35"/>
    <row r="589" ht="14.5" x14ac:dyDescent="0.35"/>
    <row r="590" ht="14.5" x14ac:dyDescent="0.35"/>
    <row r="591" ht="14.5" x14ac:dyDescent="0.35"/>
    <row r="592" ht="14.5" x14ac:dyDescent="0.35"/>
    <row r="593" ht="14.5" x14ac:dyDescent="0.35"/>
    <row r="594" ht="14.5" x14ac:dyDescent="0.35"/>
    <row r="595" ht="14.5" x14ac:dyDescent="0.35"/>
    <row r="596" ht="14.5" x14ac:dyDescent="0.35"/>
    <row r="597" ht="14.5" x14ac:dyDescent="0.35"/>
    <row r="598" ht="14.5" x14ac:dyDescent="0.35"/>
    <row r="599" ht="14.5" x14ac:dyDescent="0.35"/>
    <row r="600" ht="14.5" x14ac:dyDescent="0.35"/>
    <row r="601" ht="14.5" x14ac:dyDescent="0.35"/>
    <row r="602" ht="14.5" x14ac:dyDescent="0.35"/>
    <row r="603" ht="14.5" x14ac:dyDescent="0.35"/>
    <row r="604" ht="14.5" x14ac:dyDescent="0.35"/>
    <row r="605" ht="14.5" x14ac:dyDescent="0.35"/>
    <row r="606" ht="14.5" x14ac:dyDescent="0.35"/>
    <row r="607" ht="14.5" x14ac:dyDescent="0.35"/>
    <row r="608" ht="14.5" x14ac:dyDescent="0.35"/>
    <row r="609" ht="14.5" x14ac:dyDescent="0.35"/>
    <row r="610" ht="14.5" x14ac:dyDescent="0.35"/>
    <row r="611" ht="14.5" x14ac:dyDescent="0.35"/>
    <row r="612" ht="14.5" x14ac:dyDescent="0.35"/>
    <row r="613" ht="14.5" x14ac:dyDescent="0.35"/>
    <row r="614" ht="14.5" x14ac:dyDescent="0.35"/>
    <row r="615" ht="14.5" x14ac:dyDescent="0.35"/>
    <row r="616" ht="14.5" x14ac:dyDescent="0.35"/>
    <row r="617" ht="14.5" x14ac:dyDescent="0.35"/>
    <row r="618" ht="14.5" x14ac:dyDescent="0.35"/>
    <row r="619" ht="14.5" x14ac:dyDescent="0.35"/>
    <row r="620" ht="14.5" x14ac:dyDescent="0.35"/>
    <row r="621" ht="14.5" x14ac:dyDescent="0.35"/>
    <row r="622" ht="14.5" x14ac:dyDescent="0.35"/>
    <row r="623" ht="14.5" x14ac:dyDescent="0.35"/>
    <row r="624" ht="14.5" x14ac:dyDescent="0.35"/>
    <row r="625" ht="14.5" x14ac:dyDescent="0.35"/>
    <row r="626" ht="14.5" x14ac:dyDescent="0.35"/>
    <row r="627" ht="14.5" x14ac:dyDescent="0.35"/>
    <row r="628" ht="14.5" x14ac:dyDescent="0.35"/>
    <row r="629" ht="14.5" x14ac:dyDescent="0.35"/>
    <row r="630" ht="14.5" x14ac:dyDescent="0.35"/>
    <row r="631" ht="14.5" x14ac:dyDescent="0.35"/>
    <row r="632" ht="14.5" x14ac:dyDescent="0.35"/>
    <row r="633" ht="14.5" x14ac:dyDescent="0.35"/>
    <row r="634" ht="14.5" x14ac:dyDescent="0.35"/>
    <row r="635" ht="14.5" x14ac:dyDescent="0.35"/>
    <row r="636" ht="14.5" x14ac:dyDescent="0.35"/>
    <row r="637" ht="14.5" x14ac:dyDescent="0.35"/>
    <row r="638" ht="14.5" x14ac:dyDescent="0.35"/>
    <row r="639" ht="14.5" x14ac:dyDescent="0.35"/>
    <row r="640" ht="14.5" x14ac:dyDescent="0.35"/>
    <row r="641" ht="14.5" x14ac:dyDescent="0.35"/>
    <row r="642" ht="14.5" x14ac:dyDescent="0.35"/>
    <row r="643" ht="14.5" x14ac:dyDescent="0.35"/>
    <row r="644" ht="14.5" x14ac:dyDescent="0.35"/>
    <row r="645" ht="14.5" x14ac:dyDescent="0.35"/>
    <row r="646" ht="14.5" x14ac:dyDescent="0.35"/>
    <row r="647" ht="14.5" x14ac:dyDescent="0.35"/>
    <row r="648" ht="14.5" x14ac:dyDescent="0.35"/>
    <row r="649" ht="14.5" x14ac:dyDescent="0.35"/>
    <row r="650" ht="14.5" x14ac:dyDescent="0.35"/>
    <row r="651" ht="14.5" x14ac:dyDescent="0.35"/>
    <row r="652" ht="14.5" x14ac:dyDescent="0.35"/>
    <row r="653" ht="14.5" x14ac:dyDescent="0.35"/>
    <row r="654" ht="14.5" x14ac:dyDescent="0.35"/>
    <row r="655" ht="14.5" x14ac:dyDescent="0.35"/>
    <row r="656" ht="14.5" x14ac:dyDescent="0.35"/>
    <row r="657" ht="14.5" x14ac:dyDescent="0.35"/>
    <row r="658" ht="14.5" x14ac:dyDescent="0.35"/>
    <row r="659" ht="14.5" x14ac:dyDescent="0.35"/>
    <row r="660" ht="14.5" x14ac:dyDescent="0.35"/>
    <row r="661" ht="14.5" x14ac:dyDescent="0.35"/>
    <row r="662" ht="14.5" x14ac:dyDescent="0.35"/>
    <row r="663" ht="14.5" x14ac:dyDescent="0.35"/>
    <row r="664" ht="14.5" x14ac:dyDescent="0.35"/>
    <row r="665" ht="14.5" x14ac:dyDescent="0.35"/>
    <row r="666" ht="14.5" x14ac:dyDescent="0.35"/>
    <row r="667" ht="14.5" x14ac:dyDescent="0.35"/>
    <row r="668" ht="14.5" x14ac:dyDescent="0.35"/>
    <row r="669" ht="14.5" x14ac:dyDescent="0.35"/>
    <row r="670" ht="14.5" x14ac:dyDescent="0.35"/>
    <row r="671" ht="14.5" x14ac:dyDescent="0.35"/>
    <row r="672" ht="14.5" x14ac:dyDescent="0.35"/>
    <row r="673" ht="14.5" x14ac:dyDescent="0.35"/>
    <row r="674" ht="14.5" x14ac:dyDescent="0.35"/>
    <row r="675" ht="14.5" x14ac:dyDescent="0.35"/>
    <row r="676" ht="14.5" x14ac:dyDescent="0.35"/>
    <row r="677" ht="14.5" x14ac:dyDescent="0.35"/>
    <row r="678" ht="14.5" x14ac:dyDescent="0.35"/>
    <row r="679" ht="14.5" x14ac:dyDescent="0.35"/>
    <row r="680" ht="14.5" x14ac:dyDescent="0.35"/>
    <row r="681" ht="14.5" x14ac:dyDescent="0.35"/>
    <row r="682" ht="14.5" x14ac:dyDescent="0.35"/>
    <row r="683" ht="14.5" x14ac:dyDescent="0.35"/>
    <row r="684" ht="14.5" x14ac:dyDescent="0.35"/>
    <row r="685" ht="14.5" x14ac:dyDescent="0.35"/>
    <row r="686" ht="14.5" x14ac:dyDescent="0.35"/>
    <row r="687" ht="14.5" x14ac:dyDescent="0.35"/>
    <row r="688" ht="14.5" x14ac:dyDescent="0.35"/>
    <row r="689" ht="14.5" x14ac:dyDescent="0.35"/>
    <row r="690" ht="14.5" x14ac:dyDescent="0.35"/>
    <row r="691" ht="14.5" x14ac:dyDescent="0.35"/>
    <row r="692" ht="14.5" x14ac:dyDescent="0.35"/>
    <row r="693" ht="14.5" x14ac:dyDescent="0.35"/>
    <row r="694" ht="14.5" x14ac:dyDescent="0.35"/>
    <row r="695" ht="14.5" x14ac:dyDescent="0.35"/>
    <row r="696" ht="14.5" x14ac:dyDescent="0.35"/>
    <row r="697" ht="14.5" x14ac:dyDescent="0.35"/>
    <row r="698" ht="14.5" x14ac:dyDescent="0.35"/>
    <row r="699" ht="14.5" x14ac:dyDescent="0.35"/>
    <row r="700" ht="14.5" x14ac:dyDescent="0.35"/>
    <row r="701" ht="14.5" x14ac:dyDescent="0.35"/>
    <row r="702" ht="14.5" x14ac:dyDescent="0.35"/>
    <row r="703" ht="14.5" x14ac:dyDescent="0.35"/>
    <row r="704" ht="14.5" x14ac:dyDescent="0.35"/>
    <row r="705" ht="14.5" x14ac:dyDescent="0.35"/>
    <row r="706" ht="14.5" x14ac:dyDescent="0.35"/>
    <row r="707" ht="14.5" x14ac:dyDescent="0.35"/>
    <row r="708" ht="14.5" x14ac:dyDescent="0.35"/>
    <row r="709" ht="14.5" x14ac:dyDescent="0.35"/>
    <row r="710" ht="14.5" x14ac:dyDescent="0.35"/>
    <row r="711" ht="14.5" x14ac:dyDescent="0.35"/>
    <row r="712" ht="14.5" x14ac:dyDescent="0.35"/>
    <row r="713" ht="14.5" x14ac:dyDescent="0.35"/>
    <row r="714" ht="14.5" x14ac:dyDescent="0.35"/>
    <row r="715" ht="14.5" x14ac:dyDescent="0.35"/>
    <row r="716" ht="14.5" x14ac:dyDescent="0.35"/>
    <row r="717" ht="14.5" x14ac:dyDescent="0.35"/>
    <row r="718" ht="14.5" x14ac:dyDescent="0.35"/>
    <row r="719" ht="14.5" x14ac:dyDescent="0.35"/>
    <row r="720" ht="14.5" x14ac:dyDescent="0.35"/>
    <row r="721" ht="14.5" x14ac:dyDescent="0.35"/>
    <row r="722" ht="14.5" x14ac:dyDescent="0.35"/>
    <row r="723" ht="14.5" x14ac:dyDescent="0.35"/>
    <row r="724" ht="14.5" x14ac:dyDescent="0.35"/>
    <row r="725" ht="14.5" x14ac:dyDescent="0.35"/>
    <row r="726" ht="14.5" x14ac:dyDescent="0.35"/>
    <row r="727" ht="14.5" x14ac:dyDescent="0.35"/>
    <row r="728" ht="14.5" x14ac:dyDescent="0.35"/>
    <row r="729" ht="14.5" x14ac:dyDescent="0.35"/>
    <row r="730" ht="14.5" x14ac:dyDescent="0.35"/>
    <row r="731" ht="14.5" x14ac:dyDescent="0.35"/>
    <row r="732" ht="14.5" x14ac:dyDescent="0.35"/>
    <row r="733" ht="14.5" x14ac:dyDescent="0.35"/>
    <row r="734" ht="14.5" x14ac:dyDescent="0.35"/>
    <row r="735" ht="14.5" x14ac:dyDescent="0.35"/>
    <row r="736" ht="14.5" x14ac:dyDescent="0.35"/>
    <row r="737" ht="14.5" x14ac:dyDescent="0.35"/>
    <row r="738" ht="14.5" x14ac:dyDescent="0.35"/>
    <row r="739" ht="14.5" x14ac:dyDescent="0.35"/>
    <row r="740" ht="14.5" x14ac:dyDescent="0.35"/>
    <row r="741" ht="14.5" x14ac:dyDescent="0.35"/>
    <row r="742" ht="14.5" x14ac:dyDescent="0.35"/>
    <row r="743" ht="14.5" x14ac:dyDescent="0.35"/>
    <row r="744" ht="14.5" x14ac:dyDescent="0.35"/>
    <row r="745" ht="14.5" x14ac:dyDescent="0.35"/>
    <row r="746" ht="14.5" x14ac:dyDescent="0.35"/>
    <row r="747" ht="14.5" x14ac:dyDescent="0.35"/>
    <row r="748" ht="14.5" x14ac:dyDescent="0.35"/>
    <row r="749" ht="14.5" x14ac:dyDescent="0.35"/>
    <row r="750" ht="14.5" x14ac:dyDescent="0.35"/>
    <row r="751" ht="14.5" x14ac:dyDescent="0.35"/>
    <row r="752" ht="14.5" x14ac:dyDescent="0.35"/>
    <row r="753" ht="14.5" x14ac:dyDescent="0.35"/>
    <row r="754" ht="14.5" x14ac:dyDescent="0.35"/>
    <row r="755" ht="14.5" x14ac:dyDescent="0.35"/>
    <row r="756" ht="14.5" x14ac:dyDescent="0.35"/>
    <row r="757" ht="14.5" x14ac:dyDescent="0.35"/>
    <row r="758" ht="14.5" x14ac:dyDescent="0.35"/>
    <row r="759" ht="14.5" x14ac:dyDescent="0.35"/>
    <row r="760" ht="14.5" x14ac:dyDescent="0.35"/>
    <row r="761" ht="14.5" x14ac:dyDescent="0.35"/>
    <row r="762" ht="14.5" x14ac:dyDescent="0.35"/>
    <row r="763" ht="14.5" x14ac:dyDescent="0.35"/>
    <row r="764" ht="14.5" x14ac:dyDescent="0.35"/>
    <row r="765" ht="14.5" x14ac:dyDescent="0.35"/>
    <row r="766" ht="14.5" x14ac:dyDescent="0.35"/>
    <row r="767" ht="14.5" x14ac:dyDescent="0.35"/>
    <row r="768" ht="14.5" x14ac:dyDescent="0.35"/>
    <row r="769" ht="14.5" x14ac:dyDescent="0.35"/>
    <row r="770" ht="14.5" x14ac:dyDescent="0.35"/>
    <row r="771" ht="14.5" x14ac:dyDescent="0.35"/>
    <row r="772" ht="14.5" x14ac:dyDescent="0.35"/>
    <row r="773" ht="14.5" x14ac:dyDescent="0.35"/>
    <row r="774" ht="14.5" x14ac:dyDescent="0.35"/>
    <row r="775" ht="14.5" x14ac:dyDescent="0.35"/>
    <row r="776" ht="14.5" x14ac:dyDescent="0.35"/>
    <row r="777" ht="14.5" x14ac:dyDescent="0.35"/>
    <row r="778" ht="14.5" x14ac:dyDescent="0.35"/>
    <row r="779" ht="14.5" x14ac:dyDescent="0.35"/>
    <row r="780" ht="14.5" x14ac:dyDescent="0.35"/>
    <row r="781" ht="14.5" x14ac:dyDescent="0.35"/>
    <row r="782" ht="14.5" x14ac:dyDescent="0.35"/>
    <row r="783" ht="14.5" x14ac:dyDescent="0.35"/>
    <row r="784" ht="14.5" x14ac:dyDescent="0.35"/>
    <row r="785" ht="14.5" x14ac:dyDescent="0.35"/>
    <row r="786" ht="14.5" x14ac:dyDescent="0.35"/>
    <row r="787" ht="14.5" x14ac:dyDescent="0.35"/>
    <row r="788" ht="14.5" x14ac:dyDescent="0.35"/>
    <row r="789" ht="14.5" x14ac:dyDescent="0.35"/>
    <row r="790" ht="14.5" x14ac:dyDescent="0.35"/>
    <row r="791" ht="14.5" x14ac:dyDescent="0.35"/>
    <row r="792" ht="14.5" x14ac:dyDescent="0.35"/>
    <row r="793" ht="14.5" x14ac:dyDescent="0.35"/>
    <row r="794" ht="14.5" x14ac:dyDescent="0.35"/>
    <row r="795" ht="14.5" x14ac:dyDescent="0.35"/>
    <row r="796" ht="14.5" x14ac:dyDescent="0.35"/>
    <row r="797" ht="14.5" x14ac:dyDescent="0.35"/>
    <row r="798" ht="14.5" x14ac:dyDescent="0.35"/>
    <row r="799" ht="14.5" x14ac:dyDescent="0.35"/>
    <row r="800" ht="14.5" x14ac:dyDescent="0.35"/>
    <row r="801" ht="14.5" x14ac:dyDescent="0.35"/>
    <row r="802" ht="14.5" x14ac:dyDescent="0.35"/>
    <row r="803" ht="14.5" x14ac:dyDescent="0.35"/>
    <row r="804" ht="14.5" x14ac:dyDescent="0.35"/>
    <row r="805" ht="14.5" x14ac:dyDescent="0.35"/>
    <row r="806" ht="14.5" x14ac:dyDescent="0.35"/>
    <row r="807" ht="14.5" x14ac:dyDescent="0.35"/>
    <row r="808" ht="14.5" x14ac:dyDescent="0.35"/>
    <row r="809" ht="14.5" x14ac:dyDescent="0.35"/>
    <row r="810" ht="14.5" x14ac:dyDescent="0.35"/>
    <row r="811" ht="14.5" x14ac:dyDescent="0.35"/>
    <row r="812" ht="14.5" x14ac:dyDescent="0.35"/>
    <row r="813" ht="14.5" x14ac:dyDescent="0.35"/>
    <row r="814" ht="14.5" x14ac:dyDescent="0.35"/>
    <row r="815" ht="14.5" x14ac:dyDescent="0.35"/>
    <row r="816" ht="14.5" x14ac:dyDescent="0.35"/>
    <row r="817" ht="14.5" x14ac:dyDescent="0.35"/>
    <row r="818" ht="14.5" x14ac:dyDescent="0.35"/>
    <row r="819" ht="14.5" x14ac:dyDescent="0.35"/>
    <row r="820" ht="14.5" x14ac:dyDescent="0.35"/>
    <row r="821" ht="14.5" x14ac:dyDescent="0.35"/>
    <row r="822" ht="14.5" x14ac:dyDescent="0.35"/>
    <row r="823" ht="14.5" x14ac:dyDescent="0.35"/>
    <row r="824" ht="14.5" x14ac:dyDescent="0.35"/>
    <row r="825" ht="14.5" x14ac:dyDescent="0.35"/>
    <row r="826" ht="14.5" x14ac:dyDescent="0.35"/>
    <row r="827" ht="14.5" x14ac:dyDescent="0.35"/>
    <row r="828" ht="14.5" x14ac:dyDescent="0.35"/>
    <row r="829" ht="14.5" x14ac:dyDescent="0.35"/>
    <row r="830" ht="14.5" x14ac:dyDescent="0.35"/>
    <row r="831" ht="14.5" x14ac:dyDescent="0.35"/>
    <row r="832" ht="14.5" x14ac:dyDescent="0.35"/>
    <row r="833" ht="14.5" x14ac:dyDescent="0.35"/>
    <row r="834" ht="14.5" x14ac:dyDescent="0.35"/>
    <row r="835" ht="14.5" x14ac:dyDescent="0.35"/>
    <row r="836" ht="14.5" x14ac:dyDescent="0.35"/>
    <row r="837" ht="14.5" x14ac:dyDescent="0.35"/>
    <row r="838" ht="14.5" x14ac:dyDescent="0.35"/>
    <row r="839" ht="14.5" x14ac:dyDescent="0.35"/>
    <row r="840" ht="14.5" x14ac:dyDescent="0.35"/>
    <row r="841" ht="14.5" x14ac:dyDescent="0.35"/>
    <row r="842" ht="14.5" x14ac:dyDescent="0.35"/>
    <row r="843" ht="14.5" x14ac:dyDescent="0.35"/>
    <row r="844" ht="14.5" x14ac:dyDescent="0.35"/>
    <row r="845" ht="14.5" x14ac:dyDescent="0.35"/>
    <row r="846" ht="14.5" x14ac:dyDescent="0.35"/>
    <row r="847" ht="14.5" x14ac:dyDescent="0.35"/>
    <row r="848" ht="14.5" x14ac:dyDescent="0.35"/>
    <row r="849" ht="14.5" x14ac:dyDescent="0.35"/>
    <row r="850" ht="14.5" x14ac:dyDescent="0.35"/>
    <row r="851" ht="14.5" x14ac:dyDescent="0.35"/>
    <row r="852" ht="14.5" x14ac:dyDescent="0.35"/>
    <row r="853" ht="14.5" x14ac:dyDescent="0.35"/>
    <row r="854" ht="14.5" x14ac:dyDescent="0.35"/>
    <row r="855" ht="14.5" x14ac:dyDescent="0.35"/>
    <row r="856" ht="14.5" x14ac:dyDescent="0.35"/>
    <row r="857" ht="14.5" x14ac:dyDescent="0.35"/>
    <row r="858" ht="14.5" x14ac:dyDescent="0.35"/>
    <row r="859" ht="14.5" x14ac:dyDescent="0.35"/>
    <row r="860" ht="14.5" x14ac:dyDescent="0.35"/>
    <row r="861" ht="14.5" x14ac:dyDescent="0.35"/>
    <row r="862" ht="14.5" x14ac:dyDescent="0.35"/>
    <row r="863" ht="14.5" x14ac:dyDescent="0.35"/>
    <row r="864" ht="14.5" x14ac:dyDescent="0.35"/>
    <row r="865" ht="14.5" x14ac:dyDescent="0.35"/>
    <row r="866" ht="14.5" x14ac:dyDescent="0.35"/>
    <row r="867" ht="14.5" x14ac:dyDescent="0.35"/>
    <row r="868" ht="14.5" x14ac:dyDescent="0.35"/>
    <row r="869" ht="14.5" x14ac:dyDescent="0.35"/>
    <row r="870" ht="14.5" x14ac:dyDescent="0.35"/>
    <row r="871" ht="14.5" x14ac:dyDescent="0.35"/>
    <row r="872" ht="14.5" x14ac:dyDescent="0.35"/>
    <row r="873" ht="14.5" x14ac:dyDescent="0.35"/>
    <row r="874" ht="14.5" x14ac:dyDescent="0.35"/>
    <row r="875" ht="14.5" x14ac:dyDescent="0.35"/>
    <row r="876" ht="14.5" x14ac:dyDescent="0.35"/>
    <row r="877" ht="14.5" x14ac:dyDescent="0.35"/>
    <row r="878" ht="14.5" x14ac:dyDescent="0.35"/>
    <row r="879" ht="14.5" x14ac:dyDescent="0.35"/>
    <row r="880" ht="14.5" x14ac:dyDescent="0.35"/>
    <row r="881" ht="14.5" x14ac:dyDescent="0.35"/>
    <row r="882" ht="14.5" x14ac:dyDescent="0.35"/>
    <row r="883" ht="14.5" x14ac:dyDescent="0.35"/>
    <row r="884" ht="14.5" x14ac:dyDescent="0.35"/>
    <row r="885" ht="14.5" x14ac:dyDescent="0.35"/>
    <row r="886" ht="14.5" x14ac:dyDescent="0.35"/>
    <row r="887" ht="14.5" x14ac:dyDescent="0.35"/>
    <row r="888" ht="14.5" x14ac:dyDescent="0.35"/>
    <row r="889" ht="14.5" x14ac:dyDescent="0.35"/>
    <row r="890" ht="14.5" x14ac:dyDescent="0.35"/>
    <row r="891" ht="14.5" x14ac:dyDescent="0.35"/>
    <row r="892" ht="14.5" x14ac:dyDescent="0.35"/>
    <row r="893" ht="14.5" x14ac:dyDescent="0.35"/>
    <row r="894" ht="14.5" x14ac:dyDescent="0.35"/>
    <row r="895" ht="14.5" x14ac:dyDescent="0.35"/>
    <row r="896" ht="14.5" x14ac:dyDescent="0.35"/>
    <row r="897" ht="14.5" x14ac:dyDescent="0.35"/>
    <row r="898" ht="14.5" x14ac:dyDescent="0.35"/>
    <row r="899" ht="14.5" x14ac:dyDescent="0.35"/>
    <row r="900" ht="14.5" x14ac:dyDescent="0.35"/>
    <row r="901" ht="14.5" x14ac:dyDescent="0.35"/>
    <row r="902" ht="14.5" x14ac:dyDescent="0.35"/>
    <row r="903" ht="14.5" x14ac:dyDescent="0.35"/>
    <row r="904" ht="14.5" x14ac:dyDescent="0.35"/>
    <row r="905" ht="14.5" x14ac:dyDescent="0.35"/>
    <row r="906" ht="14.5" x14ac:dyDescent="0.35"/>
    <row r="907" ht="14.5" x14ac:dyDescent="0.35"/>
    <row r="908" ht="14.5" x14ac:dyDescent="0.35"/>
    <row r="909" ht="14.5" x14ac:dyDescent="0.35"/>
    <row r="910" ht="14.5" x14ac:dyDescent="0.35"/>
    <row r="911" ht="14.5" x14ac:dyDescent="0.35"/>
    <row r="912" ht="14.5" x14ac:dyDescent="0.35"/>
    <row r="913" ht="14.5" x14ac:dyDescent="0.35"/>
    <row r="914" ht="14.5" x14ac:dyDescent="0.35"/>
    <row r="915" ht="14.5" x14ac:dyDescent="0.35"/>
    <row r="916" ht="14.5" x14ac:dyDescent="0.35"/>
    <row r="917" ht="14.5" x14ac:dyDescent="0.35"/>
    <row r="918" ht="14.5" x14ac:dyDescent="0.35"/>
    <row r="919" ht="14.5" x14ac:dyDescent="0.35"/>
    <row r="920" ht="14.5" x14ac:dyDescent="0.35"/>
    <row r="921" ht="14.5" x14ac:dyDescent="0.35"/>
    <row r="922" ht="14.5" x14ac:dyDescent="0.35"/>
    <row r="923" ht="14.5" x14ac:dyDescent="0.35"/>
    <row r="924" ht="14.5" x14ac:dyDescent="0.35"/>
    <row r="925" ht="14.5" x14ac:dyDescent="0.35"/>
    <row r="926" ht="14.5" x14ac:dyDescent="0.35"/>
    <row r="927" ht="14.5" x14ac:dyDescent="0.35"/>
    <row r="928" ht="14.5" x14ac:dyDescent="0.35"/>
    <row r="929" ht="14.5" x14ac:dyDescent="0.35"/>
    <row r="930" ht="14.5" x14ac:dyDescent="0.35"/>
    <row r="931" ht="14.5" x14ac:dyDescent="0.35"/>
    <row r="932" ht="14.5" x14ac:dyDescent="0.35"/>
    <row r="933" ht="14.5" x14ac:dyDescent="0.35"/>
    <row r="934" ht="14.5" x14ac:dyDescent="0.35"/>
    <row r="935" ht="14.5" x14ac:dyDescent="0.35"/>
    <row r="936" ht="14.5" x14ac:dyDescent="0.35"/>
    <row r="937" ht="14.5" x14ac:dyDescent="0.35"/>
    <row r="938" ht="14.5" x14ac:dyDescent="0.35"/>
    <row r="939" ht="14.5" x14ac:dyDescent="0.35"/>
    <row r="940" ht="14.5" x14ac:dyDescent="0.35"/>
    <row r="941" ht="14.5" x14ac:dyDescent="0.35"/>
    <row r="942" ht="14.5" x14ac:dyDescent="0.35"/>
    <row r="943" ht="14.5" x14ac:dyDescent="0.35"/>
    <row r="944" ht="14.5" x14ac:dyDescent="0.35"/>
    <row r="945" ht="14.5" x14ac:dyDescent="0.35"/>
    <row r="946" ht="14.5" x14ac:dyDescent="0.35"/>
    <row r="947" ht="14.5" x14ac:dyDescent="0.35"/>
    <row r="948" ht="14.5" x14ac:dyDescent="0.35"/>
    <row r="949" ht="14.5" x14ac:dyDescent="0.35"/>
    <row r="950" ht="14.5" x14ac:dyDescent="0.35"/>
    <row r="951" ht="14.5" x14ac:dyDescent="0.35"/>
    <row r="952" ht="14.5" x14ac:dyDescent="0.35"/>
    <row r="953" ht="14.5" x14ac:dyDescent="0.35"/>
    <row r="954" ht="14.5" x14ac:dyDescent="0.35"/>
    <row r="955" ht="14.5" x14ac:dyDescent="0.35"/>
    <row r="956" ht="14.5" x14ac:dyDescent="0.35"/>
    <row r="957" ht="14.5" x14ac:dyDescent="0.35"/>
    <row r="958" ht="14.5" x14ac:dyDescent="0.35"/>
    <row r="959" ht="14.5" x14ac:dyDescent="0.35"/>
    <row r="960" ht="14.5" x14ac:dyDescent="0.35"/>
    <row r="961" ht="14.5" x14ac:dyDescent="0.35"/>
    <row r="962" ht="14.5" x14ac:dyDescent="0.35"/>
    <row r="963" ht="14.5" x14ac:dyDescent="0.35"/>
    <row r="964" ht="14.5" x14ac:dyDescent="0.35"/>
    <row r="965" ht="14.5" x14ac:dyDescent="0.35"/>
    <row r="966" ht="14.5" x14ac:dyDescent="0.35"/>
    <row r="967" ht="14.5" x14ac:dyDescent="0.35"/>
    <row r="968" ht="14.5" x14ac:dyDescent="0.35"/>
    <row r="969" ht="14.5" x14ac:dyDescent="0.35"/>
    <row r="970" ht="14.5" x14ac:dyDescent="0.35"/>
    <row r="971" ht="14.5" x14ac:dyDescent="0.35"/>
    <row r="972" ht="14.5" x14ac:dyDescent="0.35"/>
    <row r="973" ht="14.5" x14ac:dyDescent="0.35"/>
    <row r="974" ht="14.5" x14ac:dyDescent="0.35"/>
    <row r="975" ht="14.5" x14ac:dyDescent="0.35"/>
    <row r="976" ht="14.5" x14ac:dyDescent="0.35"/>
    <row r="977" ht="14.5" x14ac:dyDescent="0.35"/>
    <row r="978" ht="14.5" x14ac:dyDescent="0.35"/>
    <row r="979" ht="14.5" x14ac:dyDescent="0.35"/>
    <row r="980" ht="14.5" x14ac:dyDescent="0.35"/>
    <row r="981" ht="14.5" x14ac:dyDescent="0.35"/>
    <row r="982" ht="14.5" x14ac:dyDescent="0.35"/>
    <row r="983" ht="14.5" x14ac:dyDescent="0.35"/>
    <row r="984" ht="14.5" x14ac:dyDescent="0.35"/>
    <row r="985" ht="14.5" x14ac:dyDescent="0.35"/>
    <row r="986" ht="14.5" x14ac:dyDescent="0.35"/>
    <row r="987" ht="14.5" x14ac:dyDescent="0.35"/>
    <row r="988" ht="14.5" x14ac:dyDescent="0.35"/>
    <row r="989" ht="14.5" x14ac:dyDescent="0.35"/>
    <row r="990" ht="14.5" x14ac:dyDescent="0.35"/>
    <row r="991" ht="14.5" x14ac:dyDescent="0.35"/>
    <row r="992" ht="14.5" x14ac:dyDescent="0.35"/>
    <row r="993" ht="14.5" x14ac:dyDescent="0.35"/>
    <row r="994" ht="14.5" x14ac:dyDescent="0.35"/>
    <row r="995" ht="14.5" x14ac:dyDescent="0.35"/>
    <row r="996" ht="14.5" x14ac:dyDescent="0.35"/>
    <row r="997" ht="14.5" x14ac:dyDescent="0.35"/>
    <row r="998" ht="14.5" x14ac:dyDescent="0.35"/>
    <row r="999" ht="14.5" x14ac:dyDescent="0.35"/>
    <row r="1000" ht="14.5" x14ac:dyDescent="0.35"/>
    <row r="1001" ht="14.5" x14ac:dyDescent="0.35"/>
    <row r="1002" ht="14.5" x14ac:dyDescent="0.35"/>
    <row r="1003" ht="14.5" x14ac:dyDescent="0.35"/>
    <row r="1004" ht="14.5" x14ac:dyDescent="0.35"/>
    <row r="1005" ht="14.5" x14ac:dyDescent="0.35"/>
    <row r="1006" ht="14.5" x14ac:dyDescent="0.35"/>
    <row r="1007" ht="14.5" x14ac:dyDescent="0.35"/>
    <row r="1008" ht="14.5" x14ac:dyDescent="0.35"/>
    <row r="1009" ht="14.5" x14ac:dyDescent="0.35"/>
    <row r="1010" ht="14.5" x14ac:dyDescent="0.35"/>
  </sheetData>
  <mergeCells count="17">
    <mergeCell ref="B84:H84"/>
    <mergeCell ref="B64:B65"/>
    <mergeCell ref="C64:C65"/>
    <mergeCell ref="B52:B53"/>
    <mergeCell ref="C52:C53"/>
    <mergeCell ref="B32:B33"/>
    <mergeCell ref="C32:C33"/>
    <mergeCell ref="B22:B23"/>
    <mergeCell ref="C22:C23"/>
    <mergeCell ref="B16:B17"/>
    <mergeCell ref="C16:C17"/>
    <mergeCell ref="C9:C10"/>
    <mergeCell ref="B1:F1"/>
    <mergeCell ref="B2:C2"/>
    <mergeCell ref="B3:C3"/>
    <mergeCell ref="B5:C5"/>
    <mergeCell ref="B6:C6"/>
  </mergeCells>
  <conditionalFormatting sqref="C31 H60:H61 D69:D70 D66:D67 D54:F63 D71:F82 D29:F31 D49:F51 D18:F20 E66:F70 D24:F27 H18:H20 H66:H68 D11:F13 D34:D48 F34:F48 H34:H49 E34:E47">
    <cfRule type="cellIs" dxfId="15" priority="47" operator="lessThan">
      <formula>0</formula>
    </cfRule>
  </conditionalFormatting>
  <conditionalFormatting sqref="H11:H13">
    <cfRule type="cellIs" dxfId="14" priority="49" operator="lessThan">
      <formula>0</formula>
    </cfRule>
  </conditionalFormatting>
  <conditionalFormatting sqref="H27 H29:H31 H50:H51 H63 H70 H72 H74 H76 H78 H80 H82">
    <cfRule type="cellIs" dxfId="13" priority="50" operator="lessThan">
      <formula>0</formula>
    </cfRule>
  </conditionalFormatting>
  <conditionalFormatting sqref="H62">
    <cfRule type="cellIs" dxfId="12" priority="52" operator="lessThan">
      <formula>0</formula>
    </cfRule>
  </conditionalFormatting>
  <conditionalFormatting sqref="E48">
    <cfRule type="cellIs" dxfId="11" priority="53" operator="lessThan">
      <formula>0</formula>
    </cfRule>
  </conditionalFormatting>
  <conditionalFormatting sqref="E48">
    <cfRule type="cellIs" dxfId="10" priority="54" operator="lessThan">
      <formula>0</formula>
    </cfRule>
  </conditionalFormatting>
  <conditionalFormatting sqref="H71">
    <cfRule type="cellIs" dxfId="9" priority="55" operator="lessThan">
      <formula>0</formula>
    </cfRule>
  </conditionalFormatting>
  <conditionalFormatting sqref="H73">
    <cfRule type="cellIs" dxfId="8" priority="57" operator="lessThan">
      <formula>0</formula>
    </cfRule>
  </conditionalFormatting>
  <conditionalFormatting sqref="H75">
    <cfRule type="cellIs" dxfId="7" priority="58" operator="lessThan">
      <formula>0</formula>
    </cfRule>
  </conditionalFormatting>
  <conditionalFormatting sqref="H77">
    <cfRule type="cellIs" dxfId="6" priority="59" operator="lessThan">
      <formula>0</formula>
    </cfRule>
  </conditionalFormatting>
  <conditionalFormatting sqref="H79">
    <cfRule type="cellIs" dxfId="5" priority="61" operator="lessThan">
      <formula>0</formula>
    </cfRule>
  </conditionalFormatting>
  <conditionalFormatting sqref="H81">
    <cfRule type="cellIs" dxfId="4" priority="62" operator="lessThan">
      <formula>0</formula>
    </cfRule>
  </conditionalFormatting>
  <conditionalFormatting sqref="D68">
    <cfRule type="cellIs" dxfId="3" priority="63" operator="lessThan">
      <formula>0</formula>
    </cfRule>
  </conditionalFormatting>
  <conditionalFormatting sqref="H54:H59">
    <cfRule type="cellIs" dxfId="2" priority="5" operator="lessThan">
      <formula>0</formula>
    </cfRule>
  </conditionalFormatting>
  <conditionalFormatting sqref="H69">
    <cfRule type="cellIs" dxfId="1" priority="4" operator="lessThan">
      <formula>0</formula>
    </cfRule>
  </conditionalFormatting>
  <conditionalFormatting sqref="H24:H26">
    <cfRule type="cellIs" dxfId="0" priority="3" operator="lessThan">
      <formula>0</formula>
    </cfRule>
  </conditionalFormatting>
  <pageMargins left="0.25" right="0.25" top="0.75" bottom="0.75" header="0.3" footer="0.3"/>
  <pageSetup scale="15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00B050"/>
          <x14:sparklines>
            <x14:sparkline>
              <xm:f>'INCOME STATEMENT - 3 YEARS'!D56:F56</xm:f>
              <xm:sqref>C56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YEARS'!D54:F54</xm:f>
              <xm:sqref>C54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YEARS'!D57:F57</xm:f>
              <xm:sqref>C57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YEARS'!D55:F55</xm:f>
              <xm:sqref>C55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YEARS'!D58:F58</xm:f>
              <xm:sqref>C58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YEARS'!D59:F59</xm:f>
              <xm:sqref>C59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YEARS'!D60:F60</xm:f>
              <xm:sqref>C60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YEARS'!D62:F62</xm:f>
              <xm:sqref>C62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YEARS'!D81:F81</xm:f>
              <xm:sqref>C81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YEARS'!D73:F73</xm:f>
              <xm:sqref>C73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YEARS'!D77:F77</xm:f>
              <xm:sqref>C77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YEARS'!D79:F79</xm:f>
              <xm:sqref>C79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YEARS'!D75:F75</xm:f>
              <xm:sqref>C75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YEARS'!D71:F71</xm:f>
              <xm:sqref>C71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YEARS'!D69:F69</xm:f>
              <xm:sqref>C69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YEARS'!D68:F68</xm:f>
              <xm:sqref>C68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YEARS'!D67:F67</xm:f>
              <xm:sqref>C67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YEARS'!D66:F66</xm:f>
              <xm:sqref>C66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YEARS'!D49:F49</xm:f>
              <xm:sqref>C49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YEARS'!D48:F48</xm:f>
              <xm:sqref>C48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YEARS'!D44:F44</xm:f>
              <xm:sqref>C44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YEARS'!D43:F43</xm:f>
              <xm:sqref>C43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YEARS'!D42:F42</xm:f>
              <xm:sqref>C42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YEARS'!D41:F41</xm:f>
              <xm:sqref>C41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YEARS'!D40:F40</xm:f>
              <xm:sqref>C40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YEARS'!D39:F39</xm:f>
              <xm:sqref>C39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YEARS'!D38:F38</xm:f>
              <xm:sqref>C38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YEARS'!D36:F36</xm:f>
              <xm:sqref>C36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YEARS'!D35:F35</xm:f>
              <xm:sqref>C35</xm:sqref>
            </x14:sparkline>
            <x14:sparkline>
              <xm:f>'INCOME STATEMENT - 3 YEARS'!D34:F34</xm:f>
              <xm:sqref>C34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YEARS'!D29:F29</xm:f>
              <xm:sqref>C29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YEARS'!D27:F27</xm:f>
              <xm:sqref>C27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YEARS'!D26:F26</xm:f>
              <xm:sqref>C26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YEARS'!D25:F25</xm:f>
              <xm:sqref>C25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YEARS'!D24:F24</xm:f>
              <xm:sqref>C24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YEARS'!D20:F20</xm:f>
              <xm:sqref>C20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YEARS'!D19:F19</xm:f>
              <xm:sqref>C19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YEARS'!D18:F18</xm:f>
              <xm:sqref>C18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YEARS'!D13:F13</xm:f>
              <xm:sqref>C13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YEARS'!D12:F12</xm:f>
              <xm:sqref>C12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YEARS'!D11:F11</xm:f>
              <xm:sqref>C11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YEARS'!D45:F45</xm:f>
              <xm:sqref>C45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YEARS'!D37:F37</xm:f>
              <xm:sqref>C37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YEARS'!D46:F46</xm:f>
              <xm:sqref>C46</xm:sqref>
            </x14:sparkline>
          </x14:sparklines>
        </x14:sparklineGroup>
        <x14:sparklineGroup displayEmptyCellsAs="gap">
          <x14:colorSeries rgb="FF00B050"/>
          <x14:sparklines>
            <x14:sparkline>
              <xm:f>'INCOME STATEMENT - 3 YEARS'!D47:F47</xm:f>
              <xm:sqref>C47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546A"/>
    <pageSetUpPr fitToPage="1"/>
  </sheetPr>
  <dimension ref="A1:R1006"/>
  <sheetViews>
    <sheetView showGridLines="0" zoomScale="50" zoomScaleNormal="50" workbookViewId="0">
      <pane ySplit="3" topLeftCell="A28" activePane="bottomLeft" state="frozen"/>
      <selection pane="bottomLeft" activeCell="B1" sqref="B1:G45"/>
    </sheetView>
  </sheetViews>
  <sheetFormatPr defaultColWidth="14.453125" defaultRowHeight="15" customHeight="1" x14ac:dyDescent="0.35"/>
  <cols>
    <col min="1" max="1" width="3.36328125" customWidth="1"/>
    <col min="2" max="2" width="61.1796875" customWidth="1"/>
    <col min="3" max="3" width="25.81640625" customWidth="1"/>
    <col min="4" max="5" width="22.1796875" bestFit="1" customWidth="1"/>
    <col min="6" max="6" width="4.453125" style="238" customWidth="1"/>
    <col min="7" max="7" width="24.6328125" bestFit="1" customWidth="1"/>
    <col min="8" max="8" width="10.81640625" customWidth="1"/>
    <col min="9" max="9" width="16.26953125" bestFit="1" customWidth="1"/>
    <col min="10" max="18" width="10.81640625" customWidth="1"/>
  </cols>
  <sheetData>
    <row r="1" spans="1:18" ht="42" customHeight="1" x14ac:dyDescent="0.35">
      <c r="A1" s="1"/>
      <c r="B1" s="2" t="s">
        <v>78</v>
      </c>
      <c r="C1" s="2"/>
      <c r="D1" s="1"/>
      <c r="E1" s="1"/>
      <c r="F1" s="239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8.75" customHeight="1" x14ac:dyDescent="0.35">
      <c r="A2" s="3"/>
      <c r="B2" s="4" t="s">
        <v>200</v>
      </c>
      <c r="C2" s="258" t="s">
        <v>196</v>
      </c>
      <c r="D2" s="258" t="s">
        <v>197</v>
      </c>
      <c r="E2" s="258" t="s">
        <v>198</v>
      </c>
      <c r="F2" s="239"/>
      <c r="G2" s="258" t="s">
        <v>79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18.75" customHeight="1" x14ac:dyDescent="0.35">
      <c r="A3" s="3"/>
      <c r="B3" s="6"/>
      <c r="C3" s="259" t="s">
        <v>4</v>
      </c>
      <c r="D3" s="259" t="s">
        <v>4</v>
      </c>
      <c r="E3" s="260" t="s">
        <v>4</v>
      </c>
      <c r="F3" s="239"/>
      <c r="G3" s="261" t="s">
        <v>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s="102" customFormat="1" ht="16" customHeight="1" x14ac:dyDescent="0.35">
      <c r="A4" s="3"/>
      <c r="B4" s="6"/>
      <c r="C4" s="232" t="s">
        <v>128</v>
      </c>
      <c r="D4" s="232" t="s">
        <v>128</v>
      </c>
      <c r="E4" s="232" t="s">
        <v>128</v>
      </c>
      <c r="F4" s="239"/>
      <c r="G4" s="232" t="s">
        <v>128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ht="10.5" customHeight="1" x14ac:dyDescent="0.35">
      <c r="A5" s="3"/>
      <c r="B5" s="8"/>
      <c r="C5" s="9"/>
      <c r="D5" s="9"/>
      <c r="E5" s="9"/>
      <c r="F5" s="239"/>
      <c r="G5" s="59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ht="18" customHeight="1" x14ac:dyDescent="0.35">
      <c r="A6" s="10"/>
      <c r="B6" s="240"/>
      <c r="C6" s="9"/>
      <c r="D6" s="9"/>
      <c r="E6" s="9"/>
      <c r="F6" s="239"/>
      <c r="G6" s="59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spans="1:18" s="190" customFormat="1" ht="18" customHeight="1" x14ac:dyDescent="0.35">
      <c r="A7" s="10"/>
      <c r="B7" s="61" t="s">
        <v>214</v>
      </c>
      <c r="C7" s="249">
        <f>0</f>
        <v>0</v>
      </c>
      <c r="D7" s="249">
        <f>0</f>
        <v>0</v>
      </c>
      <c r="E7" s="249">
        <f>0</f>
        <v>0</v>
      </c>
      <c r="F7" s="250"/>
      <c r="G7" s="59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8" ht="18" customHeight="1" x14ac:dyDescent="0.35">
      <c r="A8" s="10"/>
      <c r="B8" s="241"/>
      <c r="C8" s="249"/>
      <c r="D8" s="249"/>
      <c r="E8" s="249"/>
      <c r="F8" s="250"/>
      <c r="G8" s="59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1:18" ht="18" customHeight="1" x14ac:dyDescent="0.35">
      <c r="A9" s="10"/>
      <c r="B9" s="60" t="str">
        <f>'REVENUE GENERATION'!B4</f>
        <v>Bike Rental</v>
      </c>
      <c r="C9" s="249">
        <f>'REVENUE GENERATION'!O4</f>
        <v>131400000</v>
      </c>
      <c r="D9" s="249">
        <f>C9</f>
        <v>131400000</v>
      </c>
      <c r="E9" s="249">
        <f>D9</f>
        <v>131400000</v>
      </c>
      <c r="F9" s="250"/>
      <c r="G9" s="59">
        <f>SUM(C9:E9)</f>
        <v>394200000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spans="1:18" ht="18" customHeight="1" x14ac:dyDescent="0.35">
      <c r="A10" s="10"/>
      <c r="B10" s="60" t="str">
        <f>'REVENUE GENERATION'!B5</f>
        <v>Battery Swap</v>
      </c>
      <c r="C10" s="249">
        <f>'REVENUE GENERATION'!O5</f>
        <v>0</v>
      </c>
      <c r="D10" s="249">
        <f>C10</f>
        <v>0</v>
      </c>
      <c r="E10" s="249">
        <f>D10</f>
        <v>0</v>
      </c>
      <c r="F10" s="250"/>
      <c r="G10" s="59">
        <f t="shared" ref="G10:G44" si="0">SUM(C10:E10)</f>
        <v>0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</row>
    <row r="11" spans="1:18" s="248" customFormat="1" ht="18" customHeight="1" x14ac:dyDescent="0.35">
      <c r="A11" s="247"/>
      <c r="B11" s="242" t="s">
        <v>213</v>
      </c>
      <c r="C11" s="14">
        <f>SUM(C9:C10)</f>
        <v>131400000</v>
      </c>
      <c r="D11" s="14">
        <f t="shared" ref="D11" si="1">SUM(D9:D10)</f>
        <v>131400000</v>
      </c>
      <c r="E11" s="14">
        <f t="shared" ref="E11" si="2">SUM(E9:E10)</f>
        <v>131400000</v>
      </c>
      <c r="F11" s="239"/>
      <c r="G11" s="59">
        <f t="shared" si="0"/>
        <v>394200000</v>
      </c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</row>
    <row r="12" spans="1:18" ht="18" customHeight="1" x14ac:dyDescent="0.35">
      <c r="A12" s="10"/>
      <c r="B12" s="242" t="s">
        <v>205</v>
      </c>
      <c r="C12" s="249">
        <v>0</v>
      </c>
      <c r="D12" s="249">
        <v>0</v>
      </c>
      <c r="E12" s="249">
        <v>0</v>
      </c>
      <c r="F12" s="250"/>
      <c r="G12" s="59">
        <f t="shared" si="0"/>
        <v>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 spans="1:18" ht="18" customHeight="1" x14ac:dyDescent="0.35">
      <c r="A13" s="10"/>
      <c r="B13" s="60" t="s">
        <v>238</v>
      </c>
      <c r="C13" s="249">
        <f>'INCOME STATEMENT - 3 YEARS'!D34</f>
        <v>6000000</v>
      </c>
      <c r="D13" s="249">
        <f>'INCOME STATEMENT - 3 YEARS'!E34</f>
        <v>0</v>
      </c>
      <c r="E13" s="249">
        <f>'INCOME STATEMENT - 3 YEARS'!F34</f>
        <v>0</v>
      </c>
      <c r="F13" s="250"/>
      <c r="G13" s="59">
        <f t="shared" si="0"/>
        <v>6000000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spans="1:18" ht="15.75" customHeight="1" x14ac:dyDescent="0.35">
      <c r="A14" s="10"/>
      <c r="B14" s="60" t="str">
        <f>'INCOME STATEMENT - 3 YEARS'!B35</f>
        <v>Office Equipments</v>
      </c>
      <c r="C14" s="249">
        <f>'INCOME STATEMENT - 3 YEARS'!D35</f>
        <v>166904771.09999999</v>
      </c>
      <c r="D14" s="249">
        <f>'INCOME STATEMENT - 3 YEARS'!E35</f>
        <v>0</v>
      </c>
      <c r="E14" s="249">
        <f>'INCOME STATEMENT - 3 YEARS'!F35</f>
        <v>0</v>
      </c>
      <c r="F14" s="250"/>
      <c r="G14" s="59">
        <f t="shared" si="0"/>
        <v>166904771.09999999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spans="1:18" ht="18" customHeight="1" x14ac:dyDescent="0.35">
      <c r="A15" s="10"/>
      <c r="B15" s="60" t="str">
        <f>'INCOME STATEMENT - 3 YEARS'!B43</f>
        <v>Purchase of Machinery</v>
      </c>
      <c r="C15" s="249">
        <f>'INCOME STATEMENT - 3 YEARS'!D43</f>
        <v>68647500</v>
      </c>
      <c r="D15" s="249">
        <f>'INCOME STATEMENT - 3 YEARS'!E43</f>
        <v>0</v>
      </c>
      <c r="E15" s="249">
        <f>'INCOME STATEMENT - 3 YEARS'!F43</f>
        <v>0</v>
      </c>
      <c r="F15" s="250"/>
      <c r="G15" s="59">
        <f t="shared" si="0"/>
        <v>68647500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1:18" ht="18" customHeight="1" x14ac:dyDescent="0.35">
      <c r="A16" s="10"/>
      <c r="B16" s="60" t="s">
        <v>81</v>
      </c>
      <c r="C16" s="249">
        <v>0</v>
      </c>
      <c r="D16" s="249">
        <v>0</v>
      </c>
      <c r="E16" s="249">
        <v>0</v>
      </c>
      <c r="F16" s="250"/>
      <c r="G16" s="59">
        <f t="shared" si="0"/>
        <v>0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spans="1:18" s="248" customFormat="1" ht="18" customHeight="1" x14ac:dyDescent="0.35">
      <c r="A17" s="247"/>
      <c r="B17" s="243" t="s">
        <v>215</v>
      </c>
      <c r="C17" s="14">
        <f>SUM(C13:C16)</f>
        <v>241552271.09999999</v>
      </c>
      <c r="D17" s="14">
        <f t="shared" ref="D17" si="3">SUM(D13:D16)</f>
        <v>0</v>
      </c>
      <c r="E17" s="14">
        <f t="shared" ref="E17" si="4">SUM(E13:E16)</f>
        <v>0</v>
      </c>
      <c r="F17" s="239"/>
      <c r="G17" s="59">
        <f t="shared" si="0"/>
        <v>241552271.09999999</v>
      </c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</row>
    <row r="18" spans="1:18" ht="19.5" customHeight="1" x14ac:dyDescent="0.35">
      <c r="A18" s="10"/>
      <c r="B18" s="243" t="s">
        <v>80</v>
      </c>
      <c r="C18" s="249">
        <v>0</v>
      </c>
      <c r="D18" s="249">
        <v>0</v>
      </c>
      <c r="E18" s="249">
        <v>0</v>
      </c>
      <c r="F18" s="250"/>
      <c r="G18" s="59">
        <f t="shared" si="0"/>
        <v>0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spans="1:18" s="238" customFormat="1" ht="19.5" customHeight="1" x14ac:dyDescent="0.35">
      <c r="A19" s="10"/>
      <c r="B19" s="245" t="str">
        <f>'INCOME STATEMENT'!B35</f>
        <v xml:space="preserve">Salaries &amp; Wages </v>
      </c>
      <c r="C19" s="249">
        <f>'INCOME STATEMENT - 3 YEARS'!D36</f>
        <v>14760000</v>
      </c>
      <c r="D19" s="249">
        <f t="shared" ref="D19:E24" si="5">C19</f>
        <v>14760000</v>
      </c>
      <c r="E19" s="249">
        <f t="shared" si="5"/>
        <v>14760000</v>
      </c>
      <c r="F19" s="250"/>
      <c r="G19" s="59">
        <f t="shared" si="0"/>
        <v>44280000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 spans="1:18" s="238" customFormat="1" ht="19.5" customHeight="1" x14ac:dyDescent="0.35">
      <c r="A20" s="10"/>
      <c r="B20" s="245" t="str">
        <f>'INCOME STATEMENT'!B36</f>
        <v>Staff Welfare, Medicals and Entertainment</v>
      </c>
      <c r="C20" s="249">
        <f>'INCOME STATEMENT'!D36</f>
        <v>0</v>
      </c>
      <c r="D20" s="249">
        <f t="shared" si="5"/>
        <v>0</v>
      </c>
      <c r="E20" s="249">
        <f t="shared" si="5"/>
        <v>0</v>
      </c>
      <c r="F20" s="250"/>
      <c r="G20" s="59">
        <f t="shared" si="0"/>
        <v>0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spans="1:18" s="238" customFormat="1" ht="19.5" customHeight="1" x14ac:dyDescent="0.35">
      <c r="A21" s="10"/>
      <c r="B21" s="245" t="str">
        <f>'INCOME STATEMENT'!B37</f>
        <v>Training and Development</v>
      </c>
      <c r="C21" s="249">
        <f>'INCOME STATEMENT'!D37</f>
        <v>0</v>
      </c>
      <c r="D21" s="249">
        <f t="shared" si="5"/>
        <v>0</v>
      </c>
      <c r="E21" s="249">
        <f t="shared" si="5"/>
        <v>0</v>
      </c>
      <c r="F21" s="250"/>
      <c r="G21" s="59">
        <f t="shared" si="0"/>
        <v>0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spans="1:18" s="238" customFormat="1" ht="19.5" customHeight="1" x14ac:dyDescent="0.35">
      <c r="A22" s="10"/>
      <c r="B22" s="245" t="str">
        <f>'INCOME STATEMENT'!B38</f>
        <v xml:space="preserve">Rent and Mortgage </v>
      </c>
      <c r="C22" s="249">
        <f>'INCOME STATEMENT'!D38</f>
        <v>1000000</v>
      </c>
      <c r="D22" s="249">
        <f t="shared" si="5"/>
        <v>1000000</v>
      </c>
      <c r="E22" s="249">
        <f t="shared" si="5"/>
        <v>1000000</v>
      </c>
      <c r="F22" s="250"/>
      <c r="G22" s="59">
        <f t="shared" si="0"/>
        <v>3000000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18" s="238" customFormat="1" ht="19.5" customHeight="1" x14ac:dyDescent="0.35">
      <c r="A23" s="10"/>
      <c r="B23" s="245" t="str">
        <f>'INCOME STATEMENT'!B39</f>
        <v>Office Supplies</v>
      </c>
      <c r="C23" s="249">
        <f>'INCOME STATEMENT'!D39</f>
        <v>0</v>
      </c>
      <c r="D23" s="249">
        <f t="shared" si="5"/>
        <v>0</v>
      </c>
      <c r="E23" s="249">
        <f t="shared" si="5"/>
        <v>0</v>
      </c>
      <c r="F23" s="250"/>
      <c r="G23" s="59">
        <f t="shared" si="0"/>
        <v>0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 spans="1:18" s="238" customFormat="1" ht="19.5" customHeight="1" x14ac:dyDescent="0.35">
      <c r="A24" s="10"/>
      <c r="B24" s="245" t="str">
        <f>'INCOME STATEMENT'!B40</f>
        <v>Utilities</v>
      </c>
      <c r="C24" s="249">
        <f>'INCOME STATEMENT'!D40</f>
        <v>0</v>
      </c>
      <c r="D24" s="249">
        <f t="shared" si="5"/>
        <v>0</v>
      </c>
      <c r="E24" s="249">
        <f t="shared" si="5"/>
        <v>0</v>
      </c>
      <c r="F24" s="250"/>
      <c r="G24" s="59">
        <f t="shared" si="0"/>
        <v>0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 spans="1:18" s="238" customFormat="1" ht="19.5" customHeight="1" x14ac:dyDescent="0.35">
      <c r="A25" s="10"/>
      <c r="B25" s="245" t="str">
        <f>'INCOME STATEMENT'!B41</f>
        <v>Advertising, Marketing, and Promotions</v>
      </c>
      <c r="C25" s="249">
        <f>'INCOME STATEMENT - 3 YEARS'!D42</f>
        <v>1000000.0000000001</v>
      </c>
      <c r="D25" s="249">
        <f>'INCOME STATEMENT - 3 YEARS'!E42</f>
        <v>1000000.0000000001</v>
      </c>
      <c r="E25" s="249">
        <f>'INCOME STATEMENT - 3 YEARS'!F42</f>
        <v>1000000.0000000001</v>
      </c>
      <c r="F25" s="250"/>
      <c r="G25" s="59">
        <f t="shared" si="0"/>
        <v>3000000.0000000005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 spans="1:18" s="238" customFormat="1" ht="19.5" customHeight="1" x14ac:dyDescent="0.35">
      <c r="A26" s="10"/>
      <c r="B26" s="245" t="str">
        <f>'INCOME STATEMENT'!B43</f>
        <v>Repairs and Maintainance</v>
      </c>
      <c r="C26" s="249">
        <f>'INCOME STATEMENT - 3 YEARS'!D44</f>
        <v>3600000</v>
      </c>
      <c r="D26" s="249">
        <f>'INCOME STATEMENT - 3 YEARS'!E44</f>
        <v>3600000</v>
      </c>
      <c r="E26" s="249">
        <f>'INCOME STATEMENT - 3 YEARS'!F44</f>
        <v>3600000</v>
      </c>
      <c r="F26" s="250"/>
      <c r="G26" s="59">
        <f t="shared" si="0"/>
        <v>10800000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 spans="1:18" s="238" customFormat="1" ht="19.5" customHeight="1" x14ac:dyDescent="0.35">
      <c r="A27" s="10"/>
      <c r="B27" s="245" t="str">
        <f>'INCOME STATEMENT'!B44</f>
        <v>Bike Assembly</v>
      </c>
      <c r="C27" s="249">
        <f>'INCOME STATEMENT - 3 YEARS'!D45</f>
        <v>420000</v>
      </c>
      <c r="D27" s="249">
        <v>0</v>
      </c>
      <c r="E27" s="249">
        <f t="shared" ref="D27:E31" si="6">D27</f>
        <v>0</v>
      </c>
      <c r="F27" s="250"/>
      <c r="G27" s="59">
        <f t="shared" si="0"/>
        <v>420000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8" spans="1:18" s="238" customFormat="1" ht="19.5" customHeight="1" x14ac:dyDescent="0.35">
      <c r="A28" s="10"/>
      <c r="B28" s="245" t="str">
        <f>'INCOME STATEMENT'!B45</f>
        <v>Internet and communication</v>
      </c>
      <c r="C28" s="249">
        <f>'INCOME STATEMENT'!D45</f>
        <v>38000</v>
      </c>
      <c r="D28" s="249">
        <f t="shared" si="6"/>
        <v>38000</v>
      </c>
      <c r="E28" s="249">
        <f t="shared" si="6"/>
        <v>38000</v>
      </c>
      <c r="F28" s="250"/>
      <c r="G28" s="59">
        <f t="shared" si="0"/>
        <v>114000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 spans="1:18" s="238" customFormat="1" ht="19.5" customHeight="1" x14ac:dyDescent="0.35">
      <c r="A29" s="10"/>
      <c r="B29" s="245" t="str">
        <f>'INCOME STATEMENT'!B46</f>
        <v>Shipping and Clearance</v>
      </c>
      <c r="C29" s="249">
        <f>'INCOME STATEMENT'!D46</f>
        <v>2600000</v>
      </c>
      <c r="D29" s="249">
        <v>0</v>
      </c>
      <c r="E29" s="249">
        <f t="shared" ref="E29" si="7">D29</f>
        <v>0</v>
      </c>
      <c r="F29" s="250"/>
      <c r="G29" s="59">
        <f t="shared" ref="G29:G30" si="8">SUM(C29:E29)</f>
        <v>2600000</v>
      </c>
      <c r="H29" s="10"/>
      <c r="I29" s="283">
        <v>0</v>
      </c>
      <c r="J29" s="10"/>
      <c r="K29" s="10"/>
      <c r="L29" s="10"/>
      <c r="M29" s="10"/>
      <c r="N29" s="10"/>
      <c r="O29" s="10"/>
      <c r="P29" s="10"/>
      <c r="Q29" s="10"/>
      <c r="R29" s="10"/>
    </row>
    <row r="30" spans="1:18" s="238" customFormat="1" ht="19.5" customHeight="1" x14ac:dyDescent="0.35">
      <c r="A30" s="10"/>
      <c r="B30" s="245" t="str">
        <f>'INCOME STATEMENT'!B47</f>
        <v>Others</v>
      </c>
      <c r="C30" s="249">
        <f>'INCOME STATEMENT'!D47</f>
        <v>25000</v>
      </c>
      <c r="D30" s="249">
        <f t="shared" ref="D30:E30" si="9">C30</f>
        <v>25000</v>
      </c>
      <c r="E30" s="249">
        <f t="shared" si="9"/>
        <v>25000</v>
      </c>
      <c r="F30" s="250"/>
      <c r="G30" s="59">
        <f t="shared" si="8"/>
        <v>75000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</row>
    <row r="31" spans="1:18" s="238" customFormat="1" ht="18" customHeight="1" x14ac:dyDescent="0.35">
      <c r="A31" s="10"/>
      <c r="B31" s="246" t="str">
        <f>'INCOME STATEMENT'!B53</f>
        <v>Depreciation and Amortization</v>
      </c>
      <c r="C31" s="249">
        <v>0</v>
      </c>
      <c r="D31" s="249">
        <f t="shared" si="6"/>
        <v>0</v>
      </c>
      <c r="E31" s="249">
        <f t="shared" si="6"/>
        <v>0</v>
      </c>
      <c r="F31" s="250"/>
      <c r="G31" s="59">
        <f t="shared" si="0"/>
        <v>0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</row>
    <row r="32" spans="1:18" s="238" customFormat="1" ht="18" customHeight="1" x14ac:dyDescent="0.35">
      <c r="A32" s="10"/>
      <c r="B32" s="246" t="str">
        <f>'INCOME STATEMENT'!B54</f>
        <v>Licensing</v>
      </c>
      <c r="C32" s="249">
        <f>'INCOME STATEMENT'!D54</f>
        <v>2220000</v>
      </c>
      <c r="D32" s="249">
        <v>0</v>
      </c>
      <c r="E32" s="249">
        <f>D32</f>
        <v>0</v>
      </c>
      <c r="F32" s="250"/>
      <c r="G32" s="59">
        <f t="shared" si="0"/>
        <v>2220000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</row>
    <row r="33" spans="1:18" s="238" customFormat="1" ht="18" customHeight="1" x14ac:dyDescent="0.35">
      <c r="A33" s="10"/>
      <c r="B33" s="246" t="str">
        <f>'INCOME STATEMENT'!B57</f>
        <v>Insurance</v>
      </c>
      <c r="C33" s="249">
        <f>'INCOME STATEMENT'!D57</f>
        <v>0</v>
      </c>
      <c r="D33" s="249">
        <f>C33</f>
        <v>0</v>
      </c>
      <c r="E33" s="249">
        <f>D33</f>
        <v>0</v>
      </c>
      <c r="F33" s="250"/>
      <c r="G33" s="59">
        <f t="shared" si="0"/>
        <v>0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</row>
    <row r="34" spans="1:18" s="248" customFormat="1" ht="26" customHeight="1" x14ac:dyDescent="0.35">
      <c r="A34" s="247"/>
      <c r="B34" s="16" t="s">
        <v>212</v>
      </c>
      <c r="C34" s="14">
        <f>SUM(C19:C33)</f>
        <v>25663000</v>
      </c>
      <c r="D34" s="14">
        <f>SUM(D19:D33)</f>
        <v>20423000</v>
      </c>
      <c r="E34" s="14">
        <f>SUM(E19:E33)</f>
        <v>20423000</v>
      </c>
      <c r="F34" s="239"/>
      <c r="G34" s="59">
        <f t="shared" si="0"/>
        <v>66509000</v>
      </c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</row>
    <row r="35" spans="1:18" ht="29.5" customHeight="1" x14ac:dyDescent="0.35">
      <c r="A35" s="10"/>
      <c r="B35" s="16" t="s">
        <v>206</v>
      </c>
      <c r="C35" s="249">
        <v>0</v>
      </c>
      <c r="D35" s="249">
        <f>C35</f>
        <v>0</v>
      </c>
      <c r="E35" s="249">
        <f>D35</f>
        <v>0</v>
      </c>
      <c r="F35" s="250"/>
      <c r="G35" s="59">
        <f t="shared" si="0"/>
        <v>0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</row>
    <row r="36" spans="1:18" ht="15.75" customHeight="1" x14ac:dyDescent="0.35">
      <c r="A36" s="10"/>
      <c r="B36" s="62"/>
      <c r="C36" s="249">
        <v>0</v>
      </c>
      <c r="D36" s="249">
        <f>C36</f>
        <v>0</v>
      </c>
      <c r="E36" s="249">
        <f>D36</f>
        <v>0</v>
      </c>
      <c r="F36" s="250"/>
      <c r="G36" s="59">
        <f t="shared" si="0"/>
        <v>0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</row>
    <row r="37" spans="1:18" s="238" customFormat="1" ht="18" customHeight="1" x14ac:dyDescent="0.35">
      <c r="A37" s="10"/>
      <c r="B37" s="244" t="s">
        <v>207</v>
      </c>
      <c r="C37" s="249">
        <f>C34*1%</f>
        <v>256630</v>
      </c>
      <c r="D37" s="249">
        <f t="shared" ref="D37" si="10">D34*1%</f>
        <v>204230</v>
      </c>
      <c r="E37" s="249">
        <f t="shared" ref="E37" si="11">E34*1%</f>
        <v>204230</v>
      </c>
      <c r="F37" s="250"/>
      <c r="G37" s="59">
        <f t="shared" si="0"/>
        <v>665090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</row>
    <row r="38" spans="1:18" s="238" customFormat="1" ht="18" customHeight="1" x14ac:dyDescent="0.35">
      <c r="A38" s="10"/>
      <c r="B38" s="244" t="s">
        <v>210</v>
      </c>
      <c r="C38" s="249">
        <f>'INCOME STATEMENT - 3 YEARS'!D73</f>
        <v>0</v>
      </c>
      <c r="D38" s="249">
        <f>'INCOME STATEMENT - 3 YEARS'!E73</f>
        <v>0</v>
      </c>
      <c r="E38" s="249">
        <f>'INCOME STATEMENT - 3 YEARS'!F73</f>
        <v>27967056.866999999</v>
      </c>
      <c r="F38" s="250"/>
      <c r="G38" s="59">
        <f t="shared" si="0"/>
        <v>27967056.866999999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</row>
    <row r="39" spans="1:18" s="238" customFormat="1" ht="18" customHeight="1" x14ac:dyDescent="0.35">
      <c r="A39" s="10"/>
      <c r="B39" s="60" t="s">
        <v>82</v>
      </c>
      <c r="C39" s="249">
        <v>0</v>
      </c>
      <c r="D39" s="249">
        <f t="shared" ref="D39:E40" si="12">C39</f>
        <v>0</v>
      </c>
      <c r="E39" s="249">
        <f t="shared" si="12"/>
        <v>0</v>
      </c>
      <c r="F39" s="250"/>
      <c r="G39" s="59">
        <f t="shared" si="0"/>
        <v>0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</row>
    <row r="40" spans="1:18" s="238" customFormat="1" ht="18" customHeight="1" x14ac:dyDescent="0.35">
      <c r="A40" s="10"/>
      <c r="B40" s="60" t="s">
        <v>83</v>
      </c>
      <c r="C40" s="249">
        <v>0</v>
      </c>
      <c r="D40" s="249">
        <f t="shared" si="12"/>
        <v>0</v>
      </c>
      <c r="E40" s="249">
        <f t="shared" si="12"/>
        <v>0</v>
      </c>
      <c r="F40" s="250"/>
      <c r="G40" s="59">
        <f t="shared" si="0"/>
        <v>0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</row>
    <row r="41" spans="1:18" ht="18" customHeight="1" x14ac:dyDescent="0.35">
      <c r="A41" s="10"/>
      <c r="B41" s="244" t="s">
        <v>208</v>
      </c>
      <c r="C41" s="249">
        <f>(SUM(C34:C39)/1000*2)</f>
        <v>51839.26</v>
      </c>
      <c r="D41" s="249">
        <f t="shared" ref="D41" si="13">(SUM(D34:D39)/1000*2)</f>
        <v>41254.46</v>
      </c>
      <c r="E41" s="249">
        <f t="shared" ref="E41" si="14">(SUM(E34:E39)/1000*2)</f>
        <v>97188.573733999991</v>
      </c>
      <c r="F41" s="250"/>
      <c r="G41" s="59">
        <f t="shared" si="0"/>
        <v>190282.29373400001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</row>
    <row r="42" spans="1:18" s="248" customFormat="1" ht="28" customHeight="1" x14ac:dyDescent="0.35">
      <c r="A42" s="247"/>
      <c r="B42" s="242" t="s">
        <v>211</v>
      </c>
      <c r="C42" s="14">
        <f>SUM(C37:C41)</f>
        <v>308469.26</v>
      </c>
      <c r="D42" s="14">
        <f t="shared" ref="D42" si="15">SUM(D37:D41)</f>
        <v>245484.46</v>
      </c>
      <c r="E42" s="14">
        <f t="shared" ref="E42" si="16">SUM(E37:E41)</f>
        <v>28268475.440733999</v>
      </c>
      <c r="F42" s="239"/>
      <c r="G42" s="59">
        <f t="shared" si="0"/>
        <v>28822429.160733998</v>
      </c>
      <c r="H42" s="247"/>
      <c r="I42" s="247"/>
      <c r="J42" s="247"/>
      <c r="K42" s="247"/>
      <c r="L42" s="247"/>
      <c r="M42" s="247"/>
      <c r="N42" s="247"/>
      <c r="O42" s="247"/>
      <c r="P42" s="247"/>
      <c r="Q42" s="247"/>
      <c r="R42" s="247"/>
    </row>
    <row r="43" spans="1:18" ht="18" customHeight="1" x14ac:dyDescent="0.35">
      <c r="A43" s="10"/>
      <c r="B43" s="62"/>
      <c r="C43" s="249">
        <v>0</v>
      </c>
      <c r="D43" s="249">
        <v>0</v>
      </c>
      <c r="E43" s="249">
        <v>0</v>
      </c>
      <c r="F43" s="250"/>
      <c r="G43" s="59">
        <f t="shared" si="0"/>
        <v>0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</row>
    <row r="44" spans="1:18" s="248" customFormat="1" ht="36" customHeight="1" x14ac:dyDescent="0.35">
      <c r="A44" s="247"/>
      <c r="B44" s="242" t="s">
        <v>84</v>
      </c>
      <c r="C44" s="14">
        <f>C11+C42-C34-C17</f>
        <v>-135506801.83999997</v>
      </c>
      <c r="D44" s="14">
        <f>D11+D42-D34-D17</f>
        <v>111222484.45999999</v>
      </c>
      <c r="E44" s="14">
        <f>E11+E42-E34-E17</f>
        <v>139245475.440734</v>
      </c>
      <c r="F44" s="239"/>
      <c r="G44" s="59">
        <f t="shared" si="0"/>
        <v>114961158.06073402</v>
      </c>
      <c r="H44" s="247"/>
      <c r="I44" s="247"/>
      <c r="J44" s="247"/>
      <c r="K44" s="247"/>
      <c r="L44" s="247"/>
      <c r="M44" s="247"/>
      <c r="N44" s="247"/>
      <c r="O44" s="247"/>
      <c r="P44" s="247"/>
      <c r="Q44" s="247"/>
      <c r="R44" s="247"/>
    </row>
    <row r="45" spans="1:18" ht="27.75" customHeight="1" x14ac:dyDescent="0.35">
      <c r="A45" s="10"/>
      <c r="B45" s="63"/>
      <c r="C45" s="249"/>
      <c r="D45" s="249"/>
      <c r="E45" s="249"/>
      <c r="F45" s="250"/>
      <c r="G45" s="251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</row>
    <row r="46" spans="1:18" ht="15.75" customHeight="1" x14ac:dyDescent="0.35">
      <c r="A46" s="3"/>
      <c r="B46" s="20"/>
      <c r="C46" s="21"/>
      <c r="D46" s="21"/>
      <c r="E46" s="21"/>
      <c r="F46" s="250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15.75" customHeight="1" x14ac:dyDescent="0.35">
      <c r="A47" s="3"/>
      <c r="B47" s="20"/>
      <c r="C47" s="21"/>
      <c r="D47" s="21"/>
      <c r="E47" s="21"/>
      <c r="F47" s="250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15.75" customHeight="1" x14ac:dyDescent="0.35">
      <c r="A48" s="3"/>
      <c r="B48" s="20"/>
      <c r="C48" s="21"/>
      <c r="D48" s="21"/>
      <c r="E48" s="21"/>
      <c r="F48" s="250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15.75" customHeight="1" x14ac:dyDescent="0.35">
      <c r="A49" s="3"/>
      <c r="B49" s="20"/>
      <c r="C49" s="21"/>
      <c r="D49" s="21"/>
      <c r="E49" s="21"/>
      <c r="F49" s="250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15.75" customHeight="1" x14ac:dyDescent="0.35">
      <c r="A50" s="3"/>
      <c r="B50" s="20"/>
      <c r="C50" s="21"/>
      <c r="D50" s="21"/>
      <c r="E50" s="21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15.75" customHeight="1" x14ac:dyDescent="0.35">
      <c r="A51" s="3"/>
      <c r="B51" s="20"/>
      <c r="C51" s="21"/>
      <c r="D51" s="21"/>
      <c r="E51" s="21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15.75" customHeight="1" x14ac:dyDescent="0.35">
      <c r="A52" s="3"/>
      <c r="B52" s="20"/>
      <c r="C52" s="21"/>
      <c r="D52" s="21"/>
      <c r="E52" s="21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ht="15.75" customHeight="1" x14ac:dyDescent="0.35">
      <c r="A53" s="3"/>
      <c r="B53" s="20"/>
      <c r="C53" s="21"/>
      <c r="D53" s="21"/>
      <c r="E53" s="21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ht="15.75" customHeight="1" x14ac:dyDescent="0.35">
      <c r="A54" s="3"/>
      <c r="B54" s="20"/>
      <c r="C54" s="21"/>
      <c r="D54" s="21"/>
      <c r="E54" s="21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 ht="15.75" customHeight="1" x14ac:dyDescent="0.35">
      <c r="A55" s="3"/>
      <c r="B55" s="20"/>
      <c r="C55" s="21"/>
      <c r="D55" s="21"/>
      <c r="E55" s="21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 ht="15.75" customHeight="1" x14ac:dyDescent="0.35">
      <c r="A56" s="3"/>
      <c r="B56" s="20"/>
      <c r="C56" s="21"/>
      <c r="D56" s="21"/>
      <c r="E56" s="21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 ht="15.75" customHeight="1" x14ac:dyDescent="0.35">
      <c r="A57" s="3"/>
      <c r="B57" s="20"/>
      <c r="C57" s="21"/>
      <c r="D57" s="21"/>
      <c r="E57" s="21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8" ht="15.75" customHeight="1" x14ac:dyDescent="0.35">
      <c r="A58" s="3"/>
      <c r="B58" s="20"/>
      <c r="C58" s="21"/>
      <c r="D58" s="21"/>
      <c r="E58" s="21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 ht="15.75" customHeight="1" x14ac:dyDescent="0.35">
      <c r="A59" s="3"/>
      <c r="B59" s="20"/>
      <c r="C59" s="21"/>
      <c r="D59" s="21"/>
      <c r="E59" s="21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 ht="15.75" customHeight="1" x14ac:dyDescent="0.35">
      <c r="A60" s="3"/>
      <c r="B60" s="20"/>
      <c r="C60" s="21"/>
      <c r="D60" s="21"/>
      <c r="E60" s="21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 ht="15.75" customHeight="1" x14ac:dyDescent="0.35">
      <c r="A61" s="3"/>
      <c r="B61" s="20"/>
      <c r="C61" s="21"/>
      <c r="D61" s="21"/>
      <c r="E61" s="21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8" ht="15.75" customHeight="1" x14ac:dyDescent="0.35">
      <c r="A62" s="3"/>
      <c r="B62" s="20"/>
      <c r="C62" s="21"/>
      <c r="D62" s="21"/>
      <c r="E62" s="21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 ht="15.75" customHeight="1" x14ac:dyDescent="0.35">
      <c r="A63" s="3"/>
      <c r="B63" s="20"/>
      <c r="C63" s="21"/>
      <c r="D63" s="21"/>
      <c r="E63" s="21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 ht="15.75" customHeight="1" x14ac:dyDescent="0.35">
      <c r="A64" s="3"/>
      <c r="B64" s="20"/>
      <c r="C64" s="21"/>
      <c r="D64" s="21"/>
      <c r="E64" s="21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 ht="15.75" customHeight="1" x14ac:dyDescent="0.35">
      <c r="A65" s="3"/>
      <c r="B65" s="20"/>
      <c r="C65" s="21"/>
      <c r="D65" s="21"/>
      <c r="E65" s="21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 ht="15.75" customHeight="1" x14ac:dyDescent="0.35">
      <c r="A66" s="3"/>
      <c r="B66" s="20"/>
      <c r="C66" s="21"/>
      <c r="D66" s="21"/>
      <c r="E66" s="21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 ht="15.75" customHeight="1" x14ac:dyDescent="0.35">
      <c r="A67" s="3"/>
      <c r="B67" s="20"/>
      <c r="C67" s="21"/>
      <c r="D67" s="21"/>
      <c r="E67" s="21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18" ht="15.75" customHeight="1" x14ac:dyDescent="0.35">
      <c r="A68" s="3"/>
      <c r="B68" s="20"/>
      <c r="C68" s="21"/>
      <c r="D68" s="21"/>
      <c r="E68" s="21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1:18" ht="15.75" customHeight="1" x14ac:dyDescent="0.35">
      <c r="A69" s="3"/>
      <c r="B69" s="20"/>
      <c r="C69" s="21"/>
      <c r="D69" s="21"/>
      <c r="E69" s="21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1:18" ht="15.75" customHeight="1" x14ac:dyDescent="0.35">
      <c r="A70" s="3"/>
      <c r="B70" s="20"/>
      <c r="C70" s="21"/>
      <c r="D70" s="21"/>
      <c r="E70" s="21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8" ht="15.75" customHeight="1" x14ac:dyDescent="0.35">
      <c r="A71" s="3"/>
      <c r="B71" s="20"/>
      <c r="C71" s="21"/>
      <c r="D71" s="21"/>
      <c r="E71" s="21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8" ht="15.75" customHeight="1" x14ac:dyDescent="0.35">
      <c r="A72" s="3"/>
      <c r="B72" s="20"/>
      <c r="C72" s="21"/>
      <c r="D72" s="21"/>
      <c r="E72" s="21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 ht="15.75" customHeight="1" x14ac:dyDescent="0.35">
      <c r="A73" s="3"/>
      <c r="B73" s="20"/>
      <c r="C73" s="21"/>
      <c r="D73" s="21"/>
      <c r="E73" s="21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8" ht="15.75" customHeight="1" x14ac:dyDescent="0.35">
      <c r="A74" s="3"/>
      <c r="B74" s="20"/>
      <c r="C74" s="21"/>
      <c r="D74" s="21"/>
      <c r="E74" s="21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 ht="15.75" customHeight="1" x14ac:dyDescent="0.35">
      <c r="A75" s="3"/>
      <c r="B75" s="20"/>
      <c r="C75" s="21"/>
      <c r="D75" s="21"/>
      <c r="E75" s="21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1:18" ht="15.75" customHeight="1" x14ac:dyDescent="0.35">
      <c r="A76" s="3"/>
      <c r="B76" s="20"/>
      <c r="C76" s="21"/>
      <c r="D76" s="21"/>
      <c r="E76" s="21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8" ht="15.75" customHeight="1" x14ac:dyDescent="0.35">
      <c r="A77" s="3"/>
      <c r="B77" s="20"/>
      <c r="C77" s="21"/>
      <c r="D77" s="21"/>
      <c r="E77" s="21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1:18" ht="15.75" customHeight="1" x14ac:dyDescent="0.35">
      <c r="A78" s="3"/>
      <c r="B78" s="20"/>
      <c r="C78" s="21"/>
      <c r="D78" s="21"/>
      <c r="E78" s="21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1:18" ht="15.75" customHeight="1" x14ac:dyDescent="0.35">
      <c r="A79" s="3"/>
      <c r="B79" s="20"/>
      <c r="C79" s="21"/>
      <c r="D79" s="21"/>
      <c r="E79" s="21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1:18" ht="15.75" customHeight="1" x14ac:dyDescent="0.35">
      <c r="A80" s="3"/>
      <c r="B80" s="20"/>
      <c r="C80" s="21"/>
      <c r="D80" s="21"/>
      <c r="E80" s="21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18" ht="15.75" customHeight="1" x14ac:dyDescent="0.35">
      <c r="A81" s="3"/>
      <c r="B81" s="20"/>
      <c r="C81" s="21"/>
      <c r="D81" s="21"/>
      <c r="E81" s="21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1:18" ht="15.75" customHeight="1" x14ac:dyDescent="0.35">
      <c r="A82" s="3"/>
      <c r="B82" s="20"/>
      <c r="C82" s="21"/>
      <c r="D82" s="21"/>
      <c r="E82" s="21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 ht="15.75" customHeight="1" x14ac:dyDescent="0.35">
      <c r="A83" s="3"/>
      <c r="B83" s="20"/>
      <c r="C83" s="21"/>
      <c r="D83" s="21"/>
      <c r="E83" s="21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1:18" ht="15.75" customHeight="1" x14ac:dyDescent="0.35">
      <c r="A84" s="3"/>
      <c r="B84" s="20"/>
      <c r="C84" s="21"/>
      <c r="D84" s="21"/>
      <c r="E84" s="21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1:18" ht="15.75" customHeight="1" x14ac:dyDescent="0.35">
      <c r="A85" s="3"/>
      <c r="B85" s="20"/>
      <c r="C85" s="21"/>
      <c r="D85" s="21"/>
      <c r="E85" s="21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1:18" ht="15.75" customHeight="1" x14ac:dyDescent="0.35">
      <c r="A86" s="3"/>
      <c r="B86" s="20"/>
      <c r="C86" s="21"/>
      <c r="D86" s="21"/>
      <c r="E86" s="21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1:18" ht="15.75" customHeight="1" x14ac:dyDescent="0.35">
      <c r="A87" s="3"/>
      <c r="B87" s="20"/>
      <c r="C87" s="21"/>
      <c r="D87" s="21"/>
      <c r="E87" s="21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1:18" ht="15.75" customHeight="1" x14ac:dyDescent="0.35">
      <c r="A88" s="3"/>
      <c r="B88" s="20"/>
      <c r="C88" s="21"/>
      <c r="D88" s="21"/>
      <c r="E88" s="21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1:18" ht="15.75" customHeight="1" x14ac:dyDescent="0.35">
      <c r="A89" s="3"/>
      <c r="B89" s="20"/>
      <c r="C89" s="21"/>
      <c r="D89" s="21"/>
      <c r="E89" s="21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1:18" ht="15.75" customHeight="1" x14ac:dyDescent="0.35">
      <c r="A90" s="3"/>
      <c r="B90" s="20"/>
      <c r="C90" s="21"/>
      <c r="D90" s="21"/>
      <c r="E90" s="21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1:18" ht="15.75" customHeight="1" x14ac:dyDescent="0.35">
      <c r="A91" s="3"/>
      <c r="B91" s="20"/>
      <c r="C91" s="21"/>
      <c r="D91" s="21"/>
      <c r="E91" s="21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1:18" ht="15.75" customHeight="1" x14ac:dyDescent="0.35">
      <c r="A92" s="3"/>
      <c r="B92" s="20"/>
      <c r="C92" s="21"/>
      <c r="D92" s="21"/>
      <c r="E92" s="21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1:18" ht="15.75" customHeight="1" x14ac:dyDescent="0.35">
      <c r="A93" s="3"/>
      <c r="B93" s="20"/>
      <c r="C93" s="21"/>
      <c r="D93" s="21"/>
      <c r="E93" s="21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1:18" ht="15.75" customHeight="1" x14ac:dyDescent="0.35">
      <c r="A94" s="3"/>
      <c r="B94" s="20"/>
      <c r="C94" s="21"/>
      <c r="D94" s="21"/>
      <c r="E94" s="21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 ht="15.75" customHeight="1" x14ac:dyDescent="0.35">
      <c r="A95" s="3"/>
      <c r="B95" s="20"/>
      <c r="C95" s="21"/>
      <c r="D95" s="21"/>
      <c r="E95" s="21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1:18" ht="15.75" customHeight="1" x14ac:dyDescent="0.35">
      <c r="A96" s="3"/>
      <c r="B96" s="20"/>
      <c r="C96" s="21"/>
      <c r="D96" s="21"/>
      <c r="E96" s="21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1:18" ht="15.75" customHeight="1" x14ac:dyDescent="0.35">
      <c r="A97" s="3"/>
      <c r="B97" s="20"/>
      <c r="C97" s="21"/>
      <c r="D97" s="21"/>
      <c r="E97" s="21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1:18" ht="15.75" customHeight="1" x14ac:dyDescent="0.35">
      <c r="A98" s="3"/>
      <c r="B98" s="20"/>
      <c r="C98" s="21"/>
      <c r="D98" s="21"/>
      <c r="E98" s="21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 ht="15.75" customHeight="1" x14ac:dyDescent="0.35">
      <c r="A99" s="3"/>
      <c r="B99" s="20"/>
      <c r="C99" s="21"/>
      <c r="D99" s="21"/>
      <c r="E99" s="21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1:18" ht="15.75" customHeight="1" x14ac:dyDescent="0.35">
      <c r="A100" s="3"/>
      <c r="B100" s="20"/>
      <c r="C100" s="21"/>
      <c r="D100" s="21"/>
      <c r="E100" s="21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8" ht="15.75" customHeight="1" x14ac:dyDescent="0.35">
      <c r="A101" s="3"/>
      <c r="B101" s="20"/>
      <c r="C101" s="21"/>
      <c r="D101" s="21"/>
      <c r="E101" s="21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1:18" ht="15.75" customHeight="1" x14ac:dyDescent="0.35">
      <c r="A102" s="3"/>
      <c r="B102" s="20"/>
      <c r="C102" s="21"/>
      <c r="D102" s="21"/>
      <c r="E102" s="21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1:18" ht="15.75" customHeight="1" x14ac:dyDescent="0.35">
      <c r="A103" s="3"/>
      <c r="B103" s="20"/>
      <c r="C103" s="21"/>
      <c r="D103" s="21"/>
      <c r="E103" s="21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1:18" ht="15.75" customHeight="1" x14ac:dyDescent="0.35">
      <c r="A104" s="3"/>
      <c r="B104" s="20"/>
      <c r="C104" s="21"/>
      <c r="D104" s="21"/>
      <c r="E104" s="21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1:18" ht="15.75" customHeight="1" x14ac:dyDescent="0.35">
      <c r="A105" s="3"/>
      <c r="B105" s="20"/>
      <c r="C105" s="21"/>
      <c r="D105" s="21"/>
      <c r="E105" s="21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1:18" ht="15.75" customHeight="1" x14ac:dyDescent="0.35">
      <c r="A106" s="3"/>
      <c r="B106" s="20"/>
      <c r="C106" s="21"/>
      <c r="D106" s="21"/>
      <c r="E106" s="21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1:18" ht="15.75" customHeight="1" x14ac:dyDescent="0.35">
      <c r="A107" s="3"/>
      <c r="B107" s="20"/>
      <c r="C107" s="21"/>
      <c r="D107" s="21"/>
      <c r="E107" s="21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1:18" ht="15.75" customHeight="1" x14ac:dyDescent="0.35">
      <c r="A108" s="3"/>
      <c r="B108" s="20"/>
      <c r="C108" s="21"/>
      <c r="D108" s="21"/>
      <c r="E108" s="21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spans="1:18" ht="15.75" customHeight="1" x14ac:dyDescent="0.35">
      <c r="A109" s="3"/>
      <c r="B109" s="20"/>
      <c r="C109" s="21"/>
      <c r="D109" s="21"/>
      <c r="E109" s="21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spans="1:18" ht="15.75" customHeight="1" x14ac:dyDescent="0.35">
      <c r="A110" s="3"/>
      <c r="B110" s="20"/>
      <c r="C110" s="21"/>
      <c r="D110" s="21"/>
      <c r="E110" s="21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1:18" ht="15.75" customHeight="1" x14ac:dyDescent="0.35">
      <c r="A111" s="3"/>
      <c r="B111" s="20"/>
      <c r="C111" s="21"/>
      <c r="D111" s="21"/>
      <c r="E111" s="21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1:18" ht="15.75" customHeight="1" x14ac:dyDescent="0.35">
      <c r="A112" s="3"/>
      <c r="B112" s="20"/>
      <c r="C112" s="21"/>
      <c r="D112" s="21"/>
      <c r="E112" s="21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1:18" ht="15.75" customHeight="1" x14ac:dyDescent="0.35">
      <c r="A113" s="3"/>
      <c r="B113" s="20"/>
      <c r="C113" s="21"/>
      <c r="D113" s="21"/>
      <c r="E113" s="21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1:18" ht="15.75" customHeight="1" x14ac:dyDescent="0.35">
      <c r="A114" s="3"/>
      <c r="B114" s="20"/>
      <c r="C114" s="21"/>
      <c r="D114" s="21"/>
      <c r="E114" s="21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spans="1:18" ht="15.75" customHeight="1" x14ac:dyDescent="0.35">
      <c r="A115" s="3"/>
      <c r="B115" s="20"/>
      <c r="C115" s="21"/>
      <c r="D115" s="21"/>
      <c r="E115" s="21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1:18" ht="15.75" customHeight="1" x14ac:dyDescent="0.35">
      <c r="A116" s="3"/>
      <c r="B116" s="20"/>
      <c r="C116" s="21"/>
      <c r="D116" s="21"/>
      <c r="E116" s="21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1:18" ht="15.75" customHeight="1" x14ac:dyDescent="0.35">
      <c r="A117" s="3"/>
      <c r="B117" s="20"/>
      <c r="C117" s="21"/>
      <c r="D117" s="21"/>
      <c r="E117" s="21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1:18" ht="15.75" customHeight="1" x14ac:dyDescent="0.35">
      <c r="A118" s="3"/>
      <c r="B118" s="20"/>
      <c r="C118" s="21"/>
      <c r="D118" s="21"/>
      <c r="E118" s="21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1:18" ht="15.75" customHeight="1" x14ac:dyDescent="0.35">
      <c r="A119" s="3"/>
      <c r="B119" s="20"/>
      <c r="C119" s="21"/>
      <c r="D119" s="21"/>
      <c r="E119" s="21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1:18" ht="15.75" customHeight="1" x14ac:dyDescent="0.35">
      <c r="A120" s="3"/>
      <c r="B120" s="20"/>
      <c r="C120" s="21"/>
      <c r="D120" s="21"/>
      <c r="E120" s="21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1:18" ht="15.75" customHeight="1" x14ac:dyDescent="0.35">
      <c r="A121" s="3"/>
      <c r="B121" s="20"/>
      <c r="C121" s="21"/>
      <c r="D121" s="21"/>
      <c r="E121" s="21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1:18" ht="15.75" customHeight="1" x14ac:dyDescent="0.35">
      <c r="A122" s="3"/>
      <c r="B122" s="20"/>
      <c r="C122" s="21"/>
      <c r="D122" s="21"/>
      <c r="E122" s="21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1:18" ht="15.75" customHeight="1" x14ac:dyDescent="0.35">
      <c r="A123" s="3"/>
      <c r="B123" s="20"/>
      <c r="C123" s="21"/>
      <c r="D123" s="21"/>
      <c r="E123" s="21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1:18" ht="15.75" customHeight="1" x14ac:dyDescent="0.35">
      <c r="A124" s="3"/>
      <c r="B124" s="20"/>
      <c r="C124" s="21"/>
      <c r="D124" s="21"/>
      <c r="E124" s="21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1:18" ht="15.75" customHeight="1" x14ac:dyDescent="0.35">
      <c r="A125" s="3"/>
      <c r="B125" s="20"/>
      <c r="C125" s="21"/>
      <c r="D125" s="21"/>
      <c r="E125" s="21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1:18" ht="15.75" customHeight="1" x14ac:dyDescent="0.35">
      <c r="A126" s="3"/>
      <c r="B126" s="20"/>
      <c r="C126" s="21"/>
      <c r="D126" s="21"/>
      <c r="E126" s="21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1:18" ht="15.75" customHeight="1" x14ac:dyDescent="0.35">
      <c r="A127" s="3"/>
      <c r="B127" s="20"/>
      <c r="C127" s="21"/>
      <c r="D127" s="21"/>
      <c r="E127" s="21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spans="1:18" ht="15.75" customHeight="1" x14ac:dyDescent="0.35">
      <c r="A128" s="3"/>
      <c r="B128" s="20"/>
      <c r="C128" s="21"/>
      <c r="D128" s="21"/>
      <c r="E128" s="21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1:18" ht="15.75" customHeight="1" x14ac:dyDescent="0.35">
      <c r="A129" s="3"/>
      <c r="B129" s="20"/>
      <c r="C129" s="21"/>
      <c r="D129" s="21"/>
      <c r="E129" s="21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spans="1:18" ht="15.75" customHeight="1" x14ac:dyDescent="0.35">
      <c r="A130" s="3"/>
      <c r="B130" s="20"/>
      <c r="C130" s="21"/>
      <c r="D130" s="21"/>
      <c r="E130" s="21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1:18" ht="15.75" customHeight="1" x14ac:dyDescent="0.35">
      <c r="A131" s="3"/>
      <c r="B131" s="20"/>
      <c r="C131" s="21"/>
      <c r="D131" s="21"/>
      <c r="E131" s="21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1:18" ht="15.75" customHeight="1" x14ac:dyDescent="0.35">
      <c r="A132" s="3"/>
      <c r="B132" s="20"/>
      <c r="C132" s="21"/>
      <c r="D132" s="21"/>
      <c r="E132" s="21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spans="1:18" ht="15.75" customHeight="1" x14ac:dyDescent="0.35">
      <c r="A133" s="3"/>
      <c r="B133" s="20"/>
      <c r="C133" s="21"/>
      <c r="D133" s="21"/>
      <c r="E133" s="21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1:18" ht="15.75" customHeight="1" x14ac:dyDescent="0.35">
      <c r="A134" s="3"/>
      <c r="B134" s="20"/>
      <c r="C134" s="21"/>
      <c r="D134" s="21"/>
      <c r="E134" s="21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1:18" ht="15.75" customHeight="1" x14ac:dyDescent="0.35">
      <c r="A135" s="3"/>
      <c r="B135" s="20"/>
      <c r="C135" s="21"/>
      <c r="D135" s="21"/>
      <c r="E135" s="21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spans="1:18" ht="15.75" customHeight="1" x14ac:dyDescent="0.35">
      <c r="A136" s="3"/>
      <c r="B136" s="20"/>
      <c r="C136" s="21"/>
      <c r="D136" s="21"/>
      <c r="E136" s="21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1:18" ht="15.75" customHeight="1" x14ac:dyDescent="0.35">
      <c r="A137" s="3"/>
      <c r="B137" s="20"/>
      <c r="C137" s="21"/>
      <c r="D137" s="21"/>
      <c r="E137" s="21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1:18" ht="15.75" customHeight="1" x14ac:dyDescent="0.35">
      <c r="A138" s="3"/>
      <c r="B138" s="20"/>
      <c r="C138" s="21"/>
      <c r="D138" s="21"/>
      <c r="E138" s="21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1:18" ht="15.75" customHeight="1" x14ac:dyDescent="0.35">
      <c r="A139" s="3"/>
      <c r="B139" s="20"/>
      <c r="C139" s="21"/>
      <c r="D139" s="21"/>
      <c r="E139" s="21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1:18" ht="15.75" customHeight="1" x14ac:dyDescent="0.35">
      <c r="A140" s="3"/>
      <c r="B140" s="20"/>
      <c r="C140" s="21"/>
      <c r="D140" s="21"/>
      <c r="E140" s="21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1:18" ht="15.75" customHeight="1" x14ac:dyDescent="0.35">
      <c r="A141" s="3"/>
      <c r="B141" s="20"/>
      <c r="C141" s="21"/>
      <c r="D141" s="21"/>
      <c r="E141" s="21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1:18" ht="15.75" customHeight="1" x14ac:dyDescent="0.35">
      <c r="A142" s="3"/>
      <c r="B142" s="20"/>
      <c r="C142" s="21"/>
      <c r="D142" s="21"/>
      <c r="E142" s="21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1:18" ht="15.75" customHeight="1" x14ac:dyDescent="0.35">
      <c r="A143" s="3"/>
      <c r="B143" s="20"/>
      <c r="C143" s="21"/>
      <c r="D143" s="21"/>
      <c r="E143" s="21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spans="1:18" ht="15.75" customHeight="1" x14ac:dyDescent="0.35">
      <c r="A144" s="3"/>
      <c r="B144" s="20"/>
      <c r="C144" s="21"/>
      <c r="D144" s="21"/>
      <c r="E144" s="21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1:18" ht="15.75" customHeight="1" x14ac:dyDescent="0.35">
      <c r="A145" s="3"/>
      <c r="B145" s="20"/>
      <c r="C145" s="21"/>
      <c r="D145" s="21"/>
      <c r="E145" s="21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1:18" ht="15.75" customHeight="1" x14ac:dyDescent="0.35">
      <c r="A146" s="3"/>
      <c r="B146" s="20"/>
      <c r="C146" s="21"/>
      <c r="D146" s="21"/>
      <c r="E146" s="21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1:18" ht="15.75" customHeight="1" x14ac:dyDescent="0.35">
      <c r="A147" s="3"/>
      <c r="B147" s="20"/>
      <c r="C147" s="21"/>
      <c r="D147" s="21"/>
      <c r="E147" s="21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1:18" ht="15.75" customHeight="1" x14ac:dyDescent="0.35">
      <c r="A148" s="3"/>
      <c r="B148" s="20"/>
      <c r="C148" s="21"/>
      <c r="D148" s="21"/>
      <c r="E148" s="21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ht="15.75" customHeight="1" x14ac:dyDescent="0.35">
      <c r="A149" s="3"/>
      <c r="B149" s="20"/>
      <c r="C149" s="21"/>
      <c r="D149" s="21"/>
      <c r="E149" s="21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 ht="15.75" customHeight="1" x14ac:dyDescent="0.35">
      <c r="A150" s="3"/>
      <c r="B150" s="20"/>
      <c r="C150" s="21"/>
      <c r="D150" s="21"/>
      <c r="E150" s="21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1:18" ht="15.75" customHeight="1" x14ac:dyDescent="0.35">
      <c r="A151" s="3"/>
      <c r="B151" s="20"/>
      <c r="C151" s="21"/>
      <c r="D151" s="21"/>
      <c r="E151" s="21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1:18" ht="15.75" customHeight="1" x14ac:dyDescent="0.35">
      <c r="A152" s="3"/>
      <c r="B152" s="20"/>
      <c r="C152" s="21"/>
      <c r="D152" s="21"/>
      <c r="E152" s="21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spans="1:18" ht="15.75" customHeight="1" x14ac:dyDescent="0.35">
      <c r="A153" s="3"/>
      <c r="B153" s="20"/>
      <c r="C153" s="21"/>
      <c r="D153" s="21"/>
      <c r="E153" s="21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1:18" ht="15.75" customHeight="1" x14ac:dyDescent="0.35">
      <c r="A154" s="3"/>
      <c r="B154" s="20"/>
      <c r="C154" s="21"/>
      <c r="D154" s="21"/>
      <c r="E154" s="21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1:18" ht="15.75" customHeight="1" x14ac:dyDescent="0.35">
      <c r="A155" s="3"/>
      <c r="B155" s="20"/>
      <c r="C155" s="21"/>
      <c r="D155" s="21"/>
      <c r="E155" s="21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1:18" ht="15.75" customHeight="1" x14ac:dyDescent="0.35">
      <c r="A156" s="3"/>
      <c r="B156" s="20"/>
      <c r="C156" s="21"/>
      <c r="D156" s="21"/>
      <c r="E156" s="21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spans="1:18" ht="15.75" customHeight="1" x14ac:dyDescent="0.35">
      <c r="A157" s="3"/>
      <c r="B157" s="20"/>
      <c r="C157" s="21"/>
      <c r="D157" s="21"/>
      <c r="E157" s="21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spans="1:18" ht="15.75" customHeight="1" x14ac:dyDescent="0.35">
      <c r="A158" s="3"/>
      <c r="B158" s="20"/>
      <c r="C158" s="21"/>
      <c r="D158" s="21"/>
      <c r="E158" s="21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spans="1:18" ht="15.75" customHeight="1" x14ac:dyDescent="0.35">
      <c r="A159" s="3"/>
      <c r="B159" s="20"/>
      <c r="C159" s="21"/>
      <c r="D159" s="21"/>
      <c r="E159" s="21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spans="1:18" ht="15.75" customHeight="1" x14ac:dyDescent="0.35">
      <c r="A160" s="3"/>
      <c r="B160" s="20"/>
      <c r="C160" s="21"/>
      <c r="D160" s="21"/>
      <c r="E160" s="21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spans="1:18" ht="15.75" customHeight="1" x14ac:dyDescent="0.35">
      <c r="A161" s="3"/>
      <c r="B161" s="20"/>
      <c r="C161" s="21"/>
      <c r="D161" s="21"/>
      <c r="E161" s="21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spans="1:18" ht="15.75" customHeight="1" x14ac:dyDescent="0.35">
      <c r="A162" s="3"/>
      <c r="B162" s="20"/>
      <c r="C162" s="21"/>
      <c r="D162" s="21"/>
      <c r="E162" s="21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spans="1:18" ht="15.75" customHeight="1" x14ac:dyDescent="0.35">
      <c r="A163" s="3"/>
      <c r="B163" s="20"/>
      <c r="C163" s="21"/>
      <c r="D163" s="21"/>
      <c r="E163" s="21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spans="1:18" ht="15.75" customHeight="1" x14ac:dyDescent="0.35">
      <c r="A164" s="3"/>
      <c r="B164" s="20"/>
      <c r="C164" s="21"/>
      <c r="D164" s="21"/>
      <c r="E164" s="21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spans="1:18" ht="15.75" customHeight="1" x14ac:dyDescent="0.35">
      <c r="A165" s="3"/>
      <c r="B165" s="20"/>
      <c r="C165" s="21"/>
      <c r="D165" s="21"/>
      <c r="E165" s="21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spans="1:18" ht="15.75" customHeight="1" x14ac:dyDescent="0.35">
      <c r="A166" s="3"/>
      <c r="B166" s="20"/>
      <c r="C166" s="21"/>
      <c r="D166" s="21"/>
      <c r="E166" s="21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spans="1:18" ht="15.75" customHeight="1" x14ac:dyDescent="0.35">
      <c r="A167" s="3"/>
      <c r="B167" s="20"/>
      <c r="C167" s="21"/>
      <c r="D167" s="21"/>
      <c r="E167" s="21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spans="1:18" ht="15.75" customHeight="1" x14ac:dyDescent="0.35">
      <c r="A168" s="3"/>
      <c r="B168" s="20"/>
      <c r="C168" s="21"/>
      <c r="D168" s="21"/>
      <c r="E168" s="21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spans="1:18" ht="15.75" customHeight="1" x14ac:dyDescent="0.35">
      <c r="A169" s="3"/>
      <c r="B169" s="20"/>
      <c r="C169" s="21"/>
      <c r="D169" s="21"/>
      <c r="E169" s="21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spans="1:18" ht="15.75" customHeight="1" x14ac:dyDescent="0.35">
      <c r="A170" s="3"/>
      <c r="B170" s="20"/>
      <c r="C170" s="21"/>
      <c r="D170" s="21"/>
      <c r="E170" s="21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spans="1:18" ht="15.75" customHeight="1" x14ac:dyDescent="0.35">
      <c r="A171" s="3"/>
      <c r="B171" s="20"/>
      <c r="C171" s="21"/>
      <c r="D171" s="21"/>
      <c r="E171" s="21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spans="1:18" ht="15.75" customHeight="1" x14ac:dyDescent="0.35">
      <c r="A172" s="3"/>
      <c r="B172" s="20"/>
      <c r="C172" s="21"/>
      <c r="D172" s="21"/>
      <c r="E172" s="21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spans="1:18" ht="15.75" customHeight="1" x14ac:dyDescent="0.35">
      <c r="A173" s="3"/>
      <c r="B173" s="20"/>
      <c r="C173" s="21"/>
      <c r="D173" s="21"/>
      <c r="E173" s="21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spans="1:18" ht="15.75" customHeight="1" x14ac:dyDescent="0.35">
      <c r="A174" s="3"/>
      <c r="B174" s="20"/>
      <c r="C174" s="21"/>
      <c r="D174" s="21"/>
      <c r="E174" s="21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spans="1:18" ht="15.75" customHeight="1" x14ac:dyDescent="0.35">
      <c r="A175" s="3"/>
      <c r="B175" s="20"/>
      <c r="C175" s="21"/>
      <c r="D175" s="21"/>
      <c r="E175" s="21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spans="1:18" ht="15.75" customHeight="1" x14ac:dyDescent="0.35">
      <c r="A176" s="3"/>
      <c r="B176" s="20"/>
      <c r="C176" s="21"/>
      <c r="D176" s="21"/>
      <c r="E176" s="21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spans="1:18" ht="15.75" customHeight="1" x14ac:dyDescent="0.35">
      <c r="A177" s="3"/>
      <c r="B177" s="20"/>
      <c r="C177" s="21"/>
      <c r="D177" s="21"/>
      <c r="E177" s="21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spans="1:18" ht="15.75" customHeight="1" x14ac:dyDescent="0.35">
      <c r="A178" s="3"/>
      <c r="B178" s="20"/>
      <c r="C178" s="21"/>
      <c r="D178" s="21"/>
      <c r="E178" s="21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spans="1:18" ht="15.75" customHeight="1" x14ac:dyDescent="0.35">
      <c r="A179" s="3"/>
      <c r="B179" s="20"/>
      <c r="C179" s="21"/>
      <c r="D179" s="21"/>
      <c r="E179" s="21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spans="1:18" ht="15.75" customHeight="1" x14ac:dyDescent="0.35">
      <c r="A180" s="3"/>
      <c r="B180" s="20"/>
      <c r="C180" s="21"/>
      <c r="D180" s="21"/>
      <c r="E180" s="21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spans="1:18" ht="15.75" customHeight="1" x14ac:dyDescent="0.35">
      <c r="A181" s="3"/>
      <c r="B181" s="20"/>
      <c r="C181" s="21"/>
      <c r="D181" s="21"/>
      <c r="E181" s="21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spans="1:18" ht="15.75" customHeight="1" x14ac:dyDescent="0.35">
      <c r="A182" s="3"/>
      <c r="B182" s="20"/>
      <c r="C182" s="21"/>
      <c r="D182" s="21"/>
      <c r="E182" s="21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spans="1:18" ht="15.75" customHeight="1" x14ac:dyDescent="0.35">
      <c r="A183" s="3"/>
      <c r="B183" s="20"/>
      <c r="C183" s="21"/>
      <c r="D183" s="21"/>
      <c r="E183" s="21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spans="1:18" ht="15.75" customHeight="1" x14ac:dyDescent="0.35">
      <c r="A184" s="3"/>
      <c r="B184" s="20"/>
      <c r="C184" s="21"/>
      <c r="D184" s="21"/>
      <c r="E184" s="21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spans="1:18" ht="15.75" customHeight="1" x14ac:dyDescent="0.35">
      <c r="A185" s="3"/>
      <c r="B185" s="20"/>
      <c r="C185" s="21"/>
      <c r="D185" s="21"/>
      <c r="E185" s="21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spans="1:18" ht="15.75" customHeight="1" x14ac:dyDescent="0.35">
      <c r="A186" s="3"/>
      <c r="B186" s="20"/>
      <c r="C186" s="21"/>
      <c r="D186" s="21"/>
      <c r="E186" s="21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spans="1:18" ht="15.75" customHeight="1" x14ac:dyDescent="0.35">
      <c r="A187" s="3"/>
      <c r="B187" s="20"/>
      <c r="C187" s="21"/>
      <c r="D187" s="21"/>
      <c r="E187" s="21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spans="1:18" ht="15.75" customHeight="1" x14ac:dyDescent="0.35">
      <c r="A188" s="3"/>
      <c r="B188" s="20"/>
      <c r="C188" s="21"/>
      <c r="D188" s="21"/>
      <c r="E188" s="21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spans="1:18" ht="15.75" customHeight="1" x14ac:dyDescent="0.35">
      <c r="A189" s="3"/>
      <c r="B189" s="20"/>
      <c r="C189" s="21"/>
      <c r="D189" s="21"/>
      <c r="E189" s="21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spans="1:18" ht="15.75" customHeight="1" x14ac:dyDescent="0.35">
      <c r="A190" s="3"/>
      <c r="B190" s="20"/>
      <c r="C190" s="21"/>
      <c r="D190" s="21"/>
      <c r="E190" s="21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spans="1:18" ht="15.75" customHeight="1" x14ac:dyDescent="0.35">
      <c r="A191" s="3"/>
      <c r="B191" s="20"/>
      <c r="C191" s="21"/>
      <c r="D191" s="21"/>
      <c r="E191" s="21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spans="1:18" ht="15.75" customHeight="1" x14ac:dyDescent="0.35">
      <c r="A192" s="3"/>
      <c r="B192" s="20"/>
      <c r="C192" s="21"/>
      <c r="D192" s="21"/>
      <c r="E192" s="21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spans="1:18" ht="15.75" customHeight="1" x14ac:dyDescent="0.35">
      <c r="A193" s="3"/>
      <c r="B193" s="20"/>
      <c r="C193" s="21"/>
      <c r="D193" s="21"/>
      <c r="E193" s="21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spans="1:18" ht="15.75" customHeight="1" x14ac:dyDescent="0.35">
      <c r="A194" s="3"/>
      <c r="B194" s="20"/>
      <c r="C194" s="21"/>
      <c r="D194" s="21"/>
      <c r="E194" s="21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spans="1:18" ht="15.75" customHeight="1" x14ac:dyDescent="0.35">
      <c r="A195" s="3"/>
      <c r="B195" s="20"/>
      <c r="C195" s="21"/>
      <c r="D195" s="21"/>
      <c r="E195" s="21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spans="1:18" ht="15.75" customHeight="1" x14ac:dyDescent="0.35">
      <c r="A196" s="3"/>
      <c r="B196" s="20"/>
      <c r="C196" s="21"/>
      <c r="D196" s="21"/>
      <c r="E196" s="21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spans="1:18" ht="15.75" customHeight="1" x14ac:dyDescent="0.35">
      <c r="A197" s="3"/>
      <c r="B197" s="20"/>
      <c r="C197" s="21"/>
      <c r="D197" s="21"/>
      <c r="E197" s="21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spans="1:18" ht="15.75" customHeight="1" x14ac:dyDescent="0.35">
      <c r="A198" s="3"/>
      <c r="B198" s="20"/>
      <c r="C198" s="21"/>
      <c r="D198" s="21"/>
      <c r="E198" s="21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spans="1:18" ht="15.75" customHeight="1" x14ac:dyDescent="0.35">
      <c r="A199" s="3"/>
      <c r="B199" s="20"/>
      <c r="C199" s="21"/>
      <c r="D199" s="21"/>
      <c r="E199" s="21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spans="1:18" ht="15.75" customHeight="1" x14ac:dyDescent="0.35">
      <c r="A200" s="3"/>
      <c r="B200" s="20"/>
      <c r="C200" s="21"/>
      <c r="D200" s="21"/>
      <c r="E200" s="21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spans="1:18" ht="15.75" customHeight="1" x14ac:dyDescent="0.35">
      <c r="A201" s="3"/>
      <c r="B201" s="20"/>
      <c r="C201" s="21"/>
      <c r="D201" s="21"/>
      <c r="E201" s="21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spans="1:18" ht="15.75" customHeight="1" x14ac:dyDescent="0.35">
      <c r="A202" s="3"/>
      <c r="B202" s="20"/>
      <c r="C202" s="21"/>
      <c r="D202" s="21"/>
      <c r="E202" s="21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spans="1:18" ht="15.75" customHeight="1" x14ac:dyDescent="0.35">
      <c r="A203" s="3"/>
      <c r="B203" s="20"/>
      <c r="C203" s="21"/>
      <c r="D203" s="21"/>
      <c r="E203" s="21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spans="1:18" ht="15.75" customHeight="1" x14ac:dyDescent="0.35">
      <c r="A204" s="3"/>
      <c r="B204" s="20"/>
      <c r="C204" s="21"/>
      <c r="D204" s="21"/>
      <c r="E204" s="21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spans="1:18" ht="15.75" customHeight="1" x14ac:dyDescent="0.35">
      <c r="A205" s="3"/>
      <c r="B205" s="20"/>
      <c r="C205" s="21"/>
      <c r="D205" s="21"/>
      <c r="E205" s="21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spans="1:18" ht="15.75" customHeight="1" x14ac:dyDescent="0.35">
      <c r="A206" s="3"/>
      <c r="B206" s="20"/>
      <c r="C206" s="21"/>
      <c r="D206" s="21"/>
      <c r="E206" s="21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spans="1:18" ht="15.75" customHeight="1" x14ac:dyDescent="0.35">
      <c r="A207" s="3"/>
      <c r="B207" s="20"/>
      <c r="C207" s="21"/>
      <c r="D207" s="21"/>
      <c r="E207" s="21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spans="1:18" ht="15.75" customHeight="1" x14ac:dyDescent="0.35">
      <c r="A208" s="3"/>
      <c r="B208" s="20"/>
      <c r="C208" s="21"/>
      <c r="D208" s="21"/>
      <c r="E208" s="21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spans="1:18" ht="15.75" customHeight="1" x14ac:dyDescent="0.35">
      <c r="A209" s="3"/>
      <c r="B209" s="20"/>
      <c r="C209" s="21"/>
      <c r="D209" s="21"/>
      <c r="E209" s="21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spans="1:18" ht="15.75" customHeight="1" x14ac:dyDescent="0.35">
      <c r="A210" s="3"/>
      <c r="B210" s="20"/>
      <c r="C210" s="21"/>
      <c r="D210" s="21"/>
      <c r="E210" s="21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spans="1:18" ht="15.75" customHeight="1" x14ac:dyDescent="0.35">
      <c r="A211" s="3"/>
      <c r="B211" s="20"/>
      <c r="C211" s="21"/>
      <c r="D211" s="21"/>
      <c r="E211" s="21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spans="1:18" ht="15.75" customHeight="1" x14ac:dyDescent="0.35">
      <c r="A212" s="3"/>
      <c r="B212" s="20"/>
      <c r="C212" s="21"/>
      <c r="D212" s="21"/>
      <c r="E212" s="21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spans="1:18" ht="15.75" customHeight="1" x14ac:dyDescent="0.35">
      <c r="A213" s="3"/>
      <c r="B213" s="20"/>
      <c r="C213" s="21"/>
      <c r="D213" s="21"/>
      <c r="E213" s="21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spans="1:18" ht="15.75" customHeight="1" x14ac:dyDescent="0.35">
      <c r="A214" s="3"/>
      <c r="B214" s="20"/>
      <c r="C214" s="21"/>
      <c r="D214" s="21"/>
      <c r="E214" s="21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spans="1:18" ht="15.75" customHeight="1" x14ac:dyDescent="0.35">
      <c r="A215" s="3"/>
      <c r="B215" s="20"/>
      <c r="C215" s="21"/>
      <c r="D215" s="21"/>
      <c r="E215" s="21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spans="1:18" ht="15.75" customHeight="1" x14ac:dyDescent="0.35">
      <c r="A216" s="3"/>
      <c r="B216" s="20"/>
      <c r="C216" s="21"/>
      <c r="D216" s="21"/>
      <c r="E216" s="21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spans="1:18" ht="15.75" customHeight="1" x14ac:dyDescent="0.35">
      <c r="A217" s="3"/>
      <c r="B217" s="20"/>
      <c r="C217" s="21"/>
      <c r="D217" s="21"/>
      <c r="E217" s="21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spans="1:18" ht="15.75" customHeight="1" x14ac:dyDescent="0.35">
      <c r="A218" s="3"/>
      <c r="B218" s="20"/>
      <c r="C218" s="21"/>
      <c r="D218" s="21"/>
      <c r="E218" s="21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spans="1:18" ht="15.75" customHeight="1" x14ac:dyDescent="0.35">
      <c r="A219" s="3"/>
      <c r="B219" s="20"/>
      <c r="C219" s="21"/>
      <c r="D219" s="21"/>
      <c r="E219" s="21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spans="1:18" ht="15.75" customHeight="1" x14ac:dyDescent="0.35">
      <c r="A220" s="3"/>
      <c r="B220" s="20"/>
      <c r="C220" s="21"/>
      <c r="D220" s="21"/>
      <c r="E220" s="21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spans="1:18" ht="15.75" customHeight="1" x14ac:dyDescent="0.35">
      <c r="A221" s="3"/>
      <c r="B221" s="20"/>
      <c r="C221" s="21"/>
      <c r="D221" s="21"/>
      <c r="E221" s="21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spans="1:18" ht="15.75" customHeight="1" x14ac:dyDescent="0.35">
      <c r="A222" s="3"/>
      <c r="B222" s="20"/>
      <c r="C222" s="21"/>
      <c r="D222" s="21"/>
      <c r="E222" s="21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spans="1:18" ht="15.75" customHeight="1" x14ac:dyDescent="0.35">
      <c r="A223" s="3"/>
      <c r="B223" s="20"/>
      <c r="C223" s="21"/>
      <c r="D223" s="21"/>
      <c r="E223" s="21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spans="1:18" ht="15.75" customHeight="1" x14ac:dyDescent="0.35">
      <c r="A224" s="3"/>
      <c r="B224" s="20"/>
      <c r="C224" s="21"/>
      <c r="D224" s="21"/>
      <c r="E224" s="21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spans="1:18" ht="15.75" customHeight="1" x14ac:dyDescent="0.35">
      <c r="A225" s="3"/>
      <c r="B225" s="20"/>
      <c r="C225" s="21"/>
      <c r="D225" s="21"/>
      <c r="E225" s="21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spans="1:18" ht="15.75" customHeight="1" x14ac:dyDescent="0.35">
      <c r="A226" s="3"/>
      <c r="B226" s="20"/>
      <c r="C226" s="21"/>
      <c r="D226" s="21"/>
      <c r="E226" s="21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spans="1:18" ht="15.75" customHeight="1" x14ac:dyDescent="0.35">
      <c r="A227" s="3"/>
      <c r="B227" s="20"/>
      <c r="C227" s="21"/>
      <c r="D227" s="21"/>
      <c r="E227" s="21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spans="1:18" ht="15.75" customHeight="1" x14ac:dyDescent="0.35">
      <c r="A228" s="3"/>
      <c r="B228" s="20"/>
      <c r="C228" s="21"/>
      <c r="D228" s="21"/>
      <c r="E228" s="21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spans="1:18" ht="15.75" customHeight="1" x14ac:dyDescent="0.35">
      <c r="A229" s="3"/>
      <c r="B229" s="20"/>
      <c r="C229" s="21"/>
      <c r="D229" s="21"/>
      <c r="E229" s="21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spans="1:18" ht="15.75" customHeight="1" x14ac:dyDescent="0.35">
      <c r="A230" s="3"/>
      <c r="B230" s="20"/>
      <c r="C230" s="21"/>
      <c r="D230" s="21"/>
      <c r="E230" s="21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spans="1:18" ht="15.75" customHeight="1" x14ac:dyDescent="0.35">
      <c r="A231" s="3"/>
      <c r="B231" s="20"/>
      <c r="C231" s="21"/>
      <c r="D231" s="21"/>
      <c r="E231" s="21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spans="1:18" ht="15.75" customHeight="1" x14ac:dyDescent="0.35">
      <c r="A232" s="3"/>
      <c r="B232" s="20"/>
      <c r="C232" s="21"/>
      <c r="D232" s="21"/>
      <c r="E232" s="21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spans="1:18" ht="15.75" customHeight="1" x14ac:dyDescent="0.35">
      <c r="A233" s="3"/>
      <c r="B233" s="20"/>
      <c r="C233" s="21"/>
      <c r="D233" s="21"/>
      <c r="E233" s="21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spans="1:18" ht="15.75" customHeight="1" x14ac:dyDescent="0.35">
      <c r="A234" s="3"/>
      <c r="B234" s="20"/>
      <c r="C234" s="21"/>
      <c r="D234" s="21"/>
      <c r="E234" s="21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spans="1:18" ht="15.75" customHeight="1" x14ac:dyDescent="0.35">
      <c r="A235" s="3"/>
      <c r="B235" s="20"/>
      <c r="C235" s="21"/>
      <c r="D235" s="21"/>
      <c r="E235" s="21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spans="1:18" ht="15.75" customHeight="1" x14ac:dyDescent="0.35">
      <c r="A236" s="3"/>
      <c r="B236" s="20"/>
      <c r="C236" s="21"/>
      <c r="D236" s="21"/>
      <c r="E236" s="21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spans="1:18" ht="15.75" customHeight="1" x14ac:dyDescent="0.35">
      <c r="A237" s="3"/>
      <c r="B237" s="20"/>
      <c r="C237" s="21"/>
      <c r="D237" s="21"/>
      <c r="E237" s="21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spans="1:18" ht="15.75" customHeight="1" x14ac:dyDescent="0.35">
      <c r="A238" s="3"/>
      <c r="B238" s="20"/>
      <c r="C238" s="21"/>
      <c r="D238" s="21"/>
      <c r="E238" s="21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spans="1:18" ht="15.75" customHeight="1" x14ac:dyDescent="0.35">
      <c r="A239" s="3"/>
      <c r="B239" s="20"/>
      <c r="C239" s="21"/>
      <c r="D239" s="21"/>
      <c r="E239" s="21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spans="1:18" ht="15.75" customHeight="1" x14ac:dyDescent="0.35">
      <c r="A240" s="3"/>
      <c r="B240" s="20"/>
      <c r="C240" s="21"/>
      <c r="D240" s="21"/>
      <c r="E240" s="21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spans="1:18" ht="15.75" customHeight="1" x14ac:dyDescent="0.35">
      <c r="A241" s="3"/>
      <c r="B241" s="20"/>
      <c r="C241" s="21"/>
      <c r="D241" s="21"/>
      <c r="E241" s="21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spans="1:18" ht="15.75" customHeight="1" x14ac:dyDescent="0.35">
      <c r="A242" s="3"/>
      <c r="B242" s="20"/>
      <c r="C242" s="21"/>
      <c r="D242" s="21"/>
      <c r="E242" s="21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spans="1:18" ht="15.75" customHeight="1" x14ac:dyDescent="0.35">
      <c r="A243" s="3"/>
      <c r="B243" s="20"/>
      <c r="C243" s="21"/>
      <c r="D243" s="21"/>
      <c r="E243" s="21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spans="1:18" ht="15.75" customHeight="1" x14ac:dyDescent="0.35">
      <c r="A244" s="3"/>
      <c r="B244" s="20"/>
      <c r="C244" s="21"/>
      <c r="D244" s="21"/>
      <c r="E244" s="21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spans="1:18" ht="15.75" customHeight="1" x14ac:dyDescent="0.35">
      <c r="A245" s="3"/>
      <c r="B245" s="20"/>
      <c r="C245" s="21"/>
      <c r="D245" s="21"/>
      <c r="E245" s="21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spans="1:18" ht="15.75" customHeight="1" x14ac:dyDescent="0.35">
      <c r="A246" s="3"/>
      <c r="B246" s="20"/>
      <c r="C246" s="21"/>
      <c r="D246" s="21"/>
      <c r="E246" s="21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spans="1:18" ht="15.75" customHeight="1" x14ac:dyDescent="0.35">
      <c r="A247" s="3"/>
      <c r="B247" s="20"/>
      <c r="C247" s="21"/>
      <c r="D247" s="21"/>
      <c r="E247" s="21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spans="1:18" ht="15.75" customHeight="1" x14ac:dyDescent="0.35">
      <c r="A248" s="3"/>
      <c r="B248" s="20"/>
      <c r="C248" s="21"/>
      <c r="D248" s="21"/>
      <c r="E248" s="21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spans="1:18" ht="15.75" customHeight="1" x14ac:dyDescent="0.35">
      <c r="A249" s="3"/>
      <c r="B249" s="20"/>
      <c r="C249" s="21"/>
      <c r="D249" s="21"/>
      <c r="E249" s="21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spans="1:18" ht="15.75" customHeight="1" x14ac:dyDescent="0.35">
      <c r="A250" s="3"/>
      <c r="B250" s="20"/>
      <c r="C250" s="21"/>
      <c r="D250" s="21"/>
      <c r="E250" s="21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spans="1:18" ht="15.75" customHeight="1" x14ac:dyDescent="0.35">
      <c r="A251" s="3"/>
      <c r="B251" s="20"/>
      <c r="C251" s="21"/>
      <c r="D251" s="21"/>
      <c r="E251" s="21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spans="1:18" ht="15.75" customHeight="1" x14ac:dyDescent="0.35">
      <c r="A252" s="3"/>
      <c r="B252" s="20"/>
      <c r="C252" s="21"/>
      <c r="D252" s="21"/>
      <c r="E252" s="21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spans="1:18" ht="15.75" customHeight="1" x14ac:dyDescent="0.35">
      <c r="A253" s="3"/>
      <c r="B253" s="20"/>
      <c r="C253" s="21"/>
      <c r="D253" s="21"/>
      <c r="E253" s="21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spans="1:18" ht="15.75" customHeight="1" x14ac:dyDescent="0.35">
      <c r="A254" s="3"/>
      <c r="B254" s="20"/>
      <c r="C254" s="21"/>
      <c r="D254" s="21"/>
      <c r="E254" s="21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spans="1:18" ht="15.75" customHeight="1" x14ac:dyDescent="0.35">
      <c r="A255" s="3"/>
      <c r="B255" s="20"/>
      <c r="C255" s="21"/>
      <c r="D255" s="21"/>
      <c r="E255" s="21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spans="1:18" ht="15.75" customHeight="1" x14ac:dyDescent="0.35">
      <c r="A256" s="3"/>
      <c r="B256" s="20"/>
      <c r="C256" s="21"/>
      <c r="D256" s="21"/>
      <c r="E256" s="21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spans="1:18" ht="15.75" customHeight="1" x14ac:dyDescent="0.35">
      <c r="A257" s="3"/>
      <c r="B257" s="20"/>
      <c r="C257" s="21"/>
      <c r="D257" s="21"/>
      <c r="E257" s="21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spans="1:18" ht="15.75" customHeight="1" x14ac:dyDescent="0.35">
      <c r="A258" s="3"/>
      <c r="B258" s="20"/>
      <c r="C258" s="21"/>
      <c r="D258" s="21"/>
      <c r="E258" s="21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spans="1:18" ht="15.75" customHeight="1" x14ac:dyDescent="0.35">
      <c r="A259" s="3"/>
      <c r="B259" s="20"/>
      <c r="C259" s="21"/>
      <c r="D259" s="21"/>
      <c r="E259" s="21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spans="1:18" ht="15.75" customHeight="1" x14ac:dyDescent="0.35">
      <c r="A260" s="3"/>
      <c r="B260" s="20"/>
      <c r="C260" s="21"/>
      <c r="D260" s="21"/>
      <c r="E260" s="21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spans="1:18" ht="15.75" customHeight="1" x14ac:dyDescent="0.35">
      <c r="A261" s="3"/>
      <c r="B261" s="20"/>
      <c r="C261" s="21"/>
      <c r="D261" s="21"/>
      <c r="E261" s="21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spans="1:18" ht="15.75" customHeight="1" x14ac:dyDescent="0.35">
      <c r="A262" s="3"/>
      <c r="B262" s="20"/>
      <c r="C262" s="21"/>
      <c r="D262" s="21"/>
      <c r="E262" s="21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spans="1:18" ht="15.75" customHeight="1" x14ac:dyDescent="0.35">
      <c r="A263" s="3"/>
      <c r="B263" s="20"/>
      <c r="C263" s="21"/>
      <c r="D263" s="21"/>
      <c r="E263" s="21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spans="1:18" ht="15.75" customHeight="1" x14ac:dyDescent="0.35">
      <c r="A264" s="3"/>
      <c r="B264" s="20"/>
      <c r="C264" s="21"/>
      <c r="D264" s="21"/>
      <c r="E264" s="21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spans="1:18" ht="15.75" customHeight="1" x14ac:dyDescent="0.35">
      <c r="A265" s="3"/>
      <c r="B265" s="20"/>
      <c r="C265" s="21"/>
      <c r="D265" s="21"/>
      <c r="E265" s="21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spans="1:18" ht="15.75" customHeight="1" x14ac:dyDescent="0.35">
      <c r="A266" s="3"/>
      <c r="B266" s="20"/>
      <c r="C266" s="21"/>
      <c r="D266" s="21"/>
      <c r="E266" s="21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spans="1:18" ht="15.75" customHeight="1" x14ac:dyDescent="0.35">
      <c r="A267" s="3"/>
      <c r="B267" s="20"/>
      <c r="C267" s="21"/>
      <c r="D267" s="21"/>
      <c r="E267" s="21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spans="1:18" ht="15.75" customHeight="1" x14ac:dyDescent="0.35">
      <c r="A268" s="3"/>
      <c r="B268" s="20"/>
      <c r="C268" s="21"/>
      <c r="D268" s="21"/>
      <c r="E268" s="21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spans="1:18" ht="15.75" customHeight="1" x14ac:dyDescent="0.35">
      <c r="A269" s="3"/>
      <c r="B269" s="20"/>
      <c r="C269" s="21"/>
      <c r="D269" s="21"/>
      <c r="E269" s="21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spans="1:18" ht="15.75" customHeight="1" x14ac:dyDescent="0.35">
      <c r="A270" s="3"/>
      <c r="B270" s="20"/>
      <c r="C270" s="21"/>
      <c r="D270" s="21"/>
      <c r="E270" s="21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spans="1:18" ht="15.75" customHeight="1" x14ac:dyDescent="0.35">
      <c r="A271" s="3"/>
      <c r="B271" s="20"/>
      <c r="C271" s="21"/>
      <c r="D271" s="21"/>
      <c r="E271" s="21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spans="1:18" ht="15.75" customHeight="1" x14ac:dyDescent="0.35">
      <c r="A272" s="3"/>
      <c r="B272" s="20"/>
      <c r="C272" s="21"/>
      <c r="D272" s="21"/>
      <c r="E272" s="21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spans="1:18" ht="15.75" customHeight="1" x14ac:dyDescent="0.35">
      <c r="A273" s="3"/>
      <c r="B273" s="20"/>
      <c r="C273" s="21"/>
      <c r="D273" s="21"/>
      <c r="E273" s="21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spans="1:18" ht="15.75" customHeight="1" x14ac:dyDescent="0.35">
      <c r="A274" s="3"/>
      <c r="B274" s="20"/>
      <c r="C274" s="21"/>
      <c r="D274" s="21"/>
      <c r="E274" s="21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spans="1:18" ht="15.75" customHeight="1" x14ac:dyDescent="0.35">
      <c r="A275" s="3"/>
      <c r="B275" s="20"/>
      <c r="C275" s="21"/>
      <c r="D275" s="21"/>
      <c r="E275" s="21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spans="1:18" ht="15.75" customHeight="1" x14ac:dyDescent="0.35">
      <c r="A276" s="3"/>
      <c r="B276" s="20"/>
      <c r="C276" s="21"/>
      <c r="D276" s="21"/>
      <c r="E276" s="21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spans="1:18" ht="15.75" customHeight="1" x14ac:dyDescent="0.35">
      <c r="A277" s="3"/>
      <c r="B277" s="20"/>
      <c r="C277" s="21"/>
      <c r="D277" s="21"/>
      <c r="E277" s="21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spans="1:18" ht="15.75" customHeight="1" x14ac:dyDescent="0.35">
      <c r="A278" s="3"/>
      <c r="B278" s="20"/>
      <c r="C278" s="21"/>
      <c r="D278" s="21"/>
      <c r="E278" s="21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spans="1:18" ht="15.75" customHeight="1" x14ac:dyDescent="0.35">
      <c r="A279" s="3"/>
      <c r="B279" s="20"/>
      <c r="C279" s="21"/>
      <c r="D279" s="21"/>
      <c r="E279" s="21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spans="1:18" ht="15.75" customHeight="1" x14ac:dyDescent="0.35">
      <c r="A280" s="3"/>
      <c r="B280" s="20"/>
      <c r="C280" s="21"/>
      <c r="D280" s="21"/>
      <c r="E280" s="21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spans="1:18" ht="15.75" customHeight="1" x14ac:dyDescent="0.35">
      <c r="A281" s="3"/>
      <c r="B281" s="20"/>
      <c r="C281" s="21"/>
      <c r="D281" s="21"/>
      <c r="E281" s="21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spans="1:18" ht="15.75" customHeight="1" x14ac:dyDescent="0.35">
      <c r="A282" s="3"/>
      <c r="B282" s="20"/>
      <c r="C282" s="21"/>
      <c r="D282" s="21"/>
      <c r="E282" s="21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spans="1:18" ht="15.75" customHeight="1" x14ac:dyDescent="0.35">
      <c r="A283" s="3"/>
      <c r="B283" s="20"/>
      <c r="C283" s="21"/>
      <c r="D283" s="21"/>
      <c r="E283" s="21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spans="1:18" ht="15.75" customHeight="1" x14ac:dyDescent="0.35">
      <c r="A284" s="3"/>
      <c r="B284" s="20"/>
      <c r="C284" s="21"/>
      <c r="D284" s="21"/>
      <c r="E284" s="21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spans="1:18" ht="15.75" customHeight="1" x14ac:dyDescent="0.35">
      <c r="A285" s="3"/>
      <c r="B285" s="20"/>
      <c r="C285" s="21"/>
      <c r="D285" s="21"/>
      <c r="E285" s="21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spans="1:18" ht="15.75" customHeight="1" x14ac:dyDescent="0.35">
      <c r="A286" s="3"/>
      <c r="B286" s="20"/>
      <c r="C286" s="21"/>
      <c r="D286" s="21"/>
      <c r="E286" s="21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spans="1:18" ht="15.75" customHeight="1" x14ac:dyDescent="0.35">
      <c r="A287" s="3"/>
      <c r="B287" s="20"/>
      <c r="C287" s="21"/>
      <c r="D287" s="21"/>
      <c r="E287" s="21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spans="1:18" ht="15.75" customHeight="1" x14ac:dyDescent="0.35">
      <c r="A288" s="3"/>
      <c r="B288" s="20"/>
      <c r="C288" s="21"/>
      <c r="D288" s="21"/>
      <c r="E288" s="21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spans="1:18" ht="15.75" customHeight="1" x14ac:dyDescent="0.35">
      <c r="A289" s="3"/>
      <c r="B289" s="20"/>
      <c r="C289" s="21"/>
      <c r="D289" s="21"/>
      <c r="E289" s="21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spans="1:18" ht="15.75" customHeight="1" x14ac:dyDescent="0.35">
      <c r="A290" s="3"/>
      <c r="B290" s="20"/>
      <c r="C290" s="21"/>
      <c r="D290" s="21"/>
      <c r="E290" s="21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spans="1:18" ht="15.75" customHeight="1" x14ac:dyDescent="0.35">
      <c r="A291" s="3"/>
      <c r="B291" s="20"/>
      <c r="C291" s="21"/>
      <c r="D291" s="21"/>
      <c r="E291" s="21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spans="1:18" ht="15.75" customHeight="1" x14ac:dyDescent="0.35">
      <c r="A292" s="3"/>
      <c r="B292" s="20"/>
      <c r="C292" s="21"/>
      <c r="D292" s="21"/>
      <c r="E292" s="21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spans="1:18" ht="15.75" customHeight="1" x14ac:dyDescent="0.35">
      <c r="A293" s="3"/>
      <c r="B293" s="20"/>
      <c r="C293" s="21"/>
      <c r="D293" s="21"/>
      <c r="E293" s="21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spans="1:18" ht="15.75" customHeight="1" x14ac:dyDescent="0.35">
      <c r="A294" s="3"/>
      <c r="B294" s="20"/>
      <c r="C294" s="21"/>
      <c r="D294" s="21"/>
      <c r="E294" s="21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spans="1:18" ht="15.75" customHeight="1" x14ac:dyDescent="0.35">
      <c r="A295" s="3"/>
      <c r="B295" s="20"/>
      <c r="C295" s="21"/>
      <c r="D295" s="21"/>
      <c r="E295" s="21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spans="1:18" ht="15.75" customHeight="1" x14ac:dyDescent="0.35">
      <c r="A296" s="3"/>
      <c r="B296" s="20"/>
      <c r="C296" s="21"/>
      <c r="D296" s="21"/>
      <c r="E296" s="21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spans="1:18" ht="15.75" customHeight="1" x14ac:dyDescent="0.35">
      <c r="A297" s="3"/>
      <c r="B297" s="20"/>
      <c r="C297" s="21"/>
      <c r="D297" s="21"/>
      <c r="E297" s="21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spans="1:18" ht="15.75" customHeight="1" x14ac:dyDescent="0.35">
      <c r="A298" s="3"/>
      <c r="B298" s="20"/>
      <c r="C298" s="21"/>
      <c r="D298" s="21"/>
      <c r="E298" s="21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spans="1:18" ht="15.75" customHeight="1" x14ac:dyDescent="0.35">
      <c r="A299" s="3"/>
      <c r="B299" s="20"/>
      <c r="C299" s="21"/>
      <c r="D299" s="21"/>
      <c r="E299" s="21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spans="1:18" ht="15.75" customHeight="1" x14ac:dyDescent="0.35">
      <c r="A300" s="3"/>
      <c r="B300" s="20"/>
      <c r="C300" s="21"/>
      <c r="D300" s="21"/>
      <c r="E300" s="21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spans="1:18" ht="15.75" customHeight="1" x14ac:dyDescent="0.35">
      <c r="A301" s="3"/>
      <c r="B301" s="20"/>
      <c r="C301" s="21"/>
      <c r="D301" s="21"/>
      <c r="E301" s="21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spans="1:18" ht="15.75" customHeight="1" x14ac:dyDescent="0.35">
      <c r="A302" s="3"/>
      <c r="B302" s="20"/>
      <c r="C302" s="21"/>
      <c r="D302" s="21"/>
      <c r="E302" s="21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spans="1:18" ht="15.75" customHeight="1" x14ac:dyDescent="0.35">
      <c r="A303" s="3"/>
      <c r="B303" s="20"/>
      <c r="C303" s="21"/>
      <c r="D303" s="21"/>
      <c r="E303" s="21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spans="1:18" ht="15.75" customHeight="1" x14ac:dyDescent="0.35">
      <c r="A304" s="3"/>
      <c r="B304" s="20"/>
      <c r="C304" s="21"/>
      <c r="D304" s="21"/>
      <c r="E304" s="21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spans="1:18" ht="15.75" customHeight="1" x14ac:dyDescent="0.35">
      <c r="A305" s="3"/>
      <c r="B305" s="20"/>
      <c r="C305" s="21"/>
      <c r="D305" s="21"/>
      <c r="E305" s="21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spans="1:18" ht="15.75" customHeight="1" x14ac:dyDescent="0.35">
      <c r="A306" s="3"/>
      <c r="B306" s="20"/>
      <c r="C306" s="21"/>
      <c r="D306" s="21"/>
      <c r="E306" s="21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spans="1:18" ht="15.75" customHeight="1" x14ac:dyDescent="0.35">
      <c r="A307" s="3"/>
      <c r="B307" s="20"/>
      <c r="C307" s="21"/>
      <c r="D307" s="21"/>
      <c r="E307" s="21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spans="1:18" ht="15.75" customHeight="1" x14ac:dyDescent="0.35">
      <c r="A308" s="3"/>
      <c r="B308" s="20"/>
      <c r="C308" s="21"/>
      <c r="D308" s="21"/>
      <c r="E308" s="21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spans="1:18" ht="15.75" customHeight="1" x14ac:dyDescent="0.35">
      <c r="A309" s="3"/>
      <c r="B309" s="20"/>
      <c r="C309" s="21"/>
      <c r="D309" s="21"/>
      <c r="E309" s="21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spans="1:18" ht="15.75" customHeight="1" x14ac:dyDescent="0.35">
      <c r="A310" s="3"/>
      <c r="B310" s="20"/>
      <c r="C310" s="21"/>
      <c r="D310" s="21"/>
      <c r="E310" s="21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spans="1:18" ht="15.75" customHeight="1" x14ac:dyDescent="0.35">
      <c r="A311" s="3"/>
      <c r="B311" s="20"/>
      <c r="C311" s="21"/>
      <c r="D311" s="21"/>
      <c r="E311" s="21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spans="1:18" ht="15.75" customHeight="1" x14ac:dyDescent="0.35">
      <c r="A312" s="3"/>
      <c r="B312" s="20"/>
      <c r="C312" s="21"/>
      <c r="D312" s="21"/>
      <c r="E312" s="21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spans="1:18" ht="15.75" customHeight="1" x14ac:dyDescent="0.35">
      <c r="A313" s="3"/>
      <c r="B313" s="20"/>
      <c r="C313" s="21"/>
      <c r="D313" s="21"/>
      <c r="E313" s="21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spans="1:18" ht="15.75" customHeight="1" x14ac:dyDescent="0.35">
      <c r="A314" s="3"/>
      <c r="B314" s="20"/>
      <c r="C314" s="21"/>
      <c r="D314" s="21"/>
      <c r="E314" s="21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spans="1:18" ht="15.75" customHeight="1" x14ac:dyDescent="0.35">
      <c r="A315" s="3"/>
      <c r="B315" s="20"/>
      <c r="C315" s="21"/>
      <c r="D315" s="21"/>
      <c r="E315" s="21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spans="1:18" ht="15.75" customHeight="1" x14ac:dyDescent="0.35">
      <c r="A316" s="3"/>
      <c r="B316" s="20"/>
      <c r="C316" s="21"/>
      <c r="D316" s="21"/>
      <c r="E316" s="21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spans="1:18" ht="15.75" customHeight="1" x14ac:dyDescent="0.35">
      <c r="A317" s="3"/>
      <c r="B317" s="20"/>
      <c r="C317" s="21"/>
      <c r="D317" s="21"/>
      <c r="E317" s="21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spans="1:18" ht="15.75" customHeight="1" x14ac:dyDescent="0.35">
      <c r="A318" s="3"/>
      <c r="B318" s="20"/>
      <c r="C318" s="21"/>
      <c r="D318" s="21"/>
      <c r="E318" s="21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spans="1:18" ht="15.75" customHeight="1" x14ac:dyDescent="0.35">
      <c r="A319" s="3"/>
      <c r="B319" s="20"/>
      <c r="C319" s="21"/>
      <c r="D319" s="21"/>
      <c r="E319" s="21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spans="1:18" ht="15.75" customHeight="1" x14ac:dyDescent="0.35">
      <c r="A320" s="3"/>
      <c r="B320" s="20"/>
      <c r="C320" s="21"/>
      <c r="D320" s="21"/>
      <c r="E320" s="21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spans="1:18" ht="15.75" customHeight="1" x14ac:dyDescent="0.35">
      <c r="A321" s="3"/>
      <c r="B321" s="20"/>
      <c r="C321" s="21"/>
      <c r="D321" s="21"/>
      <c r="E321" s="21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spans="1:18" ht="15.75" customHeight="1" x14ac:dyDescent="0.35">
      <c r="A322" s="3"/>
      <c r="B322" s="20"/>
      <c r="C322" s="21"/>
      <c r="D322" s="21"/>
      <c r="E322" s="21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spans="1:18" ht="15.75" customHeight="1" x14ac:dyDescent="0.35">
      <c r="A323" s="3"/>
      <c r="B323" s="20"/>
      <c r="C323" s="21"/>
      <c r="D323" s="21"/>
      <c r="E323" s="21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spans="1:18" ht="15.75" customHeight="1" x14ac:dyDescent="0.35">
      <c r="A324" s="3"/>
      <c r="B324" s="20"/>
      <c r="C324" s="21"/>
      <c r="D324" s="21"/>
      <c r="E324" s="21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spans="1:18" ht="15.75" customHeight="1" x14ac:dyDescent="0.35">
      <c r="A325" s="3"/>
      <c r="B325" s="20"/>
      <c r="C325" s="21"/>
      <c r="D325" s="21"/>
      <c r="E325" s="21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spans="1:18" ht="15.75" customHeight="1" x14ac:dyDescent="0.35">
      <c r="A326" s="3"/>
      <c r="B326" s="20"/>
      <c r="C326" s="21"/>
      <c r="D326" s="21"/>
      <c r="E326" s="21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spans="1:18" ht="15.75" customHeight="1" x14ac:dyDescent="0.35">
      <c r="A327" s="3"/>
      <c r="B327" s="20"/>
      <c r="C327" s="21"/>
      <c r="D327" s="21"/>
      <c r="E327" s="21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spans="1:18" ht="15.75" customHeight="1" x14ac:dyDescent="0.35">
      <c r="A328" s="3"/>
      <c r="B328" s="20"/>
      <c r="C328" s="21"/>
      <c r="D328" s="21"/>
      <c r="E328" s="21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spans="1:18" ht="15.75" customHeight="1" x14ac:dyDescent="0.35">
      <c r="A329" s="3"/>
      <c r="B329" s="20"/>
      <c r="C329" s="21"/>
      <c r="D329" s="21"/>
      <c r="E329" s="21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spans="1:18" ht="15.75" customHeight="1" x14ac:dyDescent="0.35">
      <c r="A330" s="3"/>
      <c r="B330" s="20"/>
      <c r="C330" s="21"/>
      <c r="D330" s="21"/>
      <c r="E330" s="21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spans="1:18" ht="15.75" customHeight="1" x14ac:dyDescent="0.35">
      <c r="A331" s="3"/>
      <c r="B331" s="20"/>
      <c r="C331" s="21"/>
      <c r="D331" s="21"/>
      <c r="E331" s="21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spans="1:18" ht="15.75" customHeight="1" x14ac:dyDescent="0.35">
      <c r="A332" s="3"/>
      <c r="B332" s="20"/>
      <c r="C332" s="21"/>
      <c r="D332" s="21"/>
      <c r="E332" s="21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spans="1:18" ht="15.75" customHeight="1" x14ac:dyDescent="0.35">
      <c r="A333" s="3"/>
      <c r="B333" s="20"/>
      <c r="C333" s="21"/>
      <c r="D333" s="21"/>
      <c r="E333" s="21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spans="1:18" ht="15.75" customHeight="1" x14ac:dyDescent="0.35">
      <c r="A334" s="3"/>
      <c r="B334" s="20"/>
      <c r="C334" s="21"/>
      <c r="D334" s="21"/>
      <c r="E334" s="21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spans="1:18" ht="15.75" customHeight="1" x14ac:dyDescent="0.35">
      <c r="A335" s="3"/>
      <c r="B335" s="20"/>
      <c r="C335" s="21"/>
      <c r="D335" s="21"/>
      <c r="E335" s="21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spans="1:18" ht="15.75" customHeight="1" x14ac:dyDescent="0.35">
      <c r="A336" s="3"/>
      <c r="B336" s="20"/>
      <c r="C336" s="21"/>
      <c r="D336" s="21"/>
      <c r="E336" s="21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spans="1:18" ht="15.75" customHeight="1" x14ac:dyDescent="0.35">
      <c r="A337" s="3"/>
      <c r="B337" s="20"/>
      <c r="C337" s="21"/>
      <c r="D337" s="21"/>
      <c r="E337" s="21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spans="1:18" ht="15.75" customHeight="1" x14ac:dyDescent="0.35">
      <c r="A338" s="3"/>
      <c r="B338" s="20"/>
      <c r="C338" s="21"/>
      <c r="D338" s="21"/>
      <c r="E338" s="21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spans="1:18" ht="15.75" customHeight="1" x14ac:dyDescent="0.35">
      <c r="A339" s="3"/>
      <c r="B339" s="20"/>
      <c r="C339" s="21"/>
      <c r="D339" s="21"/>
      <c r="E339" s="21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spans="1:18" ht="15.75" customHeight="1" x14ac:dyDescent="0.35">
      <c r="A340" s="3"/>
      <c r="B340" s="20"/>
      <c r="C340" s="21"/>
      <c r="D340" s="21"/>
      <c r="E340" s="21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spans="1:18" ht="15.75" customHeight="1" x14ac:dyDescent="0.35">
      <c r="A341" s="3"/>
      <c r="B341" s="20"/>
      <c r="C341" s="21"/>
      <c r="D341" s="21"/>
      <c r="E341" s="21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spans="1:18" ht="15.75" customHeight="1" x14ac:dyDescent="0.35">
      <c r="A342" s="3"/>
      <c r="B342" s="20"/>
      <c r="C342" s="21"/>
      <c r="D342" s="21"/>
      <c r="E342" s="21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spans="1:18" ht="15.75" customHeight="1" x14ac:dyDescent="0.35">
      <c r="A343" s="3"/>
      <c r="B343" s="20"/>
      <c r="C343" s="21"/>
      <c r="D343" s="21"/>
      <c r="E343" s="21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spans="1:18" ht="15.75" customHeight="1" x14ac:dyDescent="0.35">
      <c r="A344" s="3"/>
      <c r="B344" s="20"/>
      <c r="C344" s="21"/>
      <c r="D344" s="21"/>
      <c r="E344" s="21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spans="1:18" ht="15.75" customHeight="1" x14ac:dyDescent="0.35">
      <c r="A345" s="3"/>
      <c r="B345" s="20"/>
      <c r="C345" s="21"/>
      <c r="D345" s="21"/>
      <c r="E345" s="21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spans="1:18" ht="15.75" customHeight="1" x14ac:dyDescent="0.35">
      <c r="A346" s="3"/>
      <c r="B346" s="20"/>
      <c r="C346" s="21"/>
      <c r="D346" s="21"/>
      <c r="E346" s="21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spans="1:18" ht="15.75" customHeight="1" x14ac:dyDescent="0.35">
      <c r="A347" s="3"/>
      <c r="B347" s="20"/>
      <c r="C347" s="21"/>
      <c r="D347" s="21"/>
      <c r="E347" s="21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spans="1:18" ht="15.75" customHeight="1" x14ac:dyDescent="0.35">
      <c r="A348" s="3"/>
      <c r="B348" s="20"/>
      <c r="C348" s="21"/>
      <c r="D348" s="21"/>
      <c r="E348" s="21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spans="1:18" ht="15.75" customHeight="1" x14ac:dyDescent="0.35">
      <c r="A349" s="3"/>
      <c r="B349" s="20"/>
      <c r="C349" s="21"/>
      <c r="D349" s="21"/>
      <c r="E349" s="21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spans="1:18" ht="15.75" customHeight="1" x14ac:dyDescent="0.35">
      <c r="A350" s="3"/>
      <c r="B350" s="20"/>
      <c r="C350" s="21"/>
      <c r="D350" s="21"/>
      <c r="E350" s="21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spans="1:18" ht="15.75" customHeight="1" x14ac:dyDescent="0.35">
      <c r="A351" s="3"/>
      <c r="B351" s="20"/>
      <c r="C351" s="21"/>
      <c r="D351" s="21"/>
      <c r="E351" s="21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spans="1:18" ht="15.75" customHeight="1" x14ac:dyDescent="0.35">
      <c r="A352" s="3"/>
      <c r="B352" s="20"/>
      <c r="C352" s="21"/>
      <c r="D352" s="21"/>
      <c r="E352" s="21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spans="1:18" ht="15.75" customHeight="1" x14ac:dyDescent="0.35">
      <c r="A353" s="3"/>
      <c r="B353" s="20"/>
      <c r="C353" s="21"/>
      <c r="D353" s="21"/>
      <c r="E353" s="21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spans="1:18" ht="15.75" customHeight="1" x14ac:dyDescent="0.35">
      <c r="A354" s="3"/>
      <c r="B354" s="20"/>
      <c r="C354" s="21"/>
      <c r="D354" s="21"/>
      <c r="E354" s="21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spans="1:18" ht="15.75" customHeight="1" x14ac:dyDescent="0.35">
      <c r="A355" s="3"/>
      <c r="B355" s="20"/>
      <c r="C355" s="21"/>
      <c r="D355" s="21"/>
      <c r="E355" s="21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spans="1:18" ht="15.75" customHeight="1" x14ac:dyDescent="0.35">
      <c r="A356" s="3"/>
      <c r="B356" s="20"/>
      <c r="C356" s="21"/>
      <c r="D356" s="21"/>
      <c r="E356" s="21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spans="1:18" ht="15.75" customHeight="1" x14ac:dyDescent="0.35">
      <c r="A357" s="3"/>
      <c r="B357" s="20"/>
      <c r="C357" s="21"/>
      <c r="D357" s="21"/>
      <c r="E357" s="21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spans="1:18" ht="15.75" customHeight="1" x14ac:dyDescent="0.35">
      <c r="A358" s="3"/>
      <c r="B358" s="20"/>
      <c r="C358" s="21"/>
      <c r="D358" s="21"/>
      <c r="E358" s="21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spans="1:18" ht="15.75" customHeight="1" x14ac:dyDescent="0.35">
      <c r="A359" s="3"/>
      <c r="B359" s="20"/>
      <c r="C359" s="21"/>
      <c r="D359" s="21"/>
      <c r="E359" s="21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spans="1:18" ht="15.75" customHeight="1" x14ac:dyDescent="0.35">
      <c r="A360" s="3"/>
      <c r="B360" s="20"/>
      <c r="C360" s="21"/>
      <c r="D360" s="21"/>
      <c r="E360" s="21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spans="1:18" ht="15.75" customHeight="1" x14ac:dyDescent="0.35">
      <c r="A361" s="3"/>
      <c r="B361" s="20"/>
      <c r="C361" s="21"/>
      <c r="D361" s="21"/>
      <c r="E361" s="21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spans="1:18" ht="15.75" customHeight="1" x14ac:dyDescent="0.35">
      <c r="A362" s="3"/>
      <c r="B362" s="20"/>
      <c r="C362" s="21"/>
      <c r="D362" s="21"/>
      <c r="E362" s="21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spans="1:18" ht="15.75" customHeight="1" x14ac:dyDescent="0.35">
      <c r="A363" s="3"/>
      <c r="B363" s="20"/>
      <c r="C363" s="21"/>
      <c r="D363" s="21"/>
      <c r="E363" s="21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spans="1:18" ht="15.75" customHeight="1" x14ac:dyDescent="0.35">
      <c r="A364" s="3"/>
      <c r="B364" s="20"/>
      <c r="C364" s="21"/>
      <c r="D364" s="21"/>
      <c r="E364" s="21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spans="1:18" ht="15.75" customHeight="1" x14ac:dyDescent="0.35">
      <c r="A365" s="3"/>
      <c r="B365" s="20"/>
      <c r="C365" s="21"/>
      <c r="D365" s="21"/>
      <c r="E365" s="21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spans="1:18" ht="15.75" customHeight="1" x14ac:dyDescent="0.35">
      <c r="A366" s="3"/>
      <c r="B366" s="20"/>
      <c r="C366" s="21"/>
      <c r="D366" s="21"/>
      <c r="E366" s="21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spans="1:18" ht="15.75" customHeight="1" x14ac:dyDescent="0.35">
      <c r="A367" s="3"/>
      <c r="B367" s="20"/>
      <c r="C367" s="21"/>
      <c r="D367" s="21"/>
      <c r="E367" s="21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spans="1:18" ht="15.75" customHeight="1" x14ac:dyDescent="0.35">
      <c r="A368" s="3"/>
      <c r="B368" s="20"/>
      <c r="C368" s="21"/>
      <c r="D368" s="21"/>
      <c r="E368" s="21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spans="1:18" ht="15.75" customHeight="1" x14ac:dyDescent="0.35">
      <c r="A369" s="3"/>
      <c r="B369" s="20"/>
      <c r="C369" s="21"/>
      <c r="D369" s="21"/>
      <c r="E369" s="21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spans="1:18" ht="15.75" customHeight="1" x14ac:dyDescent="0.35">
      <c r="A370" s="3"/>
      <c r="B370" s="20"/>
      <c r="C370" s="21"/>
      <c r="D370" s="21"/>
      <c r="E370" s="21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spans="1:18" ht="15.75" customHeight="1" x14ac:dyDescent="0.35">
      <c r="A371" s="3"/>
      <c r="B371" s="20"/>
      <c r="C371" s="21"/>
      <c r="D371" s="21"/>
      <c r="E371" s="21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spans="1:18" ht="15.75" customHeight="1" x14ac:dyDescent="0.35">
      <c r="A372" s="3"/>
      <c r="B372" s="20"/>
      <c r="C372" s="21"/>
      <c r="D372" s="21"/>
      <c r="E372" s="21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spans="1:18" ht="15.75" customHeight="1" x14ac:dyDescent="0.35">
      <c r="A373" s="3"/>
      <c r="B373" s="20"/>
      <c r="C373" s="21"/>
      <c r="D373" s="21"/>
      <c r="E373" s="21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spans="1:18" ht="15.75" customHeight="1" x14ac:dyDescent="0.35">
      <c r="A374" s="3"/>
      <c r="B374" s="20"/>
      <c r="C374" s="21"/>
      <c r="D374" s="21"/>
      <c r="E374" s="21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spans="1:18" ht="15.75" customHeight="1" x14ac:dyDescent="0.35">
      <c r="A375" s="3"/>
      <c r="B375" s="20"/>
      <c r="C375" s="21"/>
      <c r="D375" s="21"/>
      <c r="E375" s="21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spans="1:18" ht="15.75" customHeight="1" x14ac:dyDescent="0.35">
      <c r="A376" s="3"/>
      <c r="B376" s="20"/>
      <c r="C376" s="21"/>
      <c r="D376" s="21"/>
      <c r="E376" s="21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spans="1:18" ht="15.75" customHeight="1" x14ac:dyDescent="0.35">
      <c r="A377" s="3"/>
      <c r="B377" s="20"/>
      <c r="C377" s="21"/>
      <c r="D377" s="21"/>
      <c r="E377" s="21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spans="1:18" ht="15.75" customHeight="1" x14ac:dyDescent="0.35">
      <c r="A378" s="3"/>
      <c r="B378" s="20"/>
      <c r="C378" s="21"/>
      <c r="D378" s="21"/>
      <c r="E378" s="21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spans="1:18" ht="15.75" customHeight="1" x14ac:dyDescent="0.35">
      <c r="A379" s="3"/>
      <c r="B379" s="20"/>
      <c r="C379" s="21"/>
      <c r="D379" s="21"/>
      <c r="E379" s="21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spans="1:18" ht="15.75" customHeight="1" x14ac:dyDescent="0.35">
      <c r="A380" s="3"/>
      <c r="B380" s="20"/>
      <c r="C380" s="21"/>
      <c r="D380" s="21"/>
      <c r="E380" s="21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spans="1:18" ht="15.75" customHeight="1" x14ac:dyDescent="0.35">
      <c r="A381" s="3"/>
      <c r="B381" s="20"/>
      <c r="C381" s="21"/>
      <c r="D381" s="21"/>
      <c r="E381" s="21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spans="1:18" ht="15.75" customHeight="1" x14ac:dyDescent="0.35">
      <c r="A382" s="3"/>
      <c r="B382" s="20"/>
      <c r="C382" s="21"/>
      <c r="D382" s="21"/>
      <c r="E382" s="21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spans="1:18" ht="15.75" customHeight="1" x14ac:dyDescent="0.35">
      <c r="A383" s="3"/>
      <c r="B383" s="20"/>
      <c r="C383" s="21"/>
      <c r="D383" s="21"/>
      <c r="E383" s="21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spans="1:18" ht="15.75" customHeight="1" x14ac:dyDescent="0.35">
      <c r="A384" s="3"/>
      <c r="B384" s="20"/>
      <c r="C384" s="21"/>
      <c r="D384" s="21"/>
      <c r="E384" s="21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spans="1:18" ht="15.75" customHeight="1" x14ac:dyDescent="0.35">
      <c r="A385" s="3"/>
      <c r="B385" s="20"/>
      <c r="C385" s="21"/>
      <c r="D385" s="21"/>
      <c r="E385" s="21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spans="1:18" ht="15.75" customHeight="1" x14ac:dyDescent="0.35">
      <c r="A386" s="3"/>
      <c r="B386" s="20"/>
      <c r="C386" s="21"/>
      <c r="D386" s="21"/>
      <c r="E386" s="21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spans="1:18" ht="15.75" customHeight="1" x14ac:dyDescent="0.35">
      <c r="A387" s="3"/>
      <c r="B387" s="20"/>
      <c r="C387" s="21"/>
      <c r="D387" s="21"/>
      <c r="E387" s="21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spans="1:18" ht="15.75" customHeight="1" x14ac:dyDescent="0.35">
      <c r="A388" s="3"/>
      <c r="B388" s="20"/>
      <c r="C388" s="21"/>
      <c r="D388" s="21"/>
      <c r="E388" s="21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spans="1:18" ht="15.75" customHeight="1" x14ac:dyDescent="0.35">
      <c r="A389" s="3"/>
      <c r="B389" s="20"/>
      <c r="C389" s="21"/>
      <c r="D389" s="21"/>
      <c r="E389" s="21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spans="1:18" ht="15.75" customHeight="1" x14ac:dyDescent="0.35">
      <c r="A390" s="3"/>
      <c r="B390" s="20"/>
      <c r="C390" s="21"/>
      <c r="D390" s="21"/>
      <c r="E390" s="21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spans="1:18" ht="15.75" customHeight="1" x14ac:dyDescent="0.35">
      <c r="A391" s="3"/>
      <c r="B391" s="20"/>
      <c r="C391" s="21"/>
      <c r="D391" s="21"/>
      <c r="E391" s="21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spans="1:18" ht="15.75" customHeight="1" x14ac:dyDescent="0.35">
      <c r="A392" s="3"/>
      <c r="B392" s="20"/>
      <c r="C392" s="21"/>
      <c r="D392" s="21"/>
      <c r="E392" s="21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spans="1:18" ht="15.75" customHeight="1" x14ac:dyDescent="0.35">
      <c r="A393" s="3"/>
      <c r="B393" s="20"/>
      <c r="C393" s="21"/>
      <c r="D393" s="21"/>
      <c r="E393" s="21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spans="1:18" ht="15.75" customHeight="1" x14ac:dyDescent="0.35">
      <c r="A394" s="3"/>
      <c r="B394" s="20"/>
      <c r="C394" s="21"/>
      <c r="D394" s="21"/>
      <c r="E394" s="21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spans="1:18" ht="15.75" customHeight="1" x14ac:dyDescent="0.35">
      <c r="A395" s="3"/>
      <c r="B395" s="20"/>
      <c r="C395" s="21"/>
      <c r="D395" s="21"/>
      <c r="E395" s="21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spans="1:18" ht="15.75" customHeight="1" x14ac:dyDescent="0.35">
      <c r="A396" s="3"/>
      <c r="B396" s="20"/>
      <c r="C396" s="21"/>
      <c r="D396" s="21"/>
      <c r="E396" s="21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spans="1:18" ht="15.75" customHeight="1" x14ac:dyDescent="0.35">
      <c r="A397" s="3"/>
      <c r="B397" s="20"/>
      <c r="C397" s="21"/>
      <c r="D397" s="21"/>
      <c r="E397" s="21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spans="1:18" ht="15.75" customHeight="1" x14ac:dyDescent="0.35">
      <c r="A398" s="3"/>
      <c r="B398" s="20"/>
      <c r="C398" s="21"/>
      <c r="D398" s="21"/>
      <c r="E398" s="21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spans="1:18" ht="15.75" customHeight="1" x14ac:dyDescent="0.35">
      <c r="A399" s="3"/>
      <c r="B399" s="20"/>
      <c r="C399" s="21"/>
      <c r="D399" s="21"/>
      <c r="E399" s="21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spans="1:18" ht="15.75" customHeight="1" x14ac:dyDescent="0.35">
      <c r="A400" s="3"/>
      <c r="B400" s="20"/>
      <c r="C400" s="21"/>
      <c r="D400" s="21"/>
      <c r="E400" s="21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spans="1:18" ht="15.75" customHeight="1" x14ac:dyDescent="0.35">
      <c r="A401" s="3"/>
      <c r="B401" s="20"/>
      <c r="C401" s="21"/>
      <c r="D401" s="21"/>
      <c r="E401" s="21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spans="1:18" ht="15.75" customHeight="1" x14ac:dyDescent="0.35">
      <c r="A402" s="3"/>
      <c r="B402" s="20"/>
      <c r="C402" s="21"/>
      <c r="D402" s="21"/>
      <c r="E402" s="21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spans="1:18" ht="15.75" customHeight="1" x14ac:dyDescent="0.35">
      <c r="A403" s="3"/>
      <c r="B403" s="20"/>
      <c r="C403" s="21"/>
      <c r="D403" s="21"/>
      <c r="E403" s="21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spans="1:18" ht="15.75" customHeight="1" x14ac:dyDescent="0.35">
      <c r="A404" s="3"/>
      <c r="B404" s="20"/>
      <c r="C404" s="21"/>
      <c r="D404" s="21"/>
      <c r="E404" s="21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spans="1:18" ht="15.75" customHeight="1" x14ac:dyDescent="0.35">
      <c r="A405" s="3"/>
      <c r="B405" s="20"/>
      <c r="C405" s="21"/>
      <c r="D405" s="21"/>
      <c r="E405" s="21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spans="1:18" ht="15.75" customHeight="1" x14ac:dyDescent="0.35">
      <c r="A406" s="3"/>
      <c r="B406" s="20"/>
      <c r="C406" s="21"/>
      <c r="D406" s="21"/>
      <c r="E406" s="21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spans="1:18" ht="15.75" customHeight="1" x14ac:dyDescent="0.35">
      <c r="A407" s="3"/>
      <c r="B407" s="20"/>
      <c r="C407" s="21"/>
      <c r="D407" s="21"/>
      <c r="E407" s="21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spans="1:18" ht="15.75" customHeight="1" x14ac:dyDescent="0.35">
      <c r="A408" s="3"/>
      <c r="B408" s="20"/>
      <c r="C408" s="21"/>
      <c r="D408" s="21"/>
      <c r="E408" s="21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spans="1:18" ht="15.75" customHeight="1" x14ac:dyDescent="0.35">
      <c r="A409" s="3"/>
      <c r="B409" s="20"/>
      <c r="C409" s="21"/>
      <c r="D409" s="21"/>
      <c r="E409" s="21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spans="1:18" ht="15.75" customHeight="1" x14ac:dyDescent="0.35">
      <c r="A410" s="3"/>
      <c r="B410" s="20"/>
      <c r="C410" s="21"/>
      <c r="D410" s="21"/>
      <c r="E410" s="21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spans="1:18" ht="15.75" customHeight="1" x14ac:dyDescent="0.35">
      <c r="A411" s="3"/>
      <c r="B411" s="20"/>
      <c r="C411" s="21"/>
      <c r="D411" s="21"/>
      <c r="E411" s="21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spans="1:18" ht="15.75" customHeight="1" x14ac:dyDescent="0.35">
      <c r="A412" s="3"/>
      <c r="B412" s="20"/>
      <c r="C412" s="21"/>
      <c r="D412" s="21"/>
      <c r="E412" s="21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spans="1:18" ht="15.75" customHeight="1" x14ac:dyDescent="0.35">
      <c r="A413" s="3"/>
      <c r="B413" s="20"/>
      <c r="C413" s="21"/>
      <c r="D413" s="21"/>
      <c r="E413" s="21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spans="1:18" ht="15.75" customHeight="1" x14ac:dyDescent="0.35">
      <c r="A414" s="3"/>
      <c r="B414" s="20"/>
      <c r="C414" s="21"/>
      <c r="D414" s="21"/>
      <c r="E414" s="21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spans="1:18" ht="15.75" customHeight="1" x14ac:dyDescent="0.35">
      <c r="A415" s="3"/>
      <c r="B415" s="20"/>
      <c r="C415" s="21"/>
      <c r="D415" s="21"/>
      <c r="E415" s="21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spans="1:18" ht="15.75" customHeight="1" x14ac:dyDescent="0.35">
      <c r="A416" s="3"/>
      <c r="B416" s="20"/>
      <c r="C416" s="21"/>
      <c r="D416" s="21"/>
      <c r="E416" s="21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spans="1:18" ht="15.75" customHeight="1" x14ac:dyDescent="0.35">
      <c r="A417" s="3"/>
      <c r="B417" s="20"/>
      <c r="C417" s="21"/>
      <c r="D417" s="21"/>
      <c r="E417" s="21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spans="1:18" ht="15.75" customHeight="1" x14ac:dyDescent="0.35">
      <c r="A418" s="3"/>
      <c r="B418" s="20"/>
      <c r="C418" s="21"/>
      <c r="D418" s="21"/>
      <c r="E418" s="21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spans="1:18" ht="15.75" customHeight="1" x14ac:dyDescent="0.35">
      <c r="A419" s="3"/>
      <c r="B419" s="20"/>
      <c r="C419" s="21"/>
      <c r="D419" s="21"/>
      <c r="E419" s="21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spans="1:18" ht="15.75" customHeight="1" x14ac:dyDescent="0.35">
      <c r="A420" s="3"/>
      <c r="B420" s="20"/>
      <c r="C420" s="21"/>
      <c r="D420" s="21"/>
      <c r="E420" s="21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spans="1:18" ht="15.75" customHeight="1" x14ac:dyDescent="0.35">
      <c r="A421" s="3"/>
      <c r="B421" s="20"/>
      <c r="C421" s="21"/>
      <c r="D421" s="21"/>
      <c r="E421" s="21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spans="1:18" ht="15.75" customHeight="1" x14ac:dyDescent="0.35">
      <c r="A422" s="3"/>
      <c r="B422" s="20"/>
      <c r="C422" s="21"/>
      <c r="D422" s="21"/>
      <c r="E422" s="21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spans="1:18" ht="15.75" customHeight="1" x14ac:dyDescent="0.35">
      <c r="A423" s="3"/>
      <c r="B423" s="20"/>
      <c r="C423" s="21"/>
      <c r="D423" s="21"/>
      <c r="E423" s="21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spans="1:18" ht="15.75" customHeight="1" x14ac:dyDescent="0.35">
      <c r="A424" s="3"/>
      <c r="B424" s="20"/>
      <c r="C424" s="21"/>
      <c r="D424" s="21"/>
      <c r="E424" s="21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spans="1:18" ht="15.75" customHeight="1" x14ac:dyDescent="0.35">
      <c r="A425" s="3"/>
      <c r="B425" s="20"/>
      <c r="C425" s="21"/>
      <c r="D425" s="21"/>
      <c r="E425" s="21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spans="1:18" ht="15.75" customHeight="1" x14ac:dyDescent="0.35">
      <c r="A426" s="3"/>
      <c r="B426" s="20"/>
      <c r="C426" s="21"/>
      <c r="D426" s="21"/>
      <c r="E426" s="21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spans="1:18" ht="15.75" customHeight="1" x14ac:dyDescent="0.35">
      <c r="A427" s="3"/>
      <c r="B427" s="20"/>
      <c r="C427" s="21"/>
      <c r="D427" s="21"/>
      <c r="E427" s="21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spans="1:18" ht="15.75" customHeight="1" x14ac:dyDescent="0.35">
      <c r="A428" s="3"/>
      <c r="B428" s="20"/>
      <c r="C428" s="21"/>
      <c r="D428" s="21"/>
      <c r="E428" s="21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spans="1:18" ht="15.75" customHeight="1" x14ac:dyDescent="0.35">
      <c r="A429" s="3"/>
      <c r="B429" s="20"/>
      <c r="C429" s="21"/>
      <c r="D429" s="21"/>
      <c r="E429" s="21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spans="1:18" ht="15.75" customHeight="1" x14ac:dyDescent="0.35">
      <c r="A430" s="3"/>
      <c r="B430" s="20"/>
      <c r="C430" s="21"/>
      <c r="D430" s="21"/>
      <c r="E430" s="21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spans="1:18" ht="15.75" customHeight="1" x14ac:dyDescent="0.35">
      <c r="A431" s="3"/>
      <c r="B431" s="20"/>
      <c r="C431" s="21"/>
      <c r="D431" s="21"/>
      <c r="E431" s="21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spans="1:18" ht="15.75" customHeight="1" x14ac:dyDescent="0.35">
      <c r="A432" s="3"/>
      <c r="B432" s="20"/>
      <c r="C432" s="21"/>
      <c r="D432" s="21"/>
      <c r="E432" s="21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spans="1:18" ht="15.75" customHeight="1" x14ac:dyDescent="0.35">
      <c r="A433" s="3"/>
      <c r="B433" s="20"/>
      <c r="C433" s="21"/>
      <c r="D433" s="21"/>
      <c r="E433" s="21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spans="1:18" ht="15.75" customHeight="1" x14ac:dyDescent="0.35">
      <c r="A434" s="3"/>
      <c r="B434" s="20"/>
      <c r="C434" s="21"/>
      <c r="D434" s="21"/>
      <c r="E434" s="21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spans="1:18" ht="15.75" customHeight="1" x14ac:dyDescent="0.35">
      <c r="A435" s="3"/>
      <c r="B435" s="20"/>
      <c r="C435" s="21"/>
      <c r="D435" s="21"/>
      <c r="E435" s="21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spans="1:18" ht="15.75" customHeight="1" x14ac:dyDescent="0.35">
      <c r="A436" s="3"/>
      <c r="B436" s="20"/>
      <c r="C436" s="21"/>
      <c r="D436" s="21"/>
      <c r="E436" s="21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spans="1:18" ht="15.75" customHeight="1" x14ac:dyDescent="0.35">
      <c r="A437" s="3"/>
      <c r="B437" s="20"/>
      <c r="C437" s="21"/>
      <c r="D437" s="21"/>
      <c r="E437" s="21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spans="1:18" ht="15.75" customHeight="1" x14ac:dyDescent="0.35">
      <c r="A438" s="3"/>
      <c r="B438" s="20"/>
      <c r="C438" s="21"/>
      <c r="D438" s="21"/>
      <c r="E438" s="21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spans="1:18" ht="15.75" customHeight="1" x14ac:dyDescent="0.35">
      <c r="A439" s="3"/>
      <c r="B439" s="20"/>
      <c r="C439" s="21"/>
      <c r="D439" s="21"/>
      <c r="E439" s="21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spans="1:18" ht="15.75" customHeight="1" x14ac:dyDescent="0.35">
      <c r="A440" s="3"/>
      <c r="B440" s="20"/>
      <c r="C440" s="21"/>
      <c r="D440" s="21"/>
      <c r="E440" s="21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spans="1:18" ht="15.75" customHeight="1" x14ac:dyDescent="0.35">
      <c r="A441" s="3"/>
      <c r="B441" s="20"/>
      <c r="C441" s="21"/>
      <c r="D441" s="21"/>
      <c r="E441" s="21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spans="1:18" ht="15.75" customHeight="1" x14ac:dyDescent="0.35">
      <c r="A442" s="3"/>
      <c r="B442" s="20"/>
      <c r="C442" s="21"/>
      <c r="D442" s="21"/>
      <c r="E442" s="21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spans="1:18" ht="15.75" customHeight="1" x14ac:dyDescent="0.35">
      <c r="A443" s="3"/>
      <c r="B443" s="20"/>
      <c r="C443" s="21"/>
      <c r="D443" s="21"/>
      <c r="E443" s="21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spans="1:18" ht="15.75" customHeight="1" x14ac:dyDescent="0.35">
      <c r="A444" s="3"/>
      <c r="B444" s="20"/>
      <c r="C444" s="21"/>
      <c r="D444" s="21"/>
      <c r="E444" s="21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spans="1:18" ht="15.75" customHeight="1" x14ac:dyDescent="0.35">
      <c r="A445" s="3"/>
      <c r="B445" s="20"/>
      <c r="C445" s="21"/>
      <c r="D445" s="21"/>
      <c r="E445" s="21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spans="1:18" ht="15.75" customHeight="1" x14ac:dyDescent="0.35">
      <c r="A446" s="3"/>
      <c r="B446" s="20"/>
      <c r="C446" s="21"/>
      <c r="D446" s="21"/>
      <c r="E446" s="21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spans="1:18" ht="15.75" customHeight="1" x14ac:dyDescent="0.35">
      <c r="A447" s="3"/>
      <c r="B447" s="20"/>
      <c r="C447" s="21"/>
      <c r="D447" s="21"/>
      <c r="E447" s="21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spans="1:18" ht="15.75" customHeight="1" x14ac:dyDescent="0.35">
      <c r="A448" s="3"/>
      <c r="B448" s="20"/>
      <c r="C448" s="21"/>
      <c r="D448" s="21"/>
      <c r="E448" s="21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spans="1:18" ht="15.75" customHeight="1" x14ac:dyDescent="0.35">
      <c r="A449" s="3"/>
      <c r="B449" s="20"/>
      <c r="C449" s="21"/>
      <c r="D449" s="21"/>
      <c r="E449" s="21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spans="1:18" ht="15.75" customHeight="1" x14ac:dyDescent="0.35">
      <c r="A450" s="3"/>
      <c r="B450" s="20"/>
      <c r="C450" s="21"/>
      <c r="D450" s="21"/>
      <c r="E450" s="21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spans="1:18" ht="15.75" customHeight="1" x14ac:dyDescent="0.35">
      <c r="A451" s="3"/>
      <c r="B451" s="20"/>
      <c r="C451" s="21"/>
      <c r="D451" s="21"/>
      <c r="E451" s="21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spans="1:18" ht="15.75" customHeight="1" x14ac:dyDescent="0.35">
      <c r="A452" s="3"/>
      <c r="B452" s="20"/>
      <c r="C452" s="21"/>
      <c r="D452" s="21"/>
      <c r="E452" s="21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spans="1:18" ht="15.75" customHeight="1" x14ac:dyDescent="0.35">
      <c r="A453" s="3"/>
      <c r="B453" s="20"/>
      <c r="C453" s="21"/>
      <c r="D453" s="21"/>
      <c r="E453" s="21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spans="1:18" ht="15.75" customHeight="1" x14ac:dyDescent="0.35">
      <c r="A454" s="3"/>
      <c r="B454" s="20"/>
      <c r="C454" s="21"/>
      <c r="D454" s="21"/>
      <c r="E454" s="21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spans="1:18" ht="15.75" customHeight="1" x14ac:dyDescent="0.35">
      <c r="A455" s="3"/>
      <c r="B455" s="20"/>
      <c r="C455" s="21"/>
      <c r="D455" s="21"/>
      <c r="E455" s="21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spans="1:18" ht="15.75" customHeight="1" x14ac:dyDescent="0.35">
      <c r="A456" s="3"/>
      <c r="B456" s="20"/>
      <c r="C456" s="21"/>
      <c r="D456" s="21"/>
      <c r="E456" s="21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spans="1:18" ht="15.75" customHeight="1" x14ac:dyDescent="0.35">
      <c r="A457" s="3"/>
      <c r="B457" s="20"/>
      <c r="C457" s="21"/>
      <c r="D457" s="21"/>
      <c r="E457" s="21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spans="1:18" ht="15.75" customHeight="1" x14ac:dyDescent="0.35">
      <c r="A458" s="3"/>
      <c r="B458" s="20"/>
      <c r="C458" s="21"/>
      <c r="D458" s="21"/>
      <c r="E458" s="21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spans="1:18" ht="15.75" customHeight="1" x14ac:dyDescent="0.35">
      <c r="A459" s="3"/>
      <c r="B459" s="20"/>
      <c r="C459" s="21"/>
      <c r="D459" s="21"/>
      <c r="E459" s="21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spans="1:18" ht="15.75" customHeight="1" x14ac:dyDescent="0.35">
      <c r="A460" s="3"/>
      <c r="B460" s="20"/>
      <c r="C460" s="21"/>
      <c r="D460" s="21"/>
      <c r="E460" s="21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spans="1:18" ht="15.75" customHeight="1" x14ac:dyDescent="0.35">
      <c r="A461" s="3"/>
      <c r="B461" s="20"/>
      <c r="C461" s="21"/>
      <c r="D461" s="21"/>
      <c r="E461" s="21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spans="1:18" ht="15.75" customHeight="1" x14ac:dyDescent="0.35">
      <c r="A462" s="3"/>
      <c r="B462" s="20"/>
      <c r="C462" s="21"/>
      <c r="D462" s="21"/>
      <c r="E462" s="21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spans="1:18" ht="15.75" customHeight="1" x14ac:dyDescent="0.35">
      <c r="A463" s="3"/>
      <c r="B463" s="20"/>
      <c r="C463" s="21"/>
      <c r="D463" s="21"/>
      <c r="E463" s="21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spans="1:18" ht="15.75" customHeight="1" x14ac:dyDescent="0.35">
      <c r="A464" s="3"/>
      <c r="B464" s="20"/>
      <c r="C464" s="21"/>
      <c r="D464" s="21"/>
      <c r="E464" s="21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spans="1:18" ht="15.75" customHeight="1" x14ac:dyDescent="0.35">
      <c r="A465" s="3"/>
      <c r="B465" s="20"/>
      <c r="C465" s="21"/>
      <c r="D465" s="21"/>
      <c r="E465" s="21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spans="1:18" ht="15.75" customHeight="1" x14ac:dyDescent="0.35">
      <c r="A466" s="3"/>
      <c r="B466" s="20"/>
      <c r="C466" s="21"/>
      <c r="D466" s="21"/>
      <c r="E466" s="21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spans="1:18" ht="15.75" customHeight="1" x14ac:dyDescent="0.35">
      <c r="A467" s="3"/>
      <c r="B467" s="20"/>
      <c r="C467" s="21"/>
      <c r="D467" s="21"/>
      <c r="E467" s="21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spans="1:18" ht="15.75" customHeight="1" x14ac:dyDescent="0.35">
      <c r="A468" s="3"/>
      <c r="B468" s="20"/>
      <c r="C468" s="21"/>
      <c r="D468" s="21"/>
      <c r="E468" s="21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spans="1:18" ht="15.75" customHeight="1" x14ac:dyDescent="0.35">
      <c r="A469" s="3"/>
      <c r="B469" s="20"/>
      <c r="C469" s="21"/>
      <c r="D469" s="21"/>
      <c r="E469" s="21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spans="1:18" ht="15.75" customHeight="1" x14ac:dyDescent="0.35">
      <c r="A470" s="3"/>
      <c r="B470" s="20"/>
      <c r="C470" s="21"/>
      <c r="D470" s="21"/>
      <c r="E470" s="21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spans="1:18" ht="15.75" customHeight="1" x14ac:dyDescent="0.35">
      <c r="A471" s="3"/>
      <c r="B471" s="20"/>
      <c r="C471" s="21"/>
      <c r="D471" s="21"/>
      <c r="E471" s="21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spans="1:18" ht="15.75" customHeight="1" x14ac:dyDescent="0.35">
      <c r="A472" s="3"/>
      <c r="B472" s="20"/>
      <c r="C472" s="21"/>
      <c r="D472" s="21"/>
      <c r="E472" s="21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spans="1:18" ht="15.75" customHeight="1" x14ac:dyDescent="0.35">
      <c r="A473" s="3"/>
      <c r="B473" s="20"/>
      <c r="C473" s="21"/>
      <c r="D473" s="21"/>
      <c r="E473" s="21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spans="1:18" ht="15.75" customHeight="1" x14ac:dyDescent="0.35">
      <c r="A474" s="3"/>
      <c r="B474" s="20"/>
      <c r="C474" s="21"/>
      <c r="D474" s="21"/>
      <c r="E474" s="21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 spans="1:18" ht="15.75" customHeight="1" x14ac:dyDescent="0.35">
      <c r="A475" s="3"/>
      <c r="B475" s="20"/>
      <c r="C475" s="21"/>
      <c r="D475" s="21"/>
      <c r="E475" s="21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spans="1:18" ht="15.75" customHeight="1" x14ac:dyDescent="0.35">
      <c r="A476" s="3"/>
      <c r="B476" s="20"/>
      <c r="C476" s="21"/>
      <c r="D476" s="21"/>
      <c r="E476" s="21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spans="1:18" ht="15.75" customHeight="1" x14ac:dyDescent="0.35">
      <c r="A477" s="3"/>
      <c r="B477" s="20"/>
      <c r="C477" s="21"/>
      <c r="D477" s="21"/>
      <c r="E477" s="21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 spans="1:18" ht="15.75" customHeight="1" x14ac:dyDescent="0.35">
      <c r="A478" s="3"/>
      <c r="B478" s="20"/>
      <c r="C478" s="21"/>
      <c r="D478" s="21"/>
      <c r="E478" s="21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spans="1:18" ht="15.75" customHeight="1" x14ac:dyDescent="0.35">
      <c r="A479" s="3"/>
      <c r="B479" s="20"/>
      <c r="C479" s="21"/>
      <c r="D479" s="21"/>
      <c r="E479" s="21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spans="1:18" ht="15.75" customHeight="1" x14ac:dyDescent="0.35">
      <c r="A480" s="3"/>
      <c r="B480" s="20"/>
      <c r="C480" s="21"/>
      <c r="D480" s="21"/>
      <c r="E480" s="21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spans="1:18" ht="15.75" customHeight="1" x14ac:dyDescent="0.35">
      <c r="A481" s="3"/>
      <c r="B481" s="20"/>
      <c r="C481" s="21"/>
      <c r="D481" s="21"/>
      <c r="E481" s="21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spans="1:18" ht="15.75" customHeight="1" x14ac:dyDescent="0.35">
      <c r="A482" s="3"/>
      <c r="B482" s="20"/>
      <c r="C482" s="21"/>
      <c r="D482" s="21"/>
      <c r="E482" s="21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spans="1:18" ht="15.75" customHeight="1" x14ac:dyDescent="0.35">
      <c r="A483" s="3"/>
      <c r="B483" s="20"/>
      <c r="C483" s="21"/>
      <c r="D483" s="21"/>
      <c r="E483" s="21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spans="1:18" ht="15.75" customHeight="1" x14ac:dyDescent="0.35">
      <c r="A484" s="3"/>
      <c r="B484" s="20"/>
      <c r="C484" s="21"/>
      <c r="D484" s="21"/>
      <c r="E484" s="21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 spans="1:18" ht="15.75" customHeight="1" x14ac:dyDescent="0.35">
      <c r="A485" s="3"/>
      <c r="B485" s="20"/>
      <c r="C485" s="21"/>
      <c r="D485" s="21"/>
      <c r="E485" s="21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 spans="1:18" ht="15.75" customHeight="1" x14ac:dyDescent="0.35">
      <c r="A486" s="3"/>
      <c r="B486" s="20"/>
      <c r="C486" s="21"/>
      <c r="D486" s="21"/>
      <c r="E486" s="21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 spans="1:18" ht="15.75" customHeight="1" x14ac:dyDescent="0.35">
      <c r="A487" s="3"/>
      <c r="B487" s="20"/>
      <c r="C487" s="21"/>
      <c r="D487" s="21"/>
      <c r="E487" s="21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 spans="1:18" ht="15.75" customHeight="1" x14ac:dyDescent="0.35">
      <c r="A488" s="3"/>
      <c r="B488" s="20"/>
      <c r="C488" s="21"/>
      <c r="D488" s="21"/>
      <c r="E488" s="21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 spans="1:18" ht="15.75" customHeight="1" x14ac:dyDescent="0.35">
      <c r="A489" s="3"/>
      <c r="B489" s="20"/>
      <c r="C489" s="21"/>
      <c r="D489" s="21"/>
      <c r="E489" s="21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 spans="1:18" ht="15.75" customHeight="1" x14ac:dyDescent="0.35">
      <c r="A490" s="3"/>
      <c r="B490" s="20"/>
      <c r="C490" s="21"/>
      <c r="D490" s="21"/>
      <c r="E490" s="21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 spans="1:18" ht="15.75" customHeight="1" x14ac:dyDescent="0.35">
      <c r="A491" s="3"/>
      <c r="B491" s="20"/>
      <c r="C491" s="21"/>
      <c r="D491" s="21"/>
      <c r="E491" s="21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 spans="1:18" ht="15.75" customHeight="1" x14ac:dyDescent="0.35">
      <c r="A492" s="3"/>
      <c r="B492" s="20"/>
      <c r="C492" s="21"/>
      <c r="D492" s="21"/>
      <c r="E492" s="21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 spans="1:18" ht="15.75" customHeight="1" x14ac:dyDescent="0.35">
      <c r="A493" s="3"/>
      <c r="B493" s="20"/>
      <c r="C493" s="21"/>
      <c r="D493" s="21"/>
      <c r="E493" s="21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 spans="1:18" ht="15.75" customHeight="1" x14ac:dyDescent="0.35">
      <c r="A494" s="3"/>
      <c r="B494" s="20"/>
      <c r="C494" s="21"/>
      <c r="D494" s="21"/>
      <c r="E494" s="21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 spans="1:18" ht="15.75" customHeight="1" x14ac:dyDescent="0.35">
      <c r="A495" s="3"/>
      <c r="B495" s="20"/>
      <c r="C495" s="21"/>
      <c r="D495" s="21"/>
      <c r="E495" s="21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 spans="1:18" ht="15.75" customHeight="1" x14ac:dyDescent="0.35">
      <c r="A496" s="3"/>
      <c r="B496" s="20"/>
      <c r="C496" s="21"/>
      <c r="D496" s="21"/>
      <c r="E496" s="21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spans="1:18" ht="15.75" customHeight="1" x14ac:dyDescent="0.35">
      <c r="A497" s="3"/>
      <c r="B497" s="20"/>
      <c r="C497" s="21"/>
      <c r="D497" s="21"/>
      <c r="E497" s="21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spans="1:18" ht="15.75" customHeight="1" x14ac:dyDescent="0.35">
      <c r="A498" s="3"/>
      <c r="B498" s="20"/>
      <c r="C498" s="21"/>
      <c r="D498" s="21"/>
      <c r="E498" s="21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spans="1:18" ht="15.75" customHeight="1" x14ac:dyDescent="0.35">
      <c r="A499" s="3"/>
      <c r="B499" s="20"/>
      <c r="C499" s="21"/>
      <c r="D499" s="21"/>
      <c r="E499" s="21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spans="1:18" ht="15.75" customHeight="1" x14ac:dyDescent="0.35">
      <c r="A500" s="3"/>
      <c r="B500" s="20"/>
      <c r="C500" s="21"/>
      <c r="D500" s="21"/>
      <c r="E500" s="21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spans="1:18" ht="15.75" customHeight="1" x14ac:dyDescent="0.35">
      <c r="A501" s="3"/>
      <c r="B501" s="20"/>
      <c r="C501" s="21"/>
      <c r="D501" s="21"/>
      <c r="E501" s="21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spans="1:18" ht="15.75" customHeight="1" x14ac:dyDescent="0.35">
      <c r="A502" s="3"/>
      <c r="B502" s="20"/>
      <c r="C502" s="21"/>
      <c r="D502" s="21"/>
      <c r="E502" s="21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spans="1:18" ht="15.75" customHeight="1" x14ac:dyDescent="0.35">
      <c r="A503" s="3"/>
      <c r="B503" s="20"/>
      <c r="C503" s="21"/>
      <c r="D503" s="21"/>
      <c r="E503" s="21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spans="1:18" ht="15.75" customHeight="1" x14ac:dyDescent="0.35">
      <c r="A504" s="3"/>
      <c r="B504" s="20"/>
      <c r="C504" s="21"/>
      <c r="D504" s="21"/>
      <c r="E504" s="21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spans="1:18" ht="15.75" customHeight="1" x14ac:dyDescent="0.35">
      <c r="A505" s="3"/>
      <c r="B505" s="20"/>
      <c r="C505" s="21"/>
      <c r="D505" s="21"/>
      <c r="E505" s="21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spans="1:18" ht="15.75" customHeight="1" x14ac:dyDescent="0.35">
      <c r="A506" s="3"/>
      <c r="B506" s="20"/>
      <c r="C506" s="21"/>
      <c r="D506" s="21"/>
      <c r="E506" s="21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 spans="1:18" ht="15.75" customHeight="1" x14ac:dyDescent="0.35">
      <c r="A507" s="3"/>
      <c r="B507" s="20"/>
      <c r="C507" s="21"/>
      <c r="D507" s="21"/>
      <c r="E507" s="21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spans="1:18" ht="15.75" customHeight="1" x14ac:dyDescent="0.35">
      <c r="A508" s="3"/>
      <c r="B508" s="20"/>
      <c r="C508" s="21"/>
      <c r="D508" s="21"/>
      <c r="E508" s="21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spans="1:18" ht="15.75" customHeight="1" x14ac:dyDescent="0.35">
      <c r="A509" s="3"/>
      <c r="B509" s="20"/>
      <c r="C509" s="21"/>
      <c r="D509" s="21"/>
      <c r="E509" s="21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spans="1:18" ht="15.75" customHeight="1" x14ac:dyDescent="0.35">
      <c r="A510" s="3"/>
      <c r="B510" s="20"/>
      <c r="C510" s="21"/>
      <c r="D510" s="21"/>
      <c r="E510" s="21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spans="1:18" ht="15.75" customHeight="1" x14ac:dyDescent="0.35">
      <c r="A511" s="3"/>
      <c r="B511" s="20"/>
      <c r="C511" s="21"/>
      <c r="D511" s="21"/>
      <c r="E511" s="21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spans="1:18" ht="15.75" customHeight="1" x14ac:dyDescent="0.35">
      <c r="A512" s="3"/>
      <c r="B512" s="20"/>
      <c r="C512" s="21"/>
      <c r="D512" s="21"/>
      <c r="E512" s="21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spans="1:18" ht="15.75" customHeight="1" x14ac:dyDescent="0.35">
      <c r="A513" s="3"/>
      <c r="B513" s="20"/>
      <c r="C513" s="21"/>
      <c r="D513" s="21"/>
      <c r="E513" s="21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spans="1:18" ht="15.75" customHeight="1" x14ac:dyDescent="0.35">
      <c r="A514" s="3"/>
      <c r="B514" s="20"/>
      <c r="C514" s="21"/>
      <c r="D514" s="21"/>
      <c r="E514" s="21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spans="1:18" ht="15.75" customHeight="1" x14ac:dyDescent="0.35">
      <c r="A515" s="3"/>
      <c r="B515" s="20"/>
      <c r="C515" s="21"/>
      <c r="D515" s="21"/>
      <c r="E515" s="21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spans="1:18" ht="15.75" customHeight="1" x14ac:dyDescent="0.35">
      <c r="A516" s="3"/>
      <c r="B516" s="20"/>
      <c r="C516" s="21"/>
      <c r="D516" s="21"/>
      <c r="E516" s="21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spans="1:18" ht="15.75" customHeight="1" x14ac:dyDescent="0.35">
      <c r="A517" s="3"/>
      <c r="B517" s="20"/>
      <c r="C517" s="21"/>
      <c r="D517" s="21"/>
      <c r="E517" s="21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spans="1:18" ht="15.75" customHeight="1" x14ac:dyDescent="0.35">
      <c r="A518" s="3"/>
      <c r="B518" s="20"/>
      <c r="C518" s="21"/>
      <c r="D518" s="21"/>
      <c r="E518" s="21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spans="1:18" ht="15.75" customHeight="1" x14ac:dyDescent="0.35">
      <c r="A519" s="3"/>
      <c r="B519" s="20"/>
      <c r="C519" s="21"/>
      <c r="D519" s="21"/>
      <c r="E519" s="21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spans="1:18" ht="15.75" customHeight="1" x14ac:dyDescent="0.35">
      <c r="A520" s="3"/>
      <c r="B520" s="20"/>
      <c r="C520" s="21"/>
      <c r="D520" s="21"/>
      <c r="E520" s="21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spans="1:18" ht="15.75" customHeight="1" x14ac:dyDescent="0.35">
      <c r="A521" s="3"/>
      <c r="B521" s="20"/>
      <c r="C521" s="21"/>
      <c r="D521" s="21"/>
      <c r="E521" s="21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spans="1:18" ht="15.75" customHeight="1" x14ac:dyDescent="0.35">
      <c r="A522" s="3"/>
      <c r="B522" s="20"/>
      <c r="C522" s="21"/>
      <c r="D522" s="21"/>
      <c r="E522" s="21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spans="1:18" ht="15.75" customHeight="1" x14ac:dyDescent="0.35">
      <c r="A523" s="3"/>
      <c r="B523" s="20"/>
      <c r="C523" s="21"/>
      <c r="D523" s="21"/>
      <c r="E523" s="21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spans="1:18" ht="15.75" customHeight="1" x14ac:dyDescent="0.35">
      <c r="A524" s="3"/>
      <c r="B524" s="20"/>
      <c r="C524" s="21"/>
      <c r="D524" s="21"/>
      <c r="E524" s="21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spans="1:18" ht="15.75" customHeight="1" x14ac:dyDescent="0.35">
      <c r="A525" s="3"/>
      <c r="B525" s="20"/>
      <c r="C525" s="21"/>
      <c r="D525" s="21"/>
      <c r="E525" s="21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spans="1:18" ht="15.75" customHeight="1" x14ac:dyDescent="0.35">
      <c r="A526" s="3"/>
      <c r="B526" s="20"/>
      <c r="C526" s="21"/>
      <c r="D526" s="21"/>
      <c r="E526" s="21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spans="1:18" ht="15.75" customHeight="1" x14ac:dyDescent="0.35">
      <c r="A527" s="3"/>
      <c r="B527" s="20"/>
      <c r="C527" s="21"/>
      <c r="D527" s="21"/>
      <c r="E527" s="21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spans="1:18" ht="15.75" customHeight="1" x14ac:dyDescent="0.35">
      <c r="A528" s="3"/>
      <c r="B528" s="20"/>
      <c r="C528" s="21"/>
      <c r="D528" s="21"/>
      <c r="E528" s="21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spans="1:18" ht="15.75" customHeight="1" x14ac:dyDescent="0.35">
      <c r="A529" s="3"/>
      <c r="B529" s="20"/>
      <c r="C529" s="21"/>
      <c r="D529" s="21"/>
      <c r="E529" s="21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spans="1:18" ht="15.75" customHeight="1" x14ac:dyDescent="0.35">
      <c r="A530" s="3"/>
      <c r="B530" s="20"/>
      <c r="C530" s="21"/>
      <c r="D530" s="21"/>
      <c r="E530" s="21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spans="1:18" ht="15.75" customHeight="1" x14ac:dyDescent="0.35">
      <c r="A531" s="3"/>
      <c r="B531" s="20"/>
      <c r="C531" s="21"/>
      <c r="D531" s="21"/>
      <c r="E531" s="21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spans="1:18" ht="15.75" customHeight="1" x14ac:dyDescent="0.35">
      <c r="A532" s="3"/>
      <c r="B532" s="20"/>
      <c r="C532" s="21"/>
      <c r="D532" s="21"/>
      <c r="E532" s="21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spans="1:18" ht="15.75" customHeight="1" x14ac:dyDescent="0.35">
      <c r="A533" s="3"/>
      <c r="B533" s="20"/>
      <c r="C533" s="21"/>
      <c r="D533" s="21"/>
      <c r="E533" s="21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spans="1:18" ht="15.75" customHeight="1" x14ac:dyDescent="0.35">
      <c r="A534" s="3"/>
      <c r="B534" s="20"/>
      <c r="C534" s="21"/>
      <c r="D534" s="21"/>
      <c r="E534" s="21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spans="1:18" ht="15.75" customHeight="1" x14ac:dyDescent="0.35">
      <c r="A535" s="3"/>
      <c r="B535" s="20"/>
      <c r="C535" s="21"/>
      <c r="D535" s="21"/>
      <c r="E535" s="21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spans="1:18" ht="15.75" customHeight="1" x14ac:dyDescent="0.35">
      <c r="A536" s="3"/>
      <c r="B536" s="20"/>
      <c r="C536" s="21"/>
      <c r="D536" s="21"/>
      <c r="E536" s="21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spans="1:18" ht="15.75" customHeight="1" x14ac:dyDescent="0.35">
      <c r="A537" s="3"/>
      <c r="B537" s="20"/>
      <c r="C537" s="21"/>
      <c r="D537" s="21"/>
      <c r="E537" s="21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spans="1:18" ht="15.75" customHeight="1" x14ac:dyDescent="0.35">
      <c r="A538" s="3"/>
      <c r="B538" s="20"/>
      <c r="C538" s="21"/>
      <c r="D538" s="21"/>
      <c r="E538" s="21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spans="1:18" ht="15.75" customHeight="1" x14ac:dyDescent="0.35">
      <c r="A539" s="3"/>
      <c r="B539" s="20"/>
      <c r="C539" s="21"/>
      <c r="D539" s="21"/>
      <c r="E539" s="21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spans="1:18" ht="15.75" customHeight="1" x14ac:dyDescent="0.35">
      <c r="A540" s="3"/>
      <c r="B540" s="20"/>
      <c r="C540" s="21"/>
      <c r="D540" s="21"/>
      <c r="E540" s="21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spans="1:18" ht="15.75" customHeight="1" x14ac:dyDescent="0.35">
      <c r="A541" s="3"/>
      <c r="B541" s="20"/>
      <c r="C541" s="21"/>
      <c r="D541" s="21"/>
      <c r="E541" s="21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spans="1:18" ht="15.75" customHeight="1" x14ac:dyDescent="0.35">
      <c r="A542" s="3"/>
      <c r="B542" s="20"/>
      <c r="C542" s="21"/>
      <c r="D542" s="21"/>
      <c r="E542" s="21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spans="1:18" ht="15.75" customHeight="1" x14ac:dyDescent="0.35">
      <c r="A543" s="3"/>
      <c r="B543" s="20"/>
      <c r="C543" s="21"/>
      <c r="D543" s="21"/>
      <c r="E543" s="21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spans="1:18" ht="15.75" customHeight="1" x14ac:dyDescent="0.35">
      <c r="A544" s="3"/>
      <c r="B544" s="20"/>
      <c r="C544" s="21"/>
      <c r="D544" s="21"/>
      <c r="E544" s="21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spans="1:18" ht="15.75" customHeight="1" x14ac:dyDescent="0.35">
      <c r="A545" s="3"/>
      <c r="B545" s="20"/>
      <c r="C545" s="21"/>
      <c r="D545" s="21"/>
      <c r="E545" s="21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spans="1:18" ht="15.75" customHeight="1" x14ac:dyDescent="0.35">
      <c r="A546" s="3"/>
      <c r="B546" s="20"/>
      <c r="C546" s="21"/>
      <c r="D546" s="21"/>
      <c r="E546" s="21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spans="1:18" ht="15.75" customHeight="1" x14ac:dyDescent="0.35">
      <c r="A547" s="3"/>
      <c r="B547" s="20"/>
      <c r="C547" s="21"/>
      <c r="D547" s="21"/>
      <c r="E547" s="21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spans="1:18" ht="15.75" customHeight="1" x14ac:dyDescent="0.35">
      <c r="A548" s="3"/>
      <c r="B548" s="20"/>
      <c r="C548" s="21"/>
      <c r="D548" s="21"/>
      <c r="E548" s="21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spans="1:18" ht="15.75" customHeight="1" x14ac:dyDescent="0.35">
      <c r="A549" s="3"/>
      <c r="B549" s="20"/>
      <c r="C549" s="21"/>
      <c r="D549" s="21"/>
      <c r="E549" s="21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spans="1:18" ht="15.75" customHeight="1" x14ac:dyDescent="0.35">
      <c r="A550" s="3"/>
      <c r="B550" s="20"/>
      <c r="C550" s="21"/>
      <c r="D550" s="21"/>
      <c r="E550" s="21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spans="1:18" ht="15.75" customHeight="1" x14ac:dyDescent="0.35">
      <c r="A551" s="3"/>
      <c r="B551" s="20"/>
      <c r="C551" s="21"/>
      <c r="D551" s="21"/>
      <c r="E551" s="21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spans="1:18" ht="15.75" customHeight="1" x14ac:dyDescent="0.35">
      <c r="A552" s="3"/>
      <c r="B552" s="20"/>
      <c r="C552" s="21"/>
      <c r="D552" s="21"/>
      <c r="E552" s="21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spans="1:18" ht="15.75" customHeight="1" x14ac:dyDescent="0.35">
      <c r="A553" s="3"/>
      <c r="B553" s="20"/>
      <c r="C553" s="21"/>
      <c r="D553" s="21"/>
      <c r="E553" s="21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spans="1:18" ht="15.75" customHeight="1" x14ac:dyDescent="0.35">
      <c r="A554" s="3"/>
      <c r="B554" s="20"/>
      <c r="C554" s="21"/>
      <c r="D554" s="21"/>
      <c r="E554" s="21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spans="1:18" ht="15.75" customHeight="1" x14ac:dyDescent="0.35">
      <c r="A555" s="3"/>
      <c r="B555" s="20"/>
      <c r="C555" s="21"/>
      <c r="D555" s="21"/>
      <c r="E555" s="21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spans="1:18" ht="15.75" customHeight="1" x14ac:dyDescent="0.35">
      <c r="A556" s="3"/>
      <c r="B556" s="20"/>
      <c r="C556" s="21"/>
      <c r="D556" s="21"/>
      <c r="E556" s="21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spans="1:18" ht="15.75" customHeight="1" x14ac:dyDescent="0.35">
      <c r="A557" s="3"/>
      <c r="B557" s="20"/>
      <c r="C557" s="21"/>
      <c r="D557" s="21"/>
      <c r="E557" s="21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spans="1:18" ht="15.75" customHeight="1" x14ac:dyDescent="0.35">
      <c r="A558" s="3"/>
      <c r="B558" s="20"/>
      <c r="C558" s="21"/>
      <c r="D558" s="21"/>
      <c r="E558" s="21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spans="1:18" ht="15.75" customHeight="1" x14ac:dyDescent="0.35">
      <c r="A559" s="3"/>
      <c r="B559" s="20"/>
      <c r="C559" s="21"/>
      <c r="D559" s="21"/>
      <c r="E559" s="21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spans="1:18" ht="15.75" customHeight="1" x14ac:dyDescent="0.35">
      <c r="A560" s="3"/>
      <c r="B560" s="20"/>
      <c r="C560" s="21"/>
      <c r="D560" s="21"/>
      <c r="E560" s="21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spans="1:18" ht="15.75" customHeight="1" x14ac:dyDescent="0.35">
      <c r="A561" s="3"/>
      <c r="B561" s="20"/>
      <c r="C561" s="21"/>
      <c r="D561" s="21"/>
      <c r="E561" s="21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spans="1:18" ht="15.75" customHeight="1" x14ac:dyDescent="0.35">
      <c r="A562" s="3"/>
      <c r="B562" s="20"/>
      <c r="C562" s="21"/>
      <c r="D562" s="21"/>
      <c r="E562" s="21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spans="1:18" ht="15.75" customHeight="1" x14ac:dyDescent="0.35">
      <c r="A563" s="3"/>
      <c r="B563" s="20"/>
      <c r="C563" s="21"/>
      <c r="D563" s="21"/>
      <c r="E563" s="21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spans="1:18" ht="15.75" customHeight="1" x14ac:dyDescent="0.35">
      <c r="A564" s="3"/>
      <c r="B564" s="20"/>
      <c r="C564" s="21"/>
      <c r="D564" s="21"/>
      <c r="E564" s="21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spans="1:18" ht="15.75" customHeight="1" x14ac:dyDescent="0.35">
      <c r="A565" s="3"/>
      <c r="B565" s="20"/>
      <c r="C565" s="21"/>
      <c r="D565" s="21"/>
      <c r="E565" s="21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spans="1:18" ht="15.75" customHeight="1" x14ac:dyDescent="0.35">
      <c r="A566" s="3"/>
      <c r="B566" s="20"/>
      <c r="C566" s="21"/>
      <c r="D566" s="21"/>
      <c r="E566" s="21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spans="1:18" ht="15.75" customHeight="1" x14ac:dyDescent="0.35">
      <c r="A567" s="3"/>
      <c r="B567" s="20"/>
      <c r="C567" s="21"/>
      <c r="D567" s="21"/>
      <c r="E567" s="21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spans="1:18" ht="15.75" customHeight="1" x14ac:dyDescent="0.35">
      <c r="A568" s="3"/>
      <c r="B568" s="20"/>
      <c r="C568" s="21"/>
      <c r="D568" s="21"/>
      <c r="E568" s="21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spans="1:18" ht="15.75" customHeight="1" x14ac:dyDescent="0.35">
      <c r="A569" s="3"/>
      <c r="B569" s="20"/>
      <c r="C569" s="21"/>
      <c r="D569" s="21"/>
      <c r="E569" s="21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spans="1:18" ht="15.75" customHeight="1" x14ac:dyDescent="0.35">
      <c r="A570" s="3"/>
      <c r="B570" s="20"/>
      <c r="C570" s="21"/>
      <c r="D570" s="21"/>
      <c r="E570" s="21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spans="1:18" ht="15.75" customHeight="1" x14ac:dyDescent="0.35">
      <c r="A571" s="3"/>
      <c r="B571" s="20"/>
      <c r="C571" s="21"/>
      <c r="D571" s="21"/>
      <c r="E571" s="21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spans="1:18" ht="15.75" customHeight="1" x14ac:dyDescent="0.35">
      <c r="A572" s="3"/>
      <c r="B572" s="20"/>
      <c r="C572" s="21"/>
      <c r="D572" s="21"/>
      <c r="E572" s="21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spans="1:18" ht="15.75" customHeight="1" x14ac:dyDescent="0.35">
      <c r="A573" s="3"/>
      <c r="B573" s="20"/>
      <c r="C573" s="21"/>
      <c r="D573" s="21"/>
      <c r="E573" s="21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spans="1:18" ht="15.75" customHeight="1" x14ac:dyDescent="0.35">
      <c r="A574" s="3"/>
      <c r="B574" s="20"/>
      <c r="C574" s="21"/>
      <c r="D574" s="21"/>
      <c r="E574" s="21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spans="1:18" ht="15.75" customHeight="1" x14ac:dyDescent="0.35">
      <c r="A575" s="3"/>
      <c r="B575" s="20"/>
      <c r="C575" s="21"/>
      <c r="D575" s="21"/>
      <c r="E575" s="21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spans="1:18" ht="15.75" customHeight="1" x14ac:dyDescent="0.35">
      <c r="A576" s="3"/>
      <c r="B576" s="20"/>
      <c r="C576" s="21"/>
      <c r="D576" s="21"/>
      <c r="E576" s="21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spans="1:18" ht="15.75" customHeight="1" x14ac:dyDescent="0.35">
      <c r="A577" s="3"/>
      <c r="B577" s="20"/>
      <c r="C577" s="21"/>
      <c r="D577" s="21"/>
      <c r="E577" s="21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spans="1:18" ht="15.75" customHeight="1" x14ac:dyDescent="0.35">
      <c r="A578" s="3"/>
      <c r="B578" s="20"/>
      <c r="C578" s="21"/>
      <c r="D578" s="21"/>
      <c r="E578" s="21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spans="1:18" ht="15.75" customHeight="1" x14ac:dyDescent="0.35">
      <c r="A579" s="3"/>
      <c r="B579" s="20"/>
      <c r="C579" s="21"/>
      <c r="D579" s="21"/>
      <c r="E579" s="21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spans="1:18" ht="15.75" customHeight="1" x14ac:dyDescent="0.35">
      <c r="A580" s="3"/>
      <c r="B580" s="20"/>
      <c r="C580" s="21"/>
      <c r="D580" s="21"/>
      <c r="E580" s="21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spans="1:18" ht="15.75" customHeight="1" x14ac:dyDescent="0.35">
      <c r="A581" s="3"/>
      <c r="B581" s="20"/>
      <c r="C581" s="21"/>
      <c r="D581" s="21"/>
      <c r="E581" s="21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spans="1:18" ht="15.75" customHeight="1" x14ac:dyDescent="0.35">
      <c r="A582" s="3"/>
      <c r="B582" s="20"/>
      <c r="C582" s="21"/>
      <c r="D582" s="21"/>
      <c r="E582" s="21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spans="1:18" ht="15.75" customHeight="1" x14ac:dyDescent="0.35">
      <c r="A583" s="3"/>
      <c r="B583" s="20"/>
      <c r="C583" s="21"/>
      <c r="D583" s="21"/>
      <c r="E583" s="21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spans="1:18" ht="15.75" customHeight="1" x14ac:dyDescent="0.35">
      <c r="A584" s="3"/>
      <c r="B584" s="20"/>
      <c r="C584" s="21"/>
      <c r="D584" s="21"/>
      <c r="E584" s="21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spans="1:18" ht="15.75" customHeight="1" x14ac:dyDescent="0.35">
      <c r="A585" s="3"/>
      <c r="B585" s="20"/>
      <c r="C585" s="21"/>
      <c r="D585" s="21"/>
      <c r="E585" s="21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spans="1:18" ht="15.75" customHeight="1" x14ac:dyDescent="0.35">
      <c r="A586" s="3"/>
      <c r="B586" s="20"/>
      <c r="C586" s="21"/>
      <c r="D586" s="21"/>
      <c r="E586" s="21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spans="1:18" ht="15.75" customHeight="1" x14ac:dyDescent="0.35">
      <c r="A587" s="3"/>
      <c r="B587" s="20"/>
      <c r="C587" s="21"/>
      <c r="D587" s="21"/>
      <c r="E587" s="21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spans="1:18" ht="15.75" customHeight="1" x14ac:dyDescent="0.35">
      <c r="A588" s="3"/>
      <c r="B588" s="20"/>
      <c r="C588" s="21"/>
      <c r="D588" s="21"/>
      <c r="E588" s="21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spans="1:18" ht="15.75" customHeight="1" x14ac:dyDescent="0.35">
      <c r="A589" s="3"/>
      <c r="B589" s="20"/>
      <c r="C589" s="21"/>
      <c r="D589" s="21"/>
      <c r="E589" s="21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spans="1:18" ht="15.75" customHeight="1" x14ac:dyDescent="0.35">
      <c r="A590" s="3"/>
      <c r="B590" s="20"/>
      <c r="C590" s="21"/>
      <c r="D590" s="21"/>
      <c r="E590" s="21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spans="1:18" ht="15.75" customHeight="1" x14ac:dyDescent="0.35">
      <c r="A591" s="3"/>
      <c r="B591" s="20"/>
      <c r="C591" s="21"/>
      <c r="D591" s="21"/>
      <c r="E591" s="21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spans="1:18" ht="15.75" customHeight="1" x14ac:dyDescent="0.35">
      <c r="A592" s="3"/>
      <c r="B592" s="20"/>
      <c r="C592" s="21"/>
      <c r="D592" s="21"/>
      <c r="E592" s="21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spans="1:18" ht="15.75" customHeight="1" x14ac:dyDescent="0.35">
      <c r="A593" s="3"/>
      <c r="B593" s="20"/>
      <c r="C593" s="21"/>
      <c r="D593" s="21"/>
      <c r="E593" s="21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spans="1:18" ht="15.75" customHeight="1" x14ac:dyDescent="0.35">
      <c r="A594" s="3"/>
      <c r="B594" s="20"/>
      <c r="C594" s="21"/>
      <c r="D594" s="21"/>
      <c r="E594" s="21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spans="1:18" ht="15.75" customHeight="1" x14ac:dyDescent="0.35">
      <c r="A595" s="3"/>
      <c r="B595" s="20"/>
      <c r="C595" s="21"/>
      <c r="D595" s="21"/>
      <c r="E595" s="21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spans="1:18" ht="15.75" customHeight="1" x14ac:dyDescent="0.35">
      <c r="A596" s="3"/>
      <c r="B596" s="20"/>
      <c r="C596" s="21"/>
      <c r="D596" s="21"/>
      <c r="E596" s="21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spans="1:18" ht="15.75" customHeight="1" x14ac:dyDescent="0.35">
      <c r="A597" s="3"/>
      <c r="B597" s="20"/>
      <c r="C597" s="21"/>
      <c r="D597" s="21"/>
      <c r="E597" s="21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spans="1:18" ht="15.75" customHeight="1" x14ac:dyDescent="0.35">
      <c r="A598" s="3"/>
      <c r="B598" s="20"/>
      <c r="C598" s="21"/>
      <c r="D598" s="21"/>
      <c r="E598" s="21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spans="1:18" ht="15.75" customHeight="1" x14ac:dyDescent="0.35">
      <c r="A599" s="3"/>
      <c r="B599" s="20"/>
      <c r="C599" s="21"/>
      <c r="D599" s="21"/>
      <c r="E599" s="21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spans="1:18" ht="15.75" customHeight="1" x14ac:dyDescent="0.35">
      <c r="A600" s="3"/>
      <c r="B600" s="20"/>
      <c r="C600" s="21"/>
      <c r="D600" s="21"/>
      <c r="E600" s="21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spans="1:18" ht="15.75" customHeight="1" x14ac:dyDescent="0.35">
      <c r="A601" s="3"/>
      <c r="B601" s="20"/>
      <c r="C601" s="21"/>
      <c r="D601" s="21"/>
      <c r="E601" s="21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spans="1:18" ht="15.75" customHeight="1" x14ac:dyDescent="0.35">
      <c r="A602" s="3"/>
      <c r="B602" s="20"/>
      <c r="C602" s="21"/>
      <c r="D602" s="21"/>
      <c r="E602" s="21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spans="1:18" ht="15.75" customHeight="1" x14ac:dyDescent="0.35">
      <c r="A603" s="3"/>
      <c r="B603" s="20"/>
      <c r="C603" s="21"/>
      <c r="D603" s="21"/>
      <c r="E603" s="21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spans="1:18" ht="15.75" customHeight="1" x14ac:dyDescent="0.35">
      <c r="A604" s="3"/>
      <c r="B604" s="20"/>
      <c r="C604" s="21"/>
      <c r="D604" s="21"/>
      <c r="E604" s="21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spans="1:18" ht="15.75" customHeight="1" x14ac:dyDescent="0.35">
      <c r="A605" s="3"/>
      <c r="B605" s="20"/>
      <c r="C605" s="21"/>
      <c r="D605" s="21"/>
      <c r="E605" s="21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spans="1:18" ht="15.75" customHeight="1" x14ac:dyDescent="0.35">
      <c r="A606" s="3"/>
      <c r="B606" s="20"/>
      <c r="C606" s="21"/>
      <c r="D606" s="21"/>
      <c r="E606" s="21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spans="1:18" ht="15.75" customHeight="1" x14ac:dyDescent="0.35">
      <c r="A607" s="3"/>
      <c r="B607" s="20"/>
      <c r="C607" s="21"/>
      <c r="D607" s="21"/>
      <c r="E607" s="21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spans="1:18" ht="15.75" customHeight="1" x14ac:dyDescent="0.35">
      <c r="A608" s="3"/>
      <c r="B608" s="20"/>
      <c r="C608" s="21"/>
      <c r="D608" s="21"/>
      <c r="E608" s="21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spans="1:18" ht="15.75" customHeight="1" x14ac:dyDescent="0.35">
      <c r="A609" s="3"/>
      <c r="B609" s="20"/>
      <c r="C609" s="21"/>
      <c r="D609" s="21"/>
      <c r="E609" s="21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spans="1:18" ht="15.75" customHeight="1" x14ac:dyDescent="0.35">
      <c r="A610" s="3"/>
      <c r="B610" s="20"/>
      <c r="C610" s="21"/>
      <c r="D610" s="21"/>
      <c r="E610" s="21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spans="1:18" ht="15.75" customHeight="1" x14ac:dyDescent="0.35">
      <c r="A611" s="3"/>
      <c r="B611" s="20"/>
      <c r="C611" s="21"/>
      <c r="D611" s="21"/>
      <c r="E611" s="21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spans="1:18" ht="15.75" customHeight="1" x14ac:dyDescent="0.35">
      <c r="A612" s="3"/>
      <c r="B612" s="20"/>
      <c r="C612" s="21"/>
      <c r="D612" s="21"/>
      <c r="E612" s="21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spans="1:18" ht="15.75" customHeight="1" x14ac:dyDescent="0.35">
      <c r="A613" s="3"/>
      <c r="B613" s="20"/>
      <c r="C613" s="21"/>
      <c r="D613" s="21"/>
      <c r="E613" s="21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spans="1:18" ht="15.75" customHeight="1" x14ac:dyDescent="0.35">
      <c r="A614" s="3"/>
      <c r="B614" s="20"/>
      <c r="C614" s="21"/>
      <c r="D614" s="21"/>
      <c r="E614" s="21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spans="1:18" ht="15.75" customHeight="1" x14ac:dyDescent="0.35">
      <c r="A615" s="3"/>
      <c r="B615" s="20"/>
      <c r="C615" s="21"/>
      <c r="D615" s="21"/>
      <c r="E615" s="21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spans="1:18" ht="15.75" customHeight="1" x14ac:dyDescent="0.35">
      <c r="A616" s="3"/>
      <c r="B616" s="20"/>
      <c r="C616" s="21"/>
      <c r="D616" s="21"/>
      <c r="E616" s="21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spans="1:18" ht="15.75" customHeight="1" x14ac:dyDescent="0.35">
      <c r="A617" s="3"/>
      <c r="B617" s="20"/>
      <c r="C617" s="21"/>
      <c r="D617" s="21"/>
      <c r="E617" s="21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spans="1:18" ht="15.75" customHeight="1" x14ac:dyDescent="0.35">
      <c r="A618" s="3"/>
      <c r="B618" s="20"/>
      <c r="C618" s="21"/>
      <c r="D618" s="21"/>
      <c r="E618" s="21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spans="1:18" ht="15.75" customHeight="1" x14ac:dyDescent="0.35">
      <c r="A619" s="3"/>
      <c r="B619" s="20"/>
      <c r="C619" s="21"/>
      <c r="D619" s="21"/>
      <c r="E619" s="21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spans="1:18" ht="15.75" customHeight="1" x14ac:dyDescent="0.35">
      <c r="A620" s="3"/>
      <c r="B620" s="20"/>
      <c r="C620" s="21"/>
      <c r="D620" s="21"/>
      <c r="E620" s="21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spans="1:18" ht="15.75" customHeight="1" x14ac:dyDescent="0.35">
      <c r="A621" s="3"/>
      <c r="B621" s="20"/>
      <c r="C621" s="21"/>
      <c r="D621" s="21"/>
      <c r="E621" s="21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spans="1:18" ht="15.75" customHeight="1" x14ac:dyDescent="0.35">
      <c r="A622" s="3"/>
      <c r="B622" s="20"/>
      <c r="C622" s="21"/>
      <c r="D622" s="21"/>
      <c r="E622" s="21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spans="1:18" ht="15.75" customHeight="1" x14ac:dyDescent="0.35">
      <c r="A623" s="3"/>
      <c r="B623" s="20"/>
      <c r="C623" s="21"/>
      <c r="D623" s="21"/>
      <c r="E623" s="21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spans="1:18" ht="15.75" customHeight="1" x14ac:dyDescent="0.35">
      <c r="A624" s="3"/>
      <c r="B624" s="20"/>
      <c r="C624" s="21"/>
      <c r="D624" s="21"/>
      <c r="E624" s="21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spans="1:18" ht="15.75" customHeight="1" x14ac:dyDescent="0.35">
      <c r="A625" s="3"/>
      <c r="B625" s="20"/>
      <c r="C625" s="21"/>
      <c r="D625" s="21"/>
      <c r="E625" s="21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spans="1:18" ht="15.75" customHeight="1" x14ac:dyDescent="0.35">
      <c r="A626" s="3"/>
      <c r="B626" s="20"/>
      <c r="C626" s="21"/>
      <c r="D626" s="21"/>
      <c r="E626" s="21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spans="1:18" ht="15.75" customHeight="1" x14ac:dyDescent="0.35">
      <c r="A627" s="3"/>
      <c r="B627" s="20"/>
      <c r="C627" s="21"/>
      <c r="D627" s="21"/>
      <c r="E627" s="21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spans="1:18" ht="15.75" customHeight="1" x14ac:dyDescent="0.35">
      <c r="A628" s="3"/>
      <c r="B628" s="20"/>
      <c r="C628" s="21"/>
      <c r="D628" s="21"/>
      <c r="E628" s="21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spans="1:18" ht="15.75" customHeight="1" x14ac:dyDescent="0.35">
      <c r="A629" s="3"/>
      <c r="B629" s="20"/>
      <c r="C629" s="21"/>
      <c r="D629" s="21"/>
      <c r="E629" s="21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spans="1:18" ht="15.75" customHeight="1" x14ac:dyDescent="0.35">
      <c r="A630" s="3"/>
      <c r="B630" s="20"/>
      <c r="C630" s="21"/>
      <c r="D630" s="21"/>
      <c r="E630" s="21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spans="1:18" ht="15.75" customHeight="1" x14ac:dyDescent="0.35">
      <c r="A631" s="3"/>
      <c r="B631" s="20"/>
      <c r="C631" s="21"/>
      <c r="D631" s="21"/>
      <c r="E631" s="21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spans="1:18" ht="15.75" customHeight="1" x14ac:dyDescent="0.35">
      <c r="A632" s="3"/>
      <c r="B632" s="20"/>
      <c r="C632" s="21"/>
      <c r="D632" s="21"/>
      <c r="E632" s="21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spans="1:18" ht="15.75" customHeight="1" x14ac:dyDescent="0.35">
      <c r="A633" s="3"/>
      <c r="B633" s="20"/>
      <c r="C633" s="21"/>
      <c r="D633" s="21"/>
      <c r="E633" s="21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spans="1:18" ht="15.75" customHeight="1" x14ac:dyDescent="0.35">
      <c r="A634" s="3"/>
      <c r="B634" s="20"/>
      <c r="C634" s="21"/>
      <c r="D634" s="21"/>
      <c r="E634" s="21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spans="1:18" ht="15.75" customHeight="1" x14ac:dyDescent="0.35">
      <c r="A635" s="3"/>
      <c r="B635" s="20"/>
      <c r="C635" s="21"/>
      <c r="D635" s="21"/>
      <c r="E635" s="21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spans="1:18" ht="15.75" customHeight="1" x14ac:dyDescent="0.35">
      <c r="A636" s="3"/>
      <c r="B636" s="20"/>
      <c r="C636" s="21"/>
      <c r="D636" s="21"/>
      <c r="E636" s="21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spans="1:18" ht="15.75" customHeight="1" x14ac:dyDescent="0.35">
      <c r="A637" s="3"/>
      <c r="B637" s="20"/>
      <c r="C637" s="21"/>
      <c r="D637" s="21"/>
      <c r="E637" s="21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spans="1:18" ht="15.75" customHeight="1" x14ac:dyDescent="0.35">
      <c r="A638" s="3"/>
      <c r="B638" s="20"/>
      <c r="C638" s="21"/>
      <c r="D638" s="21"/>
      <c r="E638" s="21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spans="1:18" ht="15.75" customHeight="1" x14ac:dyDescent="0.35">
      <c r="A639" s="3"/>
      <c r="B639" s="20"/>
      <c r="C639" s="21"/>
      <c r="D639" s="21"/>
      <c r="E639" s="21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spans="1:18" ht="15.75" customHeight="1" x14ac:dyDescent="0.35">
      <c r="A640" s="3"/>
      <c r="B640" s="20"/>
      <c r="C640" s="21"/>
      <c r="D640" s="21"/>
      <c r="E640" s="21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spans="1:18" ht="15.75" customHeight="1" x14ac:dyDescent="0.35">
      <c r="A641" s="3"/>
      <c r="B641" s="20"/>
      <c r="C641" s="21"/>
      <c r="D641" s="21"/>
      <c r="E641" s="21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spans="1:18" ht="15.75" customHeight="1" x14ac:dyDescent="0.35">
      <c r="A642" s="3"/>
      <c r="B642" s="20"/>
      <c r="C642" s="21"/>
      <c r="D642" s="21"/>
      <c r="E642" s="21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spans="1:18" ht="15.75" customHeight="1" x14ac:dyDescent="0.35">
      <c r="A643" s="3"/>
      <c r="B643" s="20"/>
      <c r="C643" s="21"/>
      <c r="D643" s="21"/>
      <c r="E643" s="21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spans="1:18" ht="15.75" customHeight="1" x14ac:dyDescent="0.35">
      <c r="A644" s="3"/>
      <c r="B644" s="20"/>
      <c r="C644" s="21"/>
      <c r="D644" s="21"/>
      <c r="E644" s="21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spans="1:18" ht="15.75" customHeight="1" x14ac:dyDescent="0.35">
      <c r="A645" s="3"/>
      <c r="B645" s="20"/>
      <c r="C645" s="21"/>
      <c r="D645" s="21"/>
      <c r="E645" s="21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spans="1:18" ht="15.75" customHeight="1" x14ac:dyDescent="0.35">
      <c r="A646" s="3"/>
      <c r="B646" s="20"/>
      <c r="C646" s="21"/>
      <c r="D646" s="21"/>
      <c r="E646" s="21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spans="1:18" ht="15.75" customHeight="1" x14ac:dyDescent="0.35">
      <c r="A647" s="3"/>
      <c r="B647" s="20"/>
      <c r="C647" s="21"/>
      <c r="D647" s="21"/>
      <c r="E647" s="21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spans="1:18" ht="15.75" customHeight="1" x14ac:dyDescent="0.35">
      <c r="A648" s="3"/>
      <c r="B648" s="20"/>
      <c r="C648" s="21"/>
      <c r="D648" s="21"/>
      <c r="E648" s="21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spans="1:18" ht="15.75" customHeight="1" x14ac:dyDescent="0.35">
      <c r="A649" s="3"/>
      <c r="B649" s="20"/>
      <c r="C649" s="21"/>
      <c r="D649" s="21"/>
      <c r="E649" s="21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spans="1:18" ht="15.75" customHeight="1" x14ac:dyDescent="0.35">
      <c r="A650" s="3"/>
      <c r="B650" s="20"/>
      <c r="C650" s="21"/>
      <c r="D650" s="21"/>
      <c r="E650" s="21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spans="1:18" ht="15.75" customHeight="1" x14ac:dyDescent="0.35">
      <c r="A651" s="3"/>
      <c r="B651" s="20"/>
      <c r="C651" s="21"/>
      <c r="D651" s="21"/>
      <c r="E651" s="21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spans="1:18" ht="15.75" customHeight="1" x14ac:dyDescent="0.35">
      <c r="A652" s="3"/>
      <c r="B652" s="20"/>
      <c r="C652" s="21"/>
      <c r="D652" s="21"/>
      <c r="E652" s="21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spans="1:18" ht="15.75" customHeight="1" x14ac:dyDescent="0.35">
      <c r="A653" s="3"/>
      <c r="B653" s="20"/>
      <c r="C653" s="21"/>
      <c r="D653" s="21"/>
      <c r="E653" s="21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spans="1:18" ht="15.75" customHeight="1" x14ac:dyDescent="0.35">
      <c r="A654" s="3"/>
      <c r="B654" s="20"/>
      <c r="C654" s="21"/>
      <c r="D654" s="21"/>
      <c r="E654" s="21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spans="1:18" ht="15.75" customHeight="1" x14ac:dyDescent="0.35">
      <c r="A655" s="3"/>
      <c r="B655" s="20"/>
      <c r="C655" s="21"/>
      <c r="D655" s="21"/>
      <c r="E655" s="21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spans="1:18" ht="15.75" customHeight="1" x14ac:dyDescent="0.35">
      <c r="A656" s="3"/>
      <c r="B656" s="20"/>
      <c r="C656" s="21"/>
      <c r="D656" s="21"/>
      <c r="E656" s="21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spans="1:18" ht="15.75" customHeight="1" x14ac:dyDescent="0.35">
      <c r="A657" s="3"/>
      <c r="B657" s="20"/>
      <c r="C657" s="21"/>
      <c r="D657" s="21"/>
      <c r="E657" s="21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spans="1:18" ht="15.75" customHeight="1" x14ac:dyDescent="0.35">
      <c r="A658" s="3"/>
      <c r="B658" s="20"/>
      <c r="C658" s="21"/>
      <c r="D658" s="21"/>
      <c r="E658" s="21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spans="1:18" ht="15.75" customHeight="1" x14ac:dyDescent="0.35">
      <c r="A659" s="3"/>
      <c r="B659" s="20"/>
      <c r="C659" s="21"/>
      <c r="D659" s="21"/>
      <c r="E659" s="21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spans="1:18" ht="15.75" customHeight="1" x14ac:dyDescent="0.35">
      <c r="A660" s="3"/>
      <c r="B660" s="20"/>
      <c r="C660" s="21"/>
      <c r="D660" s="21"/>
      <c r="E660" s="21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spans="1:18" ht="15.75" customHeight="1" x14ac:dyDescent="0.35">
      <c r="A661" s="3"/>
      <c r="B661" s="20"/>
      <c r="C661" s="21"/>
      <c r="D661" s="21"/>
      <c r="E661" s="21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spans="1:18" ht="15.75" customHeight="1" x14ac:dyDescent="0.35">
      <c r="A662" s="3"/>
      <c r="B662" s="20"/>
      <c r="C662" s="21"/>
      <c r="D662" s="21"/>
      <c r="E662" s="21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spans="1:18" ht="15.75" customHeight="1" x14ac:dyDescent="0.35">
      <c r="A663" s="3"/>
      <c r="B663" s="20"/>
      <c r="C663" s="21"/>
      <c r="D663" s="21"/>
      <c r="E663" s="21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spans="1:18" ht="15.75" customHeight="1" x14ac:dyDescent="0.35">
      <c r="A664" s="3"/>
      <c r="B664" s="20"/>
      <c r="C664" s="21"/>
      <c r="D664" s="21"/>
      <c r="E664" s="21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spans="1:18" ht="15.75" customHeight="1" x14ac:dyDescent="0.35">
      <c r="A665" s="3"/>
      <c r="B665" s="20"/>
      <c r="C665" s="21"/>
      <c r="D665" s="21"/>
      <c r="E665" s="21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spans="1:18" ht="15.75" customHeight="1" x14ac:dyDescent="0.35">
      <c r="A666" s="3"/>
      <c r="B666" s="20"/>
      <c r="C666" s="21"/>
      <c r="D666" s="21"/>
      <c r="E666" s="21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spans="1:18" ht="15.75" customHeight="1" x14ac:dyDescent="0.35">
      <c r="A667" s="3"/>
      <c r="B667" s="20"/>
      <c r="C667" s="21"/>
      <c r="D667" s="21"/>
      <c r="E667" s="21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spans="1:18" ht="15.75" customHeight="1" x14ac:dyDescent="0.35">
      <c r="A668" s="3"/>
      <c r="B668" s="20"/>
      <c r="C668" s="21"/>
      <c r="D668" s="21"/>
      <c r="E668" s="21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spans="1:18" ht="15.75" customHeight="1" x14ac:dyDescent="0.35">
      <c r="A669" s="3"/>
      <c r="B669" s="20"/>
      <c r="C669" s="21"/>
      <c r="D669" s="21"/>
      <c r="E669" s="21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spans="1:18" ht="15.75" customHeight="1" x14ac:dyDescent="0.35">
      <c r="A670" s="3"/>
      <c r="B670" s="20"/>
      <c r="C670" s="21"/>
      <c r="D670" s="21"/>
      <c r="E670" s="21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spans="1:18" ht="15.75" customHeight="1" x14ac:dyDescent="0.35">
      <c r="A671" s="3"/>
      <c r="B671" s="20"/>
      <c r="C671" s="21"/>
      <c r="D671" s="21"/>
      <c r="E671" s="21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spans="1:18" ht="15.75" customHeight="1" x14ac:dyDescent="0.35">
      <c r="A672" s="3"/>
      <c r="B672" s="20"/>
      <c r="C672" s="21"/>
      <c r="D672" s="21"/>
      <c r="E672" s="21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spans="1:18" ht="15.75" customHeight="1" x14ac:dyDescent="0.35">
      <c r="A673" s="3"/>
      <c r="B673" s="20"/>
      <c r="C673" s="21"/>
      <c r="D673" s="21"/>
      <c r="E673" s="21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spans="1:18" ht="15.75" customHeight="1" x14ac:dyDescent="0.35">
      <c r="A674" s="3"/>
      <c r="B674" s="20"/>
      <c r="C674" s="21"/>
      <c r="D674" s="21"/>
      <c r="E674" s="21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spans="1:18" ht="15.75" customHeight="1" x14ac:dyDescent="0.35">
      <c r="A675" s="3"/>
      <c r="B675" s="20"/>
      <c r="C675" s="21"/>
      <c r="D675" s="21"/>
      <c r="E675" s="21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spans="1:18" ht="15.75" customHeight="1" x14ac:dyDescent="0.35">
      <c r="A676" s="3"/>
      <c r="B676" s="20"/>
      <c r="C676" s="21"/>
      <c r="D676" s="21"/>
      <c r="E676" s="21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spans="1:18" ht="15.75" customHeight="1" x14ac:dyDescent="0.35">
      <c r="A677" s="3"/>
      <c r="B677" s="20"/>
      <c r="C677" s="21"/>
      <c r="D677" s="21"/>
      <c r="E677" s="21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spans="1:18" ht="15.75" customHeight="1" x14ac:dyDescent="0.35">
      <c r="A678" s="3"/>
      <c r="B678" s="20"/>
      <c r="C678" s="21"/>
      <c r="D678" s="21"/>
      <c r="E678" s="21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spans="1:18" ht="15.75" customHeight="1" x14ac:dyDescent="0.35">
      <c r="A679" s="3"/>
      <c r="B679" s="20"/>
      <c r="C679" s="21"/>
      <c r="D679" s="21"/>
      <c r="E679" s="21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spans="1:18" ht="15.75" customHeight="1" x14ac:dyDescent="0.35">
      <c r="A680" s="3"/>
      <c r="B680" s="20"/>
      <c r="C680" s="21"/>
      <c r="D680" s="21"/>
      <c r="E680" s="21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spans="1:18" ht="15.75" customHeight="1" x14ac:dyDescent="0.35">
      <c r="A681" s="3"/>
      <c r="B681" s="20"/>
      <c r="C681" s="21"/>
      <c r="D681" s="21"/>
      <c r="E681" s="21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spans="1:18" ht="15.75" customHeight="1" x14ac:dyDescent="0.35">
      <c r="A682" s="3"/>
      <c r="B682" s="20"/>
      <c r="C682" s="21"/>
      <c r="D682" s="21"/>
      <c r="E682" s="21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spans="1:18" ht="15.75" customHeight="1" x14ac:dyDescent="0.35">
      <c r="A683" s="3"/>
      <c r="B683" s="20"/>
      <c r="C683" s="21"/>
      <c r="D683" s="21"/>
      <c r="E683" s="21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spans="1:18" ht="15.75" customHeight="1" x14ac:dyDescent="0.35">
      <c r="A684" s="3"/>
      <c r="B684" s="20"/>
      <c r="C684" s="21"/>
      <c r="D684" s="21"/>
      <c r="E684" s="21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spans="1:18" ht="15.75" customHeight="1" x14ac:dyDescent="0.35">
      <c r="A685" s="3"/>
      <c r="B685" s="20"/>
      <c r="C685" s="21"/>
      <c r="D685" s="21"/>
      <c r="E685" s="21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spans="1:18" ht="15.75" customHeight="1" x14ac:dyDescent="0.35">
      <c r="A686" s="3"/>
      <c r="B686" s="20"/>
      <c r="C686" s="21"/>
      <c r="D686" s="21"/>
      <c r="E686" s="21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spans="1:18" ht="15.75" customHeight="1" x14ac:dyDescent="0.35">
      <c r="A687" s="3"/>
      <c r="B687" s="20"/>
      <c r="C687" s="21"/>
      <c r="D687" s="21"/>
      <c r="E687" s="21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spans="1:18" ht="15.75" customHeight="1" x14ac:dyDescent="0.35">
      <c r="A688" s="3"/>
      <c r="B688" s="20"/>
      <c r="C688" s="21"/>
      <c r="D688" s="21"/>
      <c r="E688" s="21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spans="1:18" ht="15.75" customHeight="1" x14ac:dyDescent="0.35">
      <c r="A689" s="3"/>
      <c r="B689" s="20"/>
      <c r="C689" s="21"/>
      <c r="D689" s="21"/>
      <c r="E689" s="21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spans="1:18" ht="15.75" customHeight="1" x14ac:dyDescent="0.35">
      <c r="A690" s="3"/>
      <c r="B690" s="20"/>
      <c r="C690" s="21"/>
      <c r="D690" s="21"/>
      <c r="E690" s="21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spans="1:18" ht="15.75" customHeight="1" x14ac:dyDescent="0.35">
      <c r="A691" s="3"/>
      <c r="B691" s="20"/>
      <c r="C691" s="21"/>
      <c r="D691" s="21"/>
      <c r="E691" s="21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spans="1:18" ht="15.75" customHeight="1" x14ac:dyDescent="0.35">
      <c r="A692" s="3"/>
      <c r="B692" s="20"/>
      <c r="C692" s="21"/>
      <c r="D692" s="21"/>
      <c r="E692" s="21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spans="1:18" ht="15.75" customHeight="1" x14ac:dyDescent="0.35">
      <c r="A693" s="3"/>
      <c r="B693" s="20"/>
      <c r="C693" s="21"/>
      <c r="D693" s="21"/>
      <c r="E693" s="21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spans="1:18" ht="15.75" customHeight="1" x14ac:dyDescent="0.35">
      <c r="A694" s="3"/>
      <c r="B694" s="20"/>
      <c r="C694" s="21"/>
      <c r="D694" s="21"/>
      <c r="E694" s="21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spans="1:18" ht="15.75" customHeight="1" x14ac:dyDescent="0.35">
      <c r="A695" s="3"/>
      <c r="B695" s="20"/>
      <c r="C695" s="21"/>
      <c r="D695" s="21"/>
      <c r="E695" s="21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spans="1:18" ht="15.75" customHeight="1" x14ac:dyDescent="0.35">
      <c r="A696" s="3"/>
      <c r="B696" s="20"/>
      <c r="C696" s="21"/>
      <c r="D696" s="21"/>
      <c r="E696" s="21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spans="1:18" ht="15.75" customHeight="1" x14ac:dyDescent="0.35">
      <c r="A697" s="3"/>
      <c r="B697" s="20"/>
      <c r="C697" s="21"/>
      <c r="D697" s="21"/>
      <c r="E697" s="21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spans="1:18" ht="15.75" customHeight="1" x14ac:dyDescent="0.35">
      <c r="A698" s="3"/>
      <c r="B698" s="20"/>
      <c r="C698" s="21"/>
      <c r="D698" s="21"/>
      <c r="E698" s="21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spans="1:18" ht="15.75" customHeight="1" x14ac:dyDescent="0.35">
      <c r="A699" s="3"/>
      <c r="B699" s="20"/>
      <c r="C699" s="21"/>
      <c r="D699" s="21"/>
      <c r="E699" s="21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spans="1:18" ht="15.75" customHeight="1" x14ac:dyDescent="0.35">
      <c r="A700" s="3"/>
      <c r="B700" s="20"/>
      <c r="C700" s="21"/>
      <c r="D700" s="21"/>
      <c r="E700" s="21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spans="1:18" ht="15.75" customHeight="1" x14ac:dyDescent="0.35">
      <c r="A701" s="3"/>
      <c r="B701" s="20"/>
      <c r="C701" s="21"/>
      <c r="D701" s="21"/>
      <c r="E701" s="21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spans="1:18" ht="15.75" customHeight="1" x14ac:dyDescent="0.35">
      <c r="A702" s="3"/>
      <c r="B702" s="20"/>
      <c r="C702" s="21"/>
      <c r="D702" s="21"/>
      <c r="E702" s="21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spans="1:18" ht="15.75" customHeight="1" x14ac:dyDescent="0.35">
      <c r="A703" s="3"/>
      <c r="B703" s="20"/>
      <c r="C703" s="21"/>
      <c r="D703" s="21"/>
      <c r="E703" s="21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spans="1:18" ht="15.75" customHeight="1" x14ac:dyDescent="0.35">
      <c r="A704" s="3"/>
      <c r="B704" s="20"/>
      <c r="C704" s="21"/>
      <c r="D704" s="21"/>
      <c r="E704" s="21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spans="1:18" ht="15.75" customHeight="1" x14ac:dyDescent="0.35">
      <c r="A705" s="3"/>
      <c r="B705" s="20"/>
      <c r="C705" s="21"/>
      <c r="D705" s="21"/>
      <c r="E705" s="21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spans="1:18" ht="15.75" customHeight="1" x14ac:dyDescent="0.35">
      <c r="A706" s="3"/>
      <c r="B706" s="20"/>
      <c r="C706" s="21"/>
      <c r="D706" s="21"/>
      <c r="E706" s="21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spans="1:18" ht="15.75" customHeight="1" x14ac:dyDescent="0.35">
      <c r="A707" s="3"/>
      <c r="B707" s="20"/>
      <c r="C707" s="21"/>
      <c r="D707" s="21"/>
      <c r="E707" s="21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spans="1:18" ht="15.75" customHeight="1" x14ac:dyDescent="0.35">
      <c r="A708" s="3"/>
      <c r="B708" s="20"/>
      <c r="C708" s="21"/>
      <c r="D708" s="21"/>
      <c r="E708" s="21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spans="1:18" ht="15.75" customHeight="1" x14ac:dyDescent="0.35">
      <c r="A709" s="3"/>
      <c r="B709" s="20"/>
      <c r="C709" s="21"/>
      <c r="D709" s="21"/>
      <c r="E709" s="21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spans="1:18" ht="15.75" customHeight="1" x14ac:dyDescent="0.35">
      <c r="A710" s="3"/>
      <c r="B710" s="20"/>
      <c r="C710" s="21"/>
      <c r="D710" s="21"/>
      <c r="E710" s="21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spans="1:18" ht="15.75" customHeight="1" x14ac:dyDescent="0.35">
      <c r="A711" s="3"/>
      <c r="B711" s="20"/>
      <c r="C711" s="21"/>
      <c r="D711" s="21"/>
      <c r="E711" s="21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spans="1:18" ht="15.75" customHeight="1" x14ac:dyDescent="0.35">
      <c r="A712" s="3"/>
      <c r="B712" s="20"/>
      <c r="C712" s="21"/>
      <c r="D712" s="21"/>
      <c r="E712" s="21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spans="1:18" ht="15.75" customHeight="1" x14ac:dyDescent="0.35">
      <c r="A713" s="3"/>
      <c r="B713" s="20"/>
      <c r="C713" s="21"/>
      <c r="D713" s="21"/>
      <c r="E713" s="21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spans="1:18" ht="15.75" customHeight="1" x14ac:dyDescent="0.35">
      <c r="A714" s="3"/>
      <c r="B714" s="20"/>
      <c r="C714" s="21"/>
      <c r="D714" s="21"/>
      <c r="E714" s="21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spans="1:18" ht="15.75" customHeight="1" x14ac:dyDescent="0.35">
      <c r="A715" s="3"/>
      <c r="B715" s="20"/>
      <c r="C715" s="21"/>
      <c r="D715" s="21"/>
      <c r="E715" s="21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spans="1:18" ht="15.75" customHeight="1" x14ac:dyDescent="0.35">
      <c r="A716" s="3"/>
      <c r="B716" s="20"/>
      <c r="C716" s="21"/>
      <c r="D716" s="21"/>
      <c r="E716" s="21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spans="1:18" ht="15.75" customHeight="1" x14ac:dyDescent="0.35">
      <c r="A717" s="3"/>
      <c r="B717" s="20"/>
      <c r="C717" s="21"/>
      <c r="D717" s="21"/>
      <c r="E717" s="21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spans="1:18" ht="15.75" customHeight="1" x14ac:dyDescent="0.35">
      <c r="A718" s="3"/>
      <c r="B718" s="20"/>
      <c r="C718" s="21"/>
      <c r="D718" s="21"/>
      <c r="E718" s="21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spans="1:18" ht="15.75" customHeight="1" x14ac:dyDescent="0.35">
      <c r="A719" s="3"/>
      <c r="B719" s="20"/>
      <c r="C719" s="21"/>
      <c r="D719" s="21"/>
      <c r="E719" s="21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spans="1:18" ht="15.75" customHeight="1" x14ac:dyDescent="0.35">
      <c r="A720" s="3"/>
      <c r="B720" s="20"/>
      <c r="C720" s="21"/>
      <c r="D720" s="21"/>
      <c r="E720" s="21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spans="1:18" ht="15.75" customHeight="1" x14ac:dyDescent="0.35">
      <c r="A721" s="3"/>
      <c r="B721" s="20"/>
      <c r="C721" s="21"/>
      <c r="D721" s="21"/>
      <c r="E721" s="21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spans="1:18" ht="15.75" customHeight="1" x14ac:dyDescent="0.35">
      <c r="A722" s="3"/>
      <c r="B722" s="20"/>
      <c r="C722" s="21"/>
      <c r="D722" s="21"/>
      <c r="E722" s="21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spans="1:18" ht="15.75" customHeight="1" x14ac:dyDescent="0.35">
      <c r="A723" s="3"/>
      <c r="B723" s="20"/>
      <c r="C723" s="21"/>
      <c r="D723" s="21"/>
      <c r="E723" s="21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spans="1:18" ht="15.75" customHeight="1" x14ac:dyDescent="0.35">
      <c r="A724" s="3"/>
      <c r="B724" s="20"/>
      <c r="C724" s="21"/>
      <c r="D724" s="21"/>
      <c r="E724" s="21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spans="1:18" ht="15.75" customHeight="1" x14ac:dyDescent="0.35">
      <c r="A725" s="3"/>
      <c r="B725" s="20"/>
      <c r="C725" s="21"/>
      <c r="D725" s="21"/>
      <c r="E725" s="21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spans="1:18" ht="15.75" customHeight="1" x14ac:dyDescent="0.35">
      <c r="A726" s="3"/>
      <c r="B726" s="20"/>
      <c r="C726" s="21"/>
      <c r="D726" s="21"/>
      <c r="E726" s="21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spans="1:18" ht="15.75" customHeight="1" x14ac:dyDescent="0.35">
      <c r="A727" s="3"/>
      <c r="B727" s="20"/>
      <c r="C727" s="21"/>
      <c r="D727" s="21"/>
      <c r="E727" s="21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spans="1:18" ht="15.75" customHeight="1" x14ac:dyDescent="0.35">
      <c r="A728" s="3"/>
      <c r="B728" s="20"/>
      <c r="C728" s="21"/>
      <c r="D728" s="21"/>
      <c r="E728" s="21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spans="1:18" ht="15.75" customHeight="1" x14ac:dyDescent="0.35">
      <c r="A729" s="3"/>
      <c r="B729" s="20"/>
      <c r="C729" s="21"/>
      <c r="D729" s="21"/>
      <c r="E729" s="21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spans="1:18" ht="15.75" customHeight="1" x14ac:dyDescent="0.35">
      <c r="A730" s="3"/>
      <c r="B730" s="20"/>
      <c r="C730" s="21"/>
      <c r="D730" s="21"/>
      <c r="E730" s="21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spans="1:18" ht="15.75" customHeight="1" x14ac:dyDescent="0.35">
      <c r="A731" s="3"/>
      <c r="B731" s="20"/>
      <c r="C731" s="21"/>
      <c r="D731" s="21"/>
      <c r="E731" s="21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spans="1:18" ht="15.75" customHeight="1" x14ac:dyDescent="0.35">
      <c r="A732" s="3"/>
      <c r="B732" s="20"/>
      <c r="C732" s="21"/>
      <c r="D732" s="21"/>
      <c r="E732" s="21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spans="1:18" ht="15.75" customHeight="1" x14ac:dyDescent="0.35">
      <c r="A733" s="3"/>
      <c r="B733" s="20"/>
      <c r="C733" s="21"/>
      <c r="D733" s="21"/>
      <c r="E733" s="21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spans="1:18" ht="15.75" customHeight="1" x14ac:dyDescent="0.35">
      <c r="A734" s="3"/>
      <c r="B734" s="20"/>
      <c r="C734" s="21"/>
      <c r="D734" s="21"/>
      <c r="E734" s="21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spans="1:18" ht="15.75" customHeight="1" x14ac:dyDescent="0.35">
      <c r="A735" s="3"/>
      <c r="B735" s="20"/>
      <c r="C735" s="21"/>
      <c r="D735" s="21"/>
      <c r="E735" s="21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spans="1:18" ht="15.75" customHeight="1" x14ac:dyDescent="0.35">
      <c r="A736" s="3"/>
      <c r="B736" s="20"/>
      <c r="C736" s="21"/>
      <c r="D736" s="21"/>
      <c r="E736" s="21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spans="1:18" ht="15.75" customHeight="1" x14ac:dyDescent="0.35">
      <c r="A737" s="3"/>
      <c r="B737" s="20"/>
      <c r="C737" s="21"/>
      <c r="D737" s="21"/>
      <c r="E737" s="21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spans="1:18" ht="15.75" customHeight="1" x14ac:dyDescent="0.35">
      <c r="A738" s="3"/>
      <c r="B738" s="20"/>
      <c r="C738" s="21"/>
      <c r="D738" s="21"/>
      <c r="E738" s="21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 spans="1:18" ht="15.75" customHeight="1" x14ac:dyDescent="0.35">
      <c r="A739" s="3"/>
      <c r="B739" s="20"/>
      <c r="C739" s="21"/>
      <c r="D739" s="21"/>
      <c r="E739" s="21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spans="1:18" ht="15.75" customHeight="1" x14ac:dyDescent="0.35">
      <c r="A740" s="3"/>
      <c r="B740" s="20"/>
      <c r="C740" s="21"/>
      <c r="D740" s="21"/>
      <c r="E740" s="21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 spans="1:18" ht="15.75" customHeight="1" x14ac:dyDescent="0.35">
      <c r="A741" s="3"/>
      <c r="B741" s="20"/>
      <c r="C741" s="21"/>
      <c r="D741" s="21"/>
      <c r="E741" s="21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spans="1:18" ht="15.75" customHeight="1" x14ac:dyDescent="0.35">
      <c r="A742" s="3"/>
      <c r="B742" s="20"/>
      <c r="C742" s="21"/>
      <c r="D742" s="21"/>
      <c r="E742" s="21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spans="1:18" ht="15.75" customHeight="1" x14ac:dyDescent="0.35">
      <c r="A743" s="3"/>
      <c r="B743" s="20"/>
      <c r="C743" s="21"/>
      <c r="D743" s="21"/>
      <c r="E743" s="21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spans="1:18" ht="15.75" customHeight="1" x14ac:dyDescent="0.35">
      <c r="A744" s="3"/>
      <c r="B744" s="20"/>
      <c r="C744" s="21"/>
      <c r="D744" s="21"/>
      <c r="E744" s="21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spans="1:18" ht="15.75" customHeight="1" x14ac:dyDescent="0.35">
      <c r="A745" s="3"/>
      <c r="B745" s="20"/>
      <c r="C745" s="21"/>
      <c r="D745" s="21"/>
      <c r="E745" s="21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 spans="1:18" ht="15.75" customHeight="1" x14ac:dyDescent="0.35">
      <c r="A746" s="3"/>
      <c r="B746" s="20"/>
      <c r="C746" s="21"/>
      <c r="D746" s="21"/>
      <c r="E746" s="21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spans="1:18" ht="15.75" customHeight="1" x14ac:dyDescent="0.35">
      <c r="A747" s="3"/>
      <c r="B747" s="20"/>
      <c r="C747" s="21"/>
      <c r="D747" s="21"/>
      <c r="E747" s="21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spans="1:18" ht="15.75" customHeight="1" x14ac:dyDescent="0.35">
      <c r="A748" s="3"/>
      <c r="B748" s="20"/>
      <c r="C748" s="21"/>
      <c r="D748" s="21"/>
      <c r="E748" s="21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 spans="1:18" ht="15.75" customHeight="1" x14ac:dyDescent="0.35">
      <c r="A749" s="3"/>
      <c r="B749" s="20"/>
      <c r="C749" s="21"/>
      <c r="D749" s="21"/>
      <c r="E749" s="21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 spans="1:18" ht="15.75" customHeight="1" x14ac:dyDescent="0.35">
      <c r="A750" s="3"/>
      <c r="B750" s="20"/>
      <c r="C750" s="21"/>
      <c r="D750" s="21"/>
      <c r="E750" s="21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spans="1:18" ht="15.75" customHeight="1" x14ac:dyDescent="0.35">
      <c r="A751" s="3"/>
      <c r="B751" s="20"/>
      <c r="C751" s="21"/>
      <c r="D751" s="21"/>
      <c r="E751" s="21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 spans="1:18" ht="15.75" customHeight="1" x14ac:dyDescent="0.35">
      <c r="A752" s="3"/>
      <c r="B752" s="20"/>
      <c r="C752" s="21"/>
      <c r="D752" s="21"/>
      <c r="E752" s="21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spans="1:18" ht="15.75" customHeight="1" x14ac:dyDescent="0.35">
      <c r="A753" s="3"/>
      <c r="B753" s="20"/>
      <c r="C753" s="21"/>
      <c r="D753" s="21"/>
      <c r="E753" s="21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spans="1:18" ht="15.75" customHeight="1" x14ac:dyDescent="0.35">
      <c r="A754" s="3"/>
      <c r="B754" s="20"/>
      <c r="C754" s="21"/>
      <c r="D754" s="21"/>
      <c r="E754" s="21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spans="1:18" ht="15.75" customHeight="1" x14ac:dyDescent="0.35">
      <c r="A755" s="3"/>
      <c r="B755" s="20"/>
      <c r="C755" s="21"/>
      <c r="D755" s="21"/>
      <c r="E755" s="21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spans="1:18" ht="15.75" customHeight="1" x14ac:dyDescent="0.35">
      <c r="A756" s="3"/>
      <c r="B756" s="20"/>
      <c r="C756" s="21"/>
      <c r="D756" s="21"/>
      <c r="E756" s="21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spans="1:18" ht="15.75" customHeight="1" x14ac:dyDescent="0.35">
      <c r="A757" s="3"/>
      <c r="B757" s="20"/>
      <c r="C757" s="21"/>
      <c r="D757" s="21"/>
      <c r="E757" s="21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spans="1:18" ht="15.75" customHeight="1" x14ac:dyDescent="0.35">
      <c r="A758" s="3"/>
      <c r="B758" s="20"/>
      <c r="C758" s="21"/>
      <c r="D758" s="21"/>
      <c r="E758" s="21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spans="1:18" ht="15.75" customHeight="1" x14ac:dyDescent="0.35">
      <c r="A759" s="3"/>
      <c r="B759" s="20"/>
      <c r="C759" s="21"/>
      <c r="D759" s="21"/>
      <c r="E759" s="21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 spans="1:18" ht="15.75" customHeight="1" x14ac:dyDescent="0.35">
      <c r="A760" s="3"/>
      <c r="B760" s="20"/>
      <c r="C760" s="21"/>
      <c r="D760" s="21"/>
      <c r="E760" s="21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spans="1:18" ht="15.75" customHeight="1" x14ac:dyDescent="0.35">
      <c r="A761" s="3"/>
      <c r="B761" s="20"/>
      <c r="C761" s="21"/>
      <c r="D761" s="21"/>
      <c r="E761" s="21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 spans="1:18" ht="15.75" customHeight="1" x14ac:dyDescent="0.35">
      <c r="A762" s="3"/>
      <c r="B762" s="20"/>
      <c r="C762" s="21"/>
      <c r="D762" s="21"/>
      <c r="E762" s="21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spans="1:18" ht="15.75" customHeight="1" x14ac:dyDescent="0.35">
      <c r="A763" s="3"/>
      <c r="B763" s="20"/>
      <c r="C763" s="21"/>
      <c r="D763" s="21"/>
      <c r="E763" s="21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 spans="1:18" ht="15.75" customHeight="1" x14ac:dyDescent="0.35">
      <c r="A764" s="3"/>
      <c r="B764" s="20"/>
      <c r="C764" s="21"/>
      <c r="D764" s="21"/>
      <c r="E764" s="21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spans="1:18" ht="15.75" customHeight="1" x14ac:dyDescent="0.35">
      <c r="A765" s="3"/>
      <c r="B765" s="20"/>
      <c r="C765" s="21"/>
      <c r="D765" s="21"/>
      <c r="E765" s="21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 spans="1:18" ht="15.75" customHeight="1" x14ac:dyDescent="0.35">
      <c r="A766" s="3"/>
      <c r="B766" s="20"/>
      <c r="C766" s="21"/>
      <c r="D766" s="21"/>
      <c r="E766" s="21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spans="1:18" ht="15.75" customHeight="1" x14ac:dyDescent="0.35">
      <c r="A767" s="3"/>
      <c r="B767" s="20"/>
      <c r="C767" s="21"/>
      <c r="D767" s="21"/>
      <c r="E767" s="21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spans="1:18" ht="15.75" customHeight="1" x14ac:dyDescent="0.35">
      <c r="A768" s="3"/>
      <c r="B768" s="20"/>
      <c r="C768" s="21"/>
      <c r="D768" s="21"/>
      <c r="E768" s="21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spans="1:18" ht="15.75" customHeight="1" x14ac:dyDescent="0.35">
      <c r="A769" s="3"/>
      <c r="B769" s="20"/>
      <c r="C769" s="21"/>
      <c r="D769" s="21"/>
      <c r="E769" s="21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 spans="1:18" ht="15.75" customHeight="1" x14ac:dyDescent="0.35">
      <c r="A770" s="3"/>
      <c r="B770" s="20"/>
      <c r="C770" s="21"/>
      <c r="D770" s="21"/>
      <c r="E770" s="21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 spans="1:18" ht="15.75" customHeight="1" x14ac:dyDescent="0.35">
      <c r="A771" s="3"/>
      <c r="B771" s="20"/>
      <c r="C771" s="21"/>
      <c r="D771" s="21"/>
      <c r="E771" s="21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 spans="1:18" ht="15.75" customHeight="1" x14ac:dyDescent="0.35">
      <c r="A772" s="3"/>
      <c r="B772" s="20"/>
      <c r="C772" s="21"/>
      <c r="D772" s="21"/>
      <c r="E772" s="21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 spans="1:18" ht="15.75" customHeight="1" x14ac:dyDescent="0.35">
      <c r="A773" s="3"/>
      <c r="B773" s="20"/>
      <c r="C773" s="21"/>
      <c r="D773" s="21"/>
      <c r="E773" s="21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 spans="1:18" ht="15.75" customHeight="1" x14ac:dyDescent="0.35">
      <c r="A774" s="3"/>
      <c r="B774" s="20"/>
      <c r="C774" s="21"/>
      <c r="D774" s="21"/>
      <c r="E774" s="21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 spans="1:18" ht="15.75" customHeight="1" x14ac:dyDescent="0.35">
      <c r="A775" s="3"/>
      <c r="B775" s="20"/>
      <c r="C775" s="21"/>
      <c r="D775" s="21"/>
      <c r="E775" s="21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 spans="1:18" ht="15.75" customHeight="1" x14ac:dyDescent="0.35">
      <c r="A776" s="3"/>
      <c r="B776" s="20"/>
      <c r="C776" s="21"/>
      <c r="D776" s="21"/>
      <c r="E776" s="21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 spans="1:18" ht="15.75" customHeight="1" x14ac:dyDescent="0.35">
      <c r="A777" s="3"/>
      <c r="B777" s="20"/>
      <c r="C777" s="21"/>
      <c r="D777" s="21"/>
      <c r="E777" s="21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 spans="1:18" ht="15.75" customHeight="1" x14ac:dyDescent="0.35">
      <c r="A778" s="3"/>
      <c r="B778" s="20"/>
      <c r="C778" s="21"/>
      <c r="D778" s="21"/>
      <c r="E778" s="21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 spans="1:18" ht="15.75" customHeight="1" x14ac:dyDescent="0.35">
      <c r="A779" s="3"/>
      <c r="B779" s="20"/>
      <c r="C779" s="21"/>
      <c r="D779" s="21"/>
      <c r="E779" s="21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 spans="1:18" ht="15.75" customHeight="1" x14ac:dyDescent="0.35">
      <c r="A780" s="3"/>
      <c r="B780" s="20"/>
      <c r="C780" s="21"/>
      <c r="D780" s="21"/>
      <c r="E780" s="21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 spans="1:18" ht="15.75" customHeight="1" x14ac:dyDescent="0.35">
      <c r="A781" s="3"/>
      <c r="B781" s="20"/>
      <c r="C781" s="21"/>
      <c r="D781" s="21"/>
      <c r="E781" s="21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 spans="1:18" ht="15.75" customHeight="1" x14ac:dyDescent="0.35">
      <c r="A782" s="3"/>
      <c r="B782" s="20"/>
      <c r="C782" s="21"/>
      <c r="D782" s="21"/>
      <c r="E782" s="21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 spans="1:18" ht="15.75" customHeight="1" x14ac:dyDescent="0.35">
      <c r="A783" s="3"/>
      <c r="B783" s="20"/>
      <c r="C783" s="21"/>
      <c r="D783" s="21"/>
      <c r="E783" s="21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 spans="1:18" ht="15.75" customHeight="1" x14ac:dyDescent="0.35">
      <c r="A784" s="3"/>
      <c r="B784" s="20"/>
      <c r="C784" s="21"/>
      <c r="D784" s="21"/>
      <c r="E784" s="21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 spans="1:18" ht="15.75" customHeight="1" x14ac:dyDescent="0.35">
      <c r="A785" s="3"/>
      <c r="B785" s="20"/>
      <c r="C785" s="21"/>
      <c r="D785" s="21"/>
      <c r="E785" s="21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 spans="1:18" ht="15.75" customHeight="1" x14ac:dyDescent="0.35">
      <c r="A786" s="3"/>
      <c r="B786" s="20"/>
      <c r="C786" s="21"/>
      <c r="D786" s="21"/>
      <c r="E786" s="21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 spans="1:18" ht="15.75" customHeight="1" x14ac:dyDescent="0.35">
      <c r="A787" s="3"/>
      <c r="B787" s="20"/>
      <c r="C787" s="21"/>
      <c r="D787" s="21"/>
      <c r="E787" s="21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 spans="1:18" ht="15.75" customHeight="1" x14ac:dyDescent="0.35">
      <c r="A788" s="3"/>
      <c r="B788" s="20"/>
      <c r="C788" s="21"/>
      <c r="D788" s="21"/>
      <c r="E788" s="21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 spans="1:18" ht="15.75" customHeight="1" x14ac:dyDescent="0.35">
      <c r="A789" s="3"/>
      <c r="B789" s="20"/>
      <c r="C789" s="21"/>
      <c r="D789" s="21"/>
      <c r="E789" s="21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spans="1:18" ht="15.75" customHeight="1" x14ac:dyDescent="0.35">
      <c r="A790" s="3"/>
      <c r="B790" s="20"/>
      <c r="C790" s="21"/>
      <c r="D790" s="21"/>
      <c r="E790" s="21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 spans="1:18" ht="15.75" customHeight="1" x14ac:dyDescent="0.35">
      <c r="A791" s="3"/>
      <c r="B791" s="20"/>
      <c r="C791" s="21"/>
      <c r="D791" s="21"/>
      <c r="E791" s="21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 spans="1:18" ht="15.75" customHeight="1" x14ac:dyDescent="0.35">
      <c r="A792" s="3"/>
      <c r="B792" s="20"/>
      <c r="C792" s="21"/>
      <c r="D792" s="21"/>
      <c r="E792" s="21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 spans="1:18" ht="15.75" customHeight="1" x14ac:dyDescent="0.35">
      <c r="A793" s="3"/>
      <c r="B793" s="20"/>
      <c r="C793" s="21"/>
      <c r="D793" s="21"/>
      <c r="E793" s="21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 spans="1:18" ht="15.75" customHeight="1" x14ac:dyDescent="0.35">
      <c r="A794" s="3"/>
      <c r="B794" s="20"/>
      <c r="C794" s="21"/>
      <c r="D794" s="21"/>
      <c r="E794" s="21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 spans="1:18" ht="15.75" customHeight="1" x14ac:dyDescent="0.35">
      <c r="A795" s="3"/>
      <c r="B795" s="20"/>
      <c r="C795" s="21"/>
      <c r="D795" s="21"/>
      <c r="E795" s="21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 spans="1:18" ht="15.75" customHeight="1" x14ac:dyDescent="0.35">
      <c r="A796" s="3"/>
      <c r="B796" s="20"/>
      <c r="C796" s="21"/>
      <c r="D796" s="21"/>
      <c r="E796" s="21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 spans="1:18" ht="15.75" customHeight="1" x14ac:dyDescent="0.35">
      <c r="A797" s="3"/>
      <c r="B797" s="20"/>
      <c r="C797" s="21"/>
      <c r="D797" s="21"/>
      <c r="E797" s="21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 spans="1:18" ht="15.75" customHeight="1" x14ac:dyDescent="0.35">
      <c r="A798" s="3"/>
      <c r="B798" s="20"/>
      <c r="C798" s="21"/>
      <c r="D798" s="21"/>
      <c r="E798" s="21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 spans="1:18" ht="15.75" customHeight="1" x14ac:dyDescent="0.35">
      <c r="A799" s="3"/>
      <c r="B799" s="20"/>
      <c r="C799" s="21"/>
      <c r="D799" s="21"/>
      <c r="E799" s="21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 spans="1:18" ht="15.75" customHeight="1" x14ac:dyDescent="0.35">
      <c r="A800" s="3"/>
      <c r="B800" s="20"/>
      <c r="C800" s="21"/>
      <c r="D800" s="21"/>
      <c r="E800" s="21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spans="1:18" ht="15.75" customHeight="1" x14ac:dyDescent="0.35">
      <c r="A801" s="3"/>
      <c r="B801" s="20"/>
      <c r="C801" s="21"/>
      <c r="D801" s="21"/>
      <c r="E801" s="21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 spans="1:18" ht="15.75" customHeight="1" x14ac:dyDescent="0.35">
      <c r="A802" s="3"/>
      <c r="B802" s="20"/>
      <c r="C802" s="21"/>
      <c r="D802" s="21"/>
      <c r="E802" s="21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 spans="1:18" ht="15.75" customHeight="1" x14ac:dyDescent="0.35">
      <c r="A803" s="3"/>
      <c r="B803" s="20"/>
      <c r="C803" s="21"/>
      <c r="D803" s="21"/>
      <c r="E803" s="21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 spans="1:18" ht="15.75" customHeight="1" x14ac:dyDescent="0.35">
      <c r="A804" s="3"/>
      <c r="B804" s="20"/>
      <c r="C804" s="21"/>
      <c r="D804" s="21"/>
      <c r="E804" s="21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 spans="1:18" ht="15.75" customHeight="1" x14ac:dyDescent="0.35">
      <c r="A805" s="3"/>
      <c r="B805" s="20"/>
      <c r="C805" s="21"/>
      <c r="D805" s="21"/>
      <c r="E805" s="21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 spans="1:18" ht="15.75" customHeight="1" x14ac:dyDescent="0.35">
      <c r="A806" s="3"/>
      <c r="B806" s="20"/>
      <c r="C806" s="21"/>
      <c r="D806" s="21"/>
      <c r="E806" s="21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 spans="1:18" ht="15.75" customHeight="1" x14ac:dyDescent="0.35">
      <c r="A807" s="3"/>
      <c r="B807" s="20"/>
      <c r="C807" s="21"/>
      <c r="D807" s="21"/>
      <c r="E807" s="21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 spans="1:18" ht="15.75" customHeight="1" x14ac:dyDescent="0.35">
      <c r="A808" s="3"/>
      <c r="B808" s="20"/>
      <c r="C808" s="21"/>
      <c r="D808" s="21"/>
      <c r="E808" s="21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 spans="1:18" ht="15.75" customHeight="1" x14ac:dyDescent="0.35">
      <c r="A809" s="3"/>
      <c r="B809" s="20"/>
      <c r="C809" s="21"/>
      <c r="D809" s="21"/>
      <c r="E809" s="21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 spans="1:18" ht="15.75" customHeight="1" x14ac:dyDescent="0.35">
      <c r="A810" s="3"/>
      <c r="B810" s="20"/>
      <c r="C810" s="21"/>
      <c r="D810" s="21"/>
      <c r="E810" s="21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 spans="1:18" ht="15.75" customHeight="1" x14ac:dyDescent="0.35">
      <c r="A811" s="3"/>
      <c r="B811" s="20"/>
      <c r="C811" s="21"/>
      <c r="D811" s="21"/>
      <c r="E811" s="21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spans="1:18" ht="15.75" customHeight="1" x14ac:dyDescent="0.35">
      <c r="A812" s="3"/>
      <c r="B812" s="20"/>
      <c r="C812" s="21"/>
      <c r="D812" s="21"/>
      <c r="E812" s="21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 spans="1:18" ht="15.75" customHeight="1" x14ac:dyDescent="0.35">
      <c r="A813" s="3"/>
      <c r="B813" s="20"/>
      <c r="C813" s="21"/>
      <c r="D813" s="21"/>
      <c r="E813" s="21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 spans="1:18" ht="15.75" customHeight="1" x14ac:dyDescent="0.35">
      <c r="A814" s="3"/>
      <c r="B814" s="20"/>
      <c r="C814" s="21"/>
      <c r="D814" s="21"/>
      <c r="E814" s="21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 spans="1:18" ht="15.75" customHeight="1" x14ac:dyDescent="0.35">
      <c r="A815" s="3"/>
      <c r="B815" s="20"/>
      <c r="C815" s="21"/>
      <c r="D815" s="21"/>
      <c r="E815" s="21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spans="1:18" ht="15.75" customHeight="1" x14ac:dyDescent="0.35">
      <c r="A816" s="3"/>
      <c r="B816" s="20"/>
      <c r="C816" s="21"/>
      <c r="D816" s="21"/>
      <c r="E816" s="21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spans="1:18" ht="15.75" customHeight="1" x14ac:dyDescent="0.35">
      <c r="A817" s="3"/>
      <c r="B817" s="20"/>
      <c r="C817" s="21"/>
      <c r="D817" s="21"/>
      <c r="E817" s="21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 spans="1:18" ht="15.75" customHeight="1" x14ac:dyDescent="0.35">
      <c r="A818" s="3"/>
      <c r="B818" s="20"/>
      <c r="C818" s="21"/>
      <c r="D818" s="21"/>
      <c r="E818" s="21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 spans="1:18" ht="15.75" customHeight="1" x14ac:dyDescent="0.35">
      <c r="A819" s="3"/>
      <c r="B819" s="20"/>
      <c r="C819" s="21"/>
      <c r="D819" s="21"/>
      <c r="E819" s="21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 spans="1:18" ht="15.75" customHeight="1" x14ac:dyDescent="0.35">
      <c r="A820" s="3"/>
      <c r="B820" s="20"/>
      <c r="C820" s="21"/>
      <c r="D820" s="21"/>
      <c r="E820" s="21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 spans="1:18" ht="15.75" customHeight="1" x14ac:dyDescent="0.35">
      <c r="A821" s="3"/>
      <c r="B821" s="20"/>
      <c r="C821" s="21"/>
      <c r="D821" s="21"/>
      <c r="E821" s="21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 spans="1:18" ht="15.75" customHeight="1" x14ac:dyDescent="0.35">
      <c r="A822" s="3"/>
      <c r="B822" s="20"/>
      <c r="C822" s="21"/>
      <c r="D822" s="21"/>
      <c r="E822" s="21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spans="1:18" ht="15.75" customHeight="1" x14ac:dyDescent="0.35">
      <c r="A823" s="3"/>
      <c r="B823" s="20"/>
      <c r="C823" s="21"/>
      <c r="D823" s="21"/>
      <c r="E823" s="21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 spans="1:18" ht="15.75" customHeight="1" x14ac:dyDescent="0.35">
      <c r="A824" s="3"/>
      <c r="B824" s="20"/>
      <c r="C824" s="21"/>
      <c r="D824" s="21"/>
      <c r="E824" s="21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 spans="1:18" ht="15.75" customHeight="1" x14ac:dyDescent="0.35">
      <c r="A825" s="3"/>
      <c r="B825" s="20"/>
      <c r="C825" s="21"/>
      <c r="D825" s="21"/>
      <c r="E825" s="21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 spans="1:18" ht="15.75" customHeight="1" x14ac:dyDescent="0.35">
      <c r="A826" s="3"/>
      <c r="B826" s="20"/>
      <c r="C826" s="21"/>
      <c r="D826" s="21"/>
      <c r="E826" s="21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 spans="1:18" ht="15.75" customHeight="1" x14ac:dyDescent="0.35">
      <c r="A827" s="3"/>
      <c r="B827" s="20"/>
      <c r="C827" s="21"/>
      <c r="D827" s="21"/>
      <c r="E827" s="21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 spans="1:18" ht="15.75" customHeight="1" x14ac:dyDescent="0.35">
      <c r="A828" s="3"/>
      <c r="B828" s="20"/>
      <c r="C828" s="21"/>
      <c r="D828" s="21"/>
      <c r="E828" s="21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spans="1:18" ht="15.75" customHeight="1" x14ac:dyDescent="0.35">
      <c r="A829" s="3"/>
      <c r="B829" s="20"/>
      <c r="C829" s="21"/>
      <c r="D829" s="21"/>
      <c r="E829" s="21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 spans="1:18" ht="15.75" customHeight="1" x14ac:dyDescent="0.35">
      <c r="A830" s="3"/>
      <c r="B830" s="20"/>
      <c r="C830" s="21"/>
      <c r="D830" s="21"/>
      <c r="E830" s="21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 spans="1:18" ht="15.75" customHeight="1" x14ac:dyDescent="0.35">
      <c r="A831" s="3"/>
      <c r="B831" s="20"/>
      <c r="C831" s="21"/>
      <c r="D831" s="21"/>
      <c r="E831" s="21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 spans="1:18" ht="15.75" customHeight="1" x14ac:dyDescent="0.35">
      <c r="A832" s="3"/>
      <c r="B832" s="20"/>
      <c r="C832" s="21"/>
      <c r="D832" s="21"/>
      <c r="E832" s="21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 spans="1:18" ht="15.75" customHeight="1" x14ac:dyDescent="0.35">
      <c r="A833" s="3"/>
      <c r="B833" s="20"/>
      <c r="C833" s="21"/>
      <c r="D833" s="21"/>
      <c r="E833" s="21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 spans="1:18" ht="15.75" customHeight="1" x14ac:dyDescent="0.35">
      <c r="A834" s="3"/>
      <c r="B834" s="20"/>
      <c r="C834" s="21"/>
      <c r="D834" s="21"/>
      <c r="E834" s="21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 spans="1:18" ht="15.75" customHeight="1" x14ac:dyDescent="0.35">
      <c r="A835" s="3"/>
      <c r="B835" s="20"/>
      <c r="C835" s="21"/>
      <c r="D835" s="21"/>
      <c r="E835" s="21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 spans="1:18" ht="15.75" customHeight="1" x14ac:dyDescent="0.35">
      <c r="A836" s="3"/>
      <c r="B836" s="20"/>
      <c r="C836" s="21"/>
      <c r="D836" s="21"/>
      <c r="E836" s="21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 spans="1:18" ht="15.75" customHeight="1" x14ac:dyDescent="0.35">
      <c r="A837" s="3"/>
      <c r="B837" s="20"/>
      <c r="C837" s="21"/>
      <c r="D837" s="21"/>
      <c r="E837" s="21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 spans="1:18" ht="15.75" customHeight="1" x14ac:dyDescent="0.35">
      <c r="A838" s="3"/>
      <c r="B838" s="20"/>
      <c r="C838" s="21"/>
      <c r="D838" s="21"/>
      <c r="E838" s="21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 spans="1:18" ht="15.75" customHeight="1" x14ac:dyDescent="0.35">
      <c r="A839" s="3"/>
      <c r="B839" s="20"/>
      <c r="C839" s="21"/>
      <c r="D839" s="21"/>
      <c r="E839" s="21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 spans="1:18" ht="15.75" customHeight="1" x14ac:dyDescent="0.35">
      <c r="A840" s="3"/>
      <c r="B840" s="20"/>
      <c r="C840" s="21"/>
      <c r="D840" s="21"/>
      <c r="E840" s="21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 spans="1:18" ht="15.75" customHeight="1" x14ac:dyDescent="0.35">
      <c r="A841" s="3"/>
      <c r="B841" s="20"/>
      <c r="C841" s="21"/>
      <c r="D841" s="21"/>
      <c r="E841" s="21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 spans="1:18" ht="15.75" customHeight="1" x14ac:dyDescent="0.35">
      <c r="A842" s="3"/>
      <c r="B842" s="20"/>
      <c r="C842" s="21"/>
      <c r="D842" s="21"/>
      <c r="E842" s="21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 spans="1:18" ht="15.75" customHeight="1" x14ac:dyDescent="0.35">
      <c r="A843" s="3"/>
      <c r="B843" s="20"/>
      <c r="C843" s="21"/>
      <c r="D843" s="21"/>
      <c r="E843" s="21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 spans="1:18" ht="15.75" customHeight="1" x14ac:dyDescent="0.35">
      <c r="A844" s="3"/>
      <c r="B844" s="20"/>
      <c r="C844" s="21"/>
      <c r="D844" s="21"/>
      <c r="E844" s="21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spans="1:18" ht="15.75" customHeight="1" x14ac:dyDescent="0.35">
      <c r="A845" s="3"/>
      <c r="B845" s="20"/>
      <c r="C845" s="21"/>
      <c r="D845" s="21"/>
      <c r="E845" s="21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 spans="1:18" ht="15.75" customHeight="1" x14ac:dyDescent="0.35">
      <c r="A846" s="3"/>
      <c r="B846" s="20"/>
      <c r="C846" s="21"/>
      <c r="D846" s="21"/>
      <c r="E846" s="21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 spans="1:18" ht="15.75" customHeight="1" x14ac:dyDescent="0.35">
      <c r="A847" s="3"/>
      <c r="B847" s="20"/>
      <c r="C847" s="21"/>
      <c r="D847" s="21"/>
      <c r="E847" s="21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 spans="1:18" ht="15.75" customHeight="1" x14ac:dyDescent="0.35">
      <c r="A848" s="3"/>
      <c r="B848" s="20"/>
      <c r="C848" s="21"/>
      <c r="D848" s="21"/>
      <c r="E848" s="21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spans="1:18" ht="15.75" customHeight="1" x14ac:dyDescent="0.35">
      <c r="A849" s="3"/>
      <c r="B849" s="20"/>
      <c r="C849" s="21"/>
      <c r="D849" s="21"/>
      <c r="E849" s="21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spans="1:18" ht="15.75" customHeight="1" x14ac:dyDescent="0.35">
      <c r="A850" s="3"/>
      <c r="B850" s="20"/>
      <c r="C850" s="21"/>
      <c r="D850" s="21"/>
      <c r="E850" s="21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 spans="1:18" ht="15.75" customHeight="1" x14ac:dyDescent="0.35">
      <c r="A851" s="3"/>
      <c r="B851" s="20"/>
      <c r="C851" s="21"/>
      <c r="D851" s="21"/>
      <c r="E851" s="21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 spans="1:18" ht="15.75" customHeight="1" x14ac:dyDescent="0.35">
      <c r="A852" s="3"/>
      <c r="B852" s="20"/>
      <c r="C852" s="21"/>
      <c r="D852" s="21"/>
      <c r="E852" s="21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 spans="1:18" ht="15.75" customHeight="1" x14ac:dyDescent="0.35">
      <c r="A853" s="3"/>
      <c r="B853" s="20"/>
      <c r="C853" s="21"/>
      <c r="D853" s="21"/>
      <c r="E853" s="21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 spans="1:18" ht="15.75" customHeight="1" x14ac:dyDescent="0.35">
      <c r="A854" s="3"/>
      <c r="B854" s="20"/>
      <c r="C854" s="21"/>
      <c r="D854" s="21"/>
      <c r="E854" s="21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 spans="1:18" ht="15.75" customHeight="1" x14ac:dyDescent="0.35">
      <c r="A855" s="3"/>
      <c r="B855" s="20"/>
      <c r="C855" s="21"/>
      <c r="D855" s="21"/>
      <c r="E855" s="21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 spans="1:18" ht="15.75" customHeight="1" x14ac:dyDescent="0.35">
      <c r="A856" s="3"/>
      <c r="B856" s="20"/>
      <c r="C856" s="21"/>
      <c r="D856" s="21"/>
      <c r="E856" s="21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 spans="1:18" ht="15.75" customHeight="1" x14ac:dyDescent="0.35">
      <c r="A857" s="3"/>
      <c r="B857" s="20"/>
      <c r="C857" s="21"/>
      <c r="D857" s="21"/>
      <c r="E857" s="21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 spans="1:18" ht="15.75" customHeight="1" x14ac:dyDescent="0.35">
      <c r="A858" s="3"/>
      <c r="B858" s="20"/>
      <c r="C858" s="21"/>
      <c r="D858" s="21"/>
      <c r="E858" s="21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 spans="1:18" ht="15.75" customHeight="1" x14ac:dyDescent="0.35">
      <c r="A859" s="3"/>
      <c r="B859" s="20"/>
      <c r="C859" s="21"/>
      <c r="D859" s="21"/>
      <c r="E859" s="21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 spans="1:18" ht="15.75" customHeight="1" x14ac:dyDescent="0.35">
      <c r="A860" s="3"/>
      <c r="B860" s="20"/>
      <c r="C860" s="21"/>
      <c r="D860" s="21"/>
      <c r="E860" s="21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 spans="1:18" ht="15.75" customHeight="1" x14ac:dyDescent="0.35">
      <c r="A861" s="3"/>
      <c r="B861" s="20"/>
      <c r="C861" s="21"/>
      <c r="D861" s="21"/>
      <c r="E861" s="21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 spans="1:18" ht="15.75" customHeight="1" x14ac:dyDescent="0.35">
      <c r="A862" s="3"/>
      <c r="B862" s="20"/>
      <c r="C862" s="21"/>
      <c r="D862" s="21"/>
      <c r="E862" s="21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 spans="1:18" ht="15.75" customHeight="1" x14ac:dyDescent="0.35">
      <c r="A863" s="3"/>
      <c r="B863" s="20"/>
      <c r="C863" s="21"/>
      <c r="D863" s="21"/>
      <c r="E863" s="21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 spans="1:18" ht="15.75" customHeight="1" x14ac:dyDescent="0.35">
      <c r="A864" s="3"/>
      <c r="B864" s="20"/>
      <c r="C864" s="21"/>
      <c r="D864" s="21"/>
      <c r="E864" s="21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 spans="1:18" ht="15.75" customHeight="1" x14ac:dyDescent="0.35">
      <c r="A865" s="3"/>
      <c r="B865" s="20"/>
      <c r="C865" s="21"/>
      <c r="D865" s="21"/>
      <c r="E865" s="21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 spans="1:18" ht="15.75" customHeight="1" x14ac:dyDescent="0.35">
      <c r="A866" s="3"/>
      <c r="B866" s="20"/>
      <c r="C866" s="21"/>
      <c r="D866" s="21"/>
      <c r="E866" s="21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 spans="1:18" ht="15.75" customHeight="1" x14ac:dyDescent="0.35">
      <c r="A867" s="3"/>
      <c r="B867" s="20"/>
      <c r="C867" s="21"/>
      <c r="D867" s="21"/>
      <c r="E867" s="21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 spans="1:18" ht="15.75" customHeight="1" x14ac:dyDescent="0.35">
      <c r="A868" s="3"/>
      <c r="B868" s="20"/>
      <c r="C868" s="21"/>
      <c r="D868" s="21"/>
      <c r="E868" s="21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 spans="1:18" ht="15.75" customHeight="1" x14ac:dyDescent="0.35">
      <c r="A869" s="3"/>
      <c r="B869" s="20"/>
      <c r="C869" s="21"/>
      <c r="D869" s="21"/>
      <c r="E869" s="21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 spans="1:18" ht="15.75" customHeight="1" x14ac:dyDescent="0.35">
      <c r="A870" s="3"/>
      <c r="B870" s="20"/>
      <c r="C870" s="21"/>
      <c r="D870" s="21"/>
      <c r="E870" s="21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 spans="1:18" ht="15.75" customHeight="1" x14ac:dyDescent="0.35">
      <c r="A871" s="3"/>
      <c r="B871" s="20"/>
      <c r="C871" s="21"/>
      <c r="D871" s="21"/>
      <c r="E871" s="21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 spans="1:18" ht="15.75" customHeight="1" x14ac:dyDescent="0.35">
      <c r="A872" s="3"/>
      <c r="B872" s="20"/>
      <c r="C872" s="21"/>
      <c r="D872" s="21"/>
      <c r="E872" s="21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 spans="1:18" ht="15.75" customHeight="1" x14ac:dyDescent="0.35">
      <c r="A873" s="3"/>
      <c r="B873" s="20"/>
      <c r="C873" s="21"/>
      <c r="D873" s="21"/>
      <c r="E873" s="21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 spans="1:18" ht="15.75" customHeight="1" x14ac:dyDescent="0.35">
      <c r="A874" s="3"/>
      <c r="B874" s="20"/>
      <c r="C874" s="21"/>
      <c r="D874" s="21"/>
      <c r="E874" s="21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 spans="1:18" ht="15.75" customHeight="1" x14ac:dyDescent="0.35">
      <c r="A875" s="3"/>
      <c r="B875" s="20"/>
      <c r="C875" s="21"/>
      <c r="D875" s="21"/>
      <c r="E875" s="21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 spans="1:18" ht="15.75" customHeight="1" x14ac:dyDescent="0.35">
      <c r="A876" s="3"/>
      <c r="B876" s="20"/>
      <c r="C876" s="21"/>
      <c r="D876" s="21"/>
      <c r="E876" s="21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spans="1:18" ht="15.75" customHeight="1" x14ac:dyDescent="0.35">
      <c r="A877" s="3"/>
      <c r="B877" s="20"/>
      <c r="C877" s="21"/>
      <c r="D877" s="21"/>
      <c r="E877" s="21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 spans="1:18" ht="15.75" customHeight="1" x14ac:dyDescent="0.35">
      <c r="A878" s="3"/>
      <c r="B878" s="20"/>
      <c r="C878" s="21"/>
      <c r="D878" s="21"/>
      <c r="E878" s="21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 spans="1:18" ht="15.75" customHeight="1" x14ac:dyDescent="0.35">
      <c r="A879" s="3"/>
      <c r="B879" s="20"/>
      <c r="C879" s="21"/>
      <c r="D879" s="21"/>
      <c r="E879" s="21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 spans="1:18" ht="15.75" customHeight="1" x14ac:dyDescent="0.35">
      <c r="A880" s="3"/>
      <c r="B880" s="20"/>
      <c r="C880" s="21"/>
      <c r="D880" s="21"/>
      <c r="E880" s="21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 spans="1:18" ht="15.75" customHeight="1" x14ac:dyDescent="0.35">
      <c r="A881" s="3"/>
      <c r="B881" s="20"/>
      <c r="C881" s="21"/>
      <c r="D881" s="21"/>
      <c r="E881" s="21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 spans="1:18" ht="15.75" customHeight="1" x14ac:dyDescent="0.35">
      <c r="A882" s="3"/>
      <c r="B882" s="20"/>
      <c r="C882" s="21"/>
      <c r="D882" s="21"/>
      <c r="E882" s="21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 spans="1:18" ht="15.75" customHeight="1" x14ac:dyDescent="0.35">
      <c r="A883" s="3"/>
      <c r="B883" s="20"/>
      <c r="C883" s="21"/>
      <c r="D883" s="21"/>
      <c r="E883" s="21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 spans="1:18" ht="15.75" customHeight="1" x14ac:dyDescent="0.35">
      <c r="A884" s="3"/>
      <c r="B884" s="20"/>
      <c r="C884" s="21"/>
      <c r="D884" s="21"/>
      <c r="E884" s="21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 spans="1:18" ht="15.75" customHeight="1" x14ac:dyDescent="0.35">
      <c r="A885" s="3"/>
      <c r="B885" s="20"/>
      <c r="C885" s="21"/>
      <c r="D885" s="21"/>
      <c r="E885" s="21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 spans="1:18" ht="15.75" customHeight="1" x14ac:dyDescent="0.35">
      <c r="A886" s="3"/>
      <c r="B886" s="20"/>
      <c r="C886" s="21"/>
      <c r="D886" s="21"/>
      <c r="E886" s="21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 spans="1:18" ht="15.75" customHeight="1" x14ac:dyDescent="0.35">
      <c r="A887" s="3"/>
      <c r="B887" s="20"/>
      <c r="C887" s="21"/>
      <c r="D887" s="21"/>
      <c r="E887" s="21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 spans="1:18" ht="15.75" customHeight="1" x14ac:dyDescent="0.35">
      <c r="A888" s="3"/>
      <c r="B888" s="20"/>
      <c r="C888" s="21"/>
      <c r="D888" s="21"/>
      <c r="E888" s="21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 spans="1:18" ht="15.75" customHeight="1" x14ac:dyDescent="0.35">
      <c r="A889" s="3"/>
      <c r="B889" s="20"/>
      <c r="C889" s="21"/>
      <c r="D889" s="21"/>
      <c r="E889" s="21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 spans="1:18" ht="15.75" customHeight="1" x14ac:dyDescent="0.35">
      <c r="A890" s="3"/>
      <c r="B890" s="20"/>
      <c r="C890" s="21"/>
      <c r="D890" s="21"/>
      <c r="E890" s="21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 spans="1:18" ht="15.75" customHeight="1" x14ac:dyDescent="0.35">
      <c r="A891" s="3"/>
      <c r="B891" s="20"/>
      <c r="C891" s="21"/>
      <c r="D891" s="21"/>
      <c r="E891" s="21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 spans="1:18" ht="15.75" customHeight="1" x14ac:dyDescent="0.35">
      <c r="A892" s="3"/>
      <c r="B892" s="20"/>
      <c r="C892" s="21"/>
      <c r="D892" s="21"/>
      <c r="E892" s="21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spans="1:18" ht="15.75" customHeight="1" x14ac:dyDescent="0.35">
      <c r="A893" s="3"/>
      <c r="B893" s="20"/>
      <c r="C893" s="21"/>
      <c r="D893" s="21"/>
      <c r="E893" s="21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 spans="1:18" ht="15.75" customHeight="1" x14ac:dyDescent="0.35">
      <c r="A894" s="3"/>
      <c r="B894" s="20"/>
      <c r="C894" s="21"/>
      <c r="D894" s="21"/>
      <c r="E894" s="21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 spans="1:18" ht="15.75" customHeight="1" x14ac:dyDescent="0.35">
      <c r="A895" s="3"/>
      <c r="B895" s="20"/>
      <c r="C895" s="21"/>
      <c r="D895" s="21"/>
      <c r="E895" s="21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 spans="1:18" ht="15.75" customHeight="1" x14ac:dyDescent="0.35">
      <c r="A896" s="3"/>
      <c r="B896" s="20"/>
      <c r="C896" s="21"/>
      <c r="D896" s="21"/>
      <c r="E896" s="21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spans="1:18" ht="15.75" customHeight="1" x14ac:dyDescent="0.35">
      <c r="A897" s="3"/>
      <c r="B897" s="20"/>
      <c r="C897" s="21"/>
      <c r="D897" s="21"/>
      <c r="E897" s="21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 spans="1:18" ht="15.75" customHeight="1" x14ac:dyDescent="0.35">
      <c r="A898" s="3"/>
      <c r="B898" s="20"/>
      <c r="C898" s="21"/>
      <c r="D898" s="21"/>
      <c r="E898" s="21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 spans="1:18" ht="15.75" customHeight="1" x14ac:dyDescent="0.35">
      <c r="A899" s="3"/>
      <c r="B899" s="20"/>
      <c r="C899" s="21"/>
      <c r="D899" s="21"/>
      <c r="E899" s="21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 spans="1:18" ht="15.75" customHeight="1" x14ac:dyDescent="0.35">
      <c r="A900" s="3"/>
      <c r="B900" s="20"/>
      <c r="C900" s="21"/>
      <c r="D900" s="21"/>
      <c r="E900" s="21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 spans="1:18" ht="15.75" customHeight="1" x14ac:dyDescent="0.35">
      <c r="A901" s="3"/>
      <c r="B901" s="20"/>
      <c r="C901" s="21"/>
      <c r="D901" s="21"/>
      <c r="E901" s="21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 spans="1:18" ht="15.75" customHeight="1" x14ac:dyDescent="0.35">
      <c r="A902" s="3"/>
      <c r="B902" s="20"/>
      <c r="C902" s="21"/>
      <c r="D902" s="21"/>
      <c r="E902" s="21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 spans="1:18" ht="15.75" customHeight="1" x14ac:dyDescent="0.35">
      <c r="A903" s="3"/>
      <c r="B903" s="20"/>
      <c r="C903" s="21"/>
      <c r="D903" s="21"/>
      <c r="E903" s="21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 spans="1:18" ht="15.75" customHeight="1" x14ac:dyDescent="0.35">
      <c r="A904" s="3"/>
      <c r="B904" s="20"/>
      <c r="C904" s="21"/>
      <c r="D904" s="21"/>
      <c r="E904" s="21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 spans="1:18" ht="15.75" customHeight="1" x14ac:dyDescent="0.35">
      <c r="A905" s="3"/>
      <c r="B905" s="20"/>
      <c r="C905" s="21"/>
      <c r="D905" s="21"/>
      <c r="E905" s="21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spans="1:18" ht="15.75" customHeight="1" x14ac:dyDescent="0.35">
      <c r="A906" s="3"/>
      <c r="B906" s="20"/>
      <c r="C906" s="21"/>
      <c r="D906" s="21"/>
      <c r="E906" s="21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 spans="1:18" ht="15.75" customHeight="1" x14ac:dyDescent="0.35">
      <c r="A907" s="3"/>
      <c r="B907" s="20"/>
      <c r="C907" s="21"/>
      <c r="D907" s="21"/>
      <c r="E907" s="21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 spans="1:18" ht="15.75" customHeight="1" x14ac:dyDescent="0.35">
      <c r="A908" s="3"/>
      <c r="B908" s="20"/>
      <c r="C908" s="21"/>
      <c r="D908" s="21"/>
      <c r="E908" s="21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 spans="1:18" ht="15.75" customHeight="1" x14ac:dyDescent="0.35">
      <c r="A909" s="3"/>
      <c r="B909" s="20"/>
      <c r="C909" s="21"/>
      <c r="D909" s="21"/>
      <c r="E909" s="21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 spans="1:18" ht="15.75" customHeight="1" x14ac:dyDescent="0.35">
      <c r="A910" s="3"/>
      <c r="B910" s="20"/>
      <c r="C910" s="21"/>
      <c r="D910" s="21"/>
      <c r="E910" s="21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 spans="1:18" ht="15.75" customHeight="1" x14ac:dyDescent="0.35">
      <c r="A911" s="3"/>
      <c r="B911" s="20"/>
      <c r="C911" s="21"/>
      <c r="D911" s="21"/>
      <c r="E911" s="21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 spans="1:18" ht="15.75" customHeight="1" x14ac:dyDescent="0.35">
      <c r="A912" s="3"/>
      <c r="B912" s="20"/>
      <c r="C912" s="21"/>
      <c r="D912" s="21"/>
      <c r="E912" s="21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 spans="1:18" ht="15.75" customHeight="1" x14ac:dyDescent="0.35">
      <c r="A913" s="3"/>
      <c r="B913" s="20"/>
      <c r="C913" s="21"/>
      <c r="D913" s="21"/>
      <c r="E913" s="21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 spans="1:18" ht="15.75" customHeight="1" x14ac:dyDescent="0.35">
      <c r="A914" s="3"/>
      <c r="B914" s="20"/>
      <c r="C914" s="21"/>
      <c r="D914" s="21"/>
      <c r="E914" s="21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 spans="1:18" ht="15.75" customHeight="1" x14ac:dyDescent="0.35">
      <c r="A915" s="3"/>
      <c r="B915" s="20"/>
      <c r="C915" s="21"/>
      <c r="D915" s="21"/>
      <c r="E915" s="21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 spans="1:18" ht="15.75" customHeight="1" x14ac:dyDescent="0.35">
      <c r="A916" s="3"/>
      <c r="B916" s="20"/>
      <c r="C916" s="21"/>
      <c r="D916" s="21"/>
      <c r="E916" s="21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 spans="1:18" ht="15.75" customHeight="1" x14ac:dyDescent="0.35">
      <c r="A917" s="3"/>
      <c r="B917" s="20"/>
      <c r="C917" s="21"/>
      <c r="D917" s="21"/>
      <c r="E917" s="21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 spans="1:18" ht="15.75" customHeight="1" x14ac:dyDescent="0.35">
      <c r="A918" s="3"/>
      <c r="B918" s="20"/>
      <c r="C918" s="21"/>
      <c r="D918" s="21"/>
      <c r="E918" s="21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 spans="1:18" ht="15.75" customHeight="1" x14ac:dyDescent="0.35">
      <c r="A919" s="3"/>
      <c r="B919" s="20"/>
      <c r="C919" s="21"/>
      <c r="D919" s="21"/>
      <c r="E919" s="21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 spans="1:18" ht="15.75" customHeight="1" x14ac:dyDescent="0.35">
      <c r="A920" s="3"/>
      <c r="B920" s="20"/>
      <c r="C920" s="21"/>
      <c r="D920" s="21"/>
      <c r="E920" s="21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 spans="1:18" ht="15.75" customHeight="1" x14ac:dyDescent="0.35">
      <c r="A921" s="3"/>
      <c r="B921" s="20"/>
      <c r="C921" s="21"/>
      <c r="D921" s="21"/>
      <c r="E921" s="21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 spans="1:18" ht="15.75" customHeight="1" x14ac:dyDescent="0.35">
      <c r="A922" s="3"/>
      <c r="B922" s="20"/>
      <c r="C922" s="21"/>
      <c r="D922" s="21"/>
      <c r="E922" s="21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 spans="1:18" ht="15.75" customHeight="1" x14ac:dyDescent="0.35">
      <c r="A923" s="3"/>
      <c r="B923" s="20"/>
      <c r="C923" s="21"/>
      <c r="D923" s="21"/>
      <c r="E923" s="21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spans="1:18" ht="15.75" customHeight="1" x14ac:dyDescent="0.35">
      <c r="A924" s="3"/>
      <c r="B924" s="20"/>
      <c r="C924" s="21"/>
      <c r="D924" s="21"/>
      <c r="E924" s="21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 spans="1:18" ht="15.75" customHeight="1" x14ac:dyDescent="0.35">
      <c r="A925" s="3"/>
      <c r="B925" s="20"/>
      <c r="C925" s="21"/>
      <c r="D925" s="21"/>
      <c r="E925" s="21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 spans="1:18" ht="15.75" customHeight="1" x14ac:dyDescent="0.35">
      <c r="A926" s="3"/>
      <c r="B926" s="20"/>
      <c r="C926" s="21"/>
      <c r="D926" s="21"/>
      <c r="E926" s="21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 spans="1:18" ht="15.75" customHeight="1" x14ac:dyDescent="0.35">
      <c r="A927" s="3"/>
      <c r="B927" s="20"/>
      <c r="C927" s="21"/>
      <c r="D927" s="21"/>
      <c r="E927" s="21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 spans="1:18" ht="15.75" customHeight="1" x14ac:dyDescent="0.35">
      <c r="A928" s="3"/>
      <c r="B928" s="20"/>
      <c r="C928" s="21"/>
      <c r="D928" s="21"/>
      <c r="E928" s="21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 spans="1:18" ht="15.75" customHeight="1" x14ac:dyDescent="0.35">
      <c r="A929" s="3"/>
      <c r="B929" s="20"/>
      <c r="C929" s="21"/>
      <c r="D929" s="21"/>
      <c r="E929" s="21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 spans="1:18" ht="15.75" customHeight="1" x14ac:dyDescent="0.35">
      <c r="A930" s="3"/>
      <c r="B930" s="20"/>
      <c r="C930" s="21"/>
      <c r="D930" s="21"/>
      <c r="E930" s="21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 spans="1:18" ht="15.75" customHeight="1" x14ac:dyDescent="0.35">
      <c r="A931" s="3"/>
      <c r="B931" s="20"/>
      <c r="C931" s="21"/>
      <c r="D931" s="21"/>
      <c r="E931" s="21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 spans="1:18" ht="15.75" customHeight="1" x14ac:dyDescent="0.35">
      <c r="A932" s="3"/>
      <c r="B932" s="20"/>
      <c r="C932" s="21"/>
      <c r="D932" s="21"/>
      <c r="E932" s="21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 spans="1:18" ht="15.75" customHeight="1" x14ac:dyDescent="0.35">
      <c r="A933" s="3"/>
      <c r="B933" s="20"/>
      <c r="C933" s="21"/>
      <c r="D933" s="21"/>
      <c r="E933" s="21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 spans="1:18" ht="15.75" customHeight="1" x14ac:dyDescent="0.35">
      <c r="A934" s="3"/>
      <c r="B934" s="20"/>
      <c r="C934" s="21"/>
      <c r="D934" s="21"/>
      <c r="E934" s="21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 spans="1:18" ht="15.75" customHeight="1" x14ac:dyDescent="0.35">
      <c r="A935" s="3"/>
      <c r="B935" s="20"/>
      <c r="C935" s="21"/>
      <c r="D935" s="21"/>
      <c r="E935" s="21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 spans="1:18" ht="15.75" customHeight="1" x14ac:dyDescent="0.35">
      <c r="A936" s="3"/>
      <c r="B936" s="20"/>
      <c r="C936" s="21"/>
      <c r="D936" s="21"/>
      <c r="E936" s="21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 spans="1:18" ht="15.75" customHeight="1" x14ac:dyDescent="0.35">
      <c r="A937" s="3"/>
      <c r="B937" s="20"/>
      <c r="C937" s="21"/>
      <c r="D937" s="21"/>
      <c r="E937" s="21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 spans="1:18" ht="15.75" customHeight="1" x14ac:dyDescent="0.35">
      <c r="A938" s="3"/>
      <c r="B938" s="20"/>
      <c r="C938" s="21"/>
      <c r="D938" s="21"/>
      <c r="E938" s="21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 spans="1:18" ht="15.75" customHeight="1" x14ac:dyDescent="0.35">
      <c r="A939" s="3"/>
      <c r="B939" s="20"/>
      <c r="C939" s="21"/>
      <c r="D939" s="21"/>
      <c r="E939" s="21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 spans="1:18" ht="15.75" customHeight="1" x14ac:dyDescent="0.35">
      <c r="A940" s="3"/>
      <c r="B940" s="20"/>
      <c r="C940" s="21"/>
      <c r="D940" s="21"/>
      <c r="E940" s="21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 spans="1:18" ht="15.75" customHeight="1" x14ac:dyDescent="0.35">
      <c r="A941" s="3"/>
      <c r="B941" s="20"/>
      <c r="C941" s="21"/>
      <c r="D941" s="21"/>
      <c r="E941" s="21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 spans="1:18" ht="15.75" customHeight="1" x14ac:dyDescent="0.35">
      <c r="A942" s="3"/>
      <c r="B942" s="20"/>
      <c r="C942" s="21"/>
      <c r="D942" s="21"/>
      <c r="E942" s="21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 spans="1:18" ht="15.75" customHeight="1" x14ac:dyDescent="0.35">
      <c r="A943" s="3"/>
      <c r="B943" s="20"/>
      <c r="C943" s="21"/>
      <c r="D943" s="21"/>
      <c r="E943" s="21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 spans="1:18" ht="15.75" customHeight="1" x14ac:dyDescent="0.35">
      <c r="A944" s="3"/>
      <c r="B944" s="20"/>
      <c r="C944" s="21"/>
      <c r="D944" s="21"/>
      <c r="E944" s="21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 spans="1:18" ht="15.75" customHeight="1" x14ac:dyDescent="0.35">
      <c r="A945" s="3"/>
      <c r="B945" s="20"/>
      <c r="C945" s="21"/>
      <c r="D945" s="21"/>
      <c r="E945" s="21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 spans="1:18" ht="15.75" customHeight="1" x14ac:dyDescent="0.35">
      <c r="A946" s="3"/>
      <c r="B946" s="20"/>
      <c r="C946" s="21"/>
      <c r="D946" s="21"/>
      <c r="E946" s="21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 spans="1:18" ht="15.75" customHeight="1" x14ac:dyDescent="0.35">
      <c r="A947" s="3"/>
      <c r="B947" s="20"/>
      <c r="C947" s="21"/>
      <c r="D947" s="21"/>
      <c r="E947" s="21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 spans="1:18" ht="15.75" customHeight="1" x14ac:dyDescent="0.35">
      <c r="A948" s="3"/>
      <c r="B948" s="20"/>
      <c r="C948" s="21"/>
      <c r="D948" s="21"/>
      <c r="E948" s="21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 spans="1:18" ht="15.75" customHeight="1" x14ac:dyDescent="0.35">
      <c r="A949" s="3"/>
      <c r="B949" s="20"/>
      <c r="C949" s="21"/>
      <c r="D949" s="21"/>
      <c r="E949" s="21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 spans="1:18" ht="15.75" customHeight="1" x14ac:dyDescent="0.35">
      <c r="A950" s="3"/>
      <c r="B950" s="20"/>
      <c r="C950" s="21"/>
      <c r="D950" s="21"/>
      <c r="E950" s="21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 spans="1:18" ht="15.75" customHeight="1" x14ac:dyDescent="0.35">
      <c r="A951" s="3"/>
      <c r="B951" s="20"/>
      <c r="C951" s="21"/>
      <c r="D951" s="21"/>
      <c r="E951" s="21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 spans="1:18" ht="15.75" customHeight="1" x14ac:dyDescent="0.35">
      <c r="A952" s="3"/>
      <c r="B952" s="20"/>
      <c r="C952" s="21"/>
      <c r="D952" s="21"/>
      <c r="E952" s="21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 spans="1:18" ht="15.75" customHeight="1" x14ac:dyDescent="0.35">
      <c r="A953" s="3"/>
      <c r="B953" s="20"/>
      <c r="C953" s="21"/>
      <c r="D953" s="21"/>
      <c r="E953" s="21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 spans="1:18" ht="15.75" customHeight="1" x14ac:dyDescent="0.35">
      <c r="A954" s="3"/>
      <c r="B954" s="20"/>
      <c r="C954" s="21"/>
      <c r="D954" s="21"/>
      <c r="E954" s="21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 spans="1:18" ht="15.75" customHeight="1" x14ac:dyDescent="0.35">
      <c r="A955" s="3"/>
      <c r="B955" s="20"/>
      <c r="C955" s="21"/>
      <c r="D955" s="21"/>
      <c r="E955" s="21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 spans="1:18" ht="15.75" customHeight="1" x14ac:dyDescent="0.35">
      <c r="A956" s="3"/>
      <c r="B956" s="20"/>
      <c r="C956" s="21"/>
      <c r="D956" s="21"/>
      <c r="E956" s="21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 spans="1:18" ht="15.75" customHeight="1" x14ac:dyDescent="0.35">
      <c r="A957" s="3"/>
      <c r="B957" s="20"/>
      <c r="C957" s="21"/>
      <c r="D957" s="21"/>
      <c r="E957" s="21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 spans="1:18" ht="15.75" customHeight="1" x14ac:dyDescent="0.35">
      <c r="A958" s="3"/>
      <c r="B958" s="20"/>
      <c r="C958" s="21"/>
      <c r="D958" s="21"/>
      <c r="E958" s="21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 spans="1:18" ht="15.75" customHeight="1" x14ac:dyDescent="0.35">
      <c r="A959" s="3"/>
      <c r="B959" s="20"/>
      <c r="C959" s="21"/>
      <c r="D959" s="21"/>
      <c r="E959" s="21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 spans="1:18" ht="15.75" customHeight="1" x14ac:dyDescent="0.35">
      <c r="A960" s="3"/>
      <c r="B960" s="20"/>
      <c r="C960" s="21"/>
      <c r="D960" s="21"/>
      <c r="E960" s="21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 spans="1:18" ht="15.75" customHeight="1" x14ac:dyDescent="0.35">
      <c r="A961" s="3"/>
      <c r="B961" s="20"/>
      <c r="C961" s="21"/>
      <c r="D961" s="21"/>
      <c r="E961" s="21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 spans="1:18" ht="15.75" customHeight="1" x14ac:dyDescent="0.35">
      <c r="A962" s="3"/>
      <c r="B962" s="20"/>
      <c r="C962" s="21"/>
      <c r="D962" s="21"/>
      <c r="E962" s="21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 spans="1:18" ht="15.75" customHeight="1" x14ac:dyDescent="0.35">
      <c r="A963" s="3"/>
      <c r="B963" s="20"/>
      <c r="C963" s="21"/>
      <c r="D963" s="21"/>
      <c r="E963" s="21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 spans="1:18" ht="15.75" customHeight="1" x14ac:dyDescent="0.35">
      <c r="A964" s="3"/>
      <c r="B964" s="20"/>
      <c r="C964" s="21"/>
      <c r="D964" s="21"/>
      <c r="E964" s="21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 spans="1:18" ht="15.75" customHeight="1" x14ac:dyDescent="0.35">
      <c r="A965" s="3"/>
      <c r="B965" s="20"/>
      <c r="C965" s="21"/>
      <c r="D965" s="21"/>
      <c r="E965" s="21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 spans="1:18" ht="15.75" customHeight="1" x14ac:dyDescent="0.35">
      <c r="A966" s="3"/>
      <c r="B966" s="20"/>
      <c r="C966" s="21"/>
      <c r="D966" s="21"/>
      <c r="E966" s="21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 spans="1:18" ht="15.75" customHeight="1" x14ac:dyDescent="0.35">
      <c r="A967" s="3"/>
      <c r="B967" s="20"/>
      <c r="C967" s="21"/>
      <c r="D967" s="21"/>
      <c r="E967" s="21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 spans="1:18" ht="15.75" customHeight="1" x14ac:dyDescent="0.35">
      <c r="A968" s="3"/>
      <c r="B968" s="20"/>
      <c r="C968" s="21"/>
      <c r="D968" s="21"/>
      <c r="E968" s="21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 spans="1:18" ht="15.75" customHeight="1" x14ac:dyDescent="0.35">
      <c r="A969" s="3"/>
      <c r="B969" s="20"/>
      <c r="C969" s="21"/>
      <c r="D969" s="21"/>
      <c r="E969" s="21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 spans="1:18" ht="15.75" customHeight="1" x14ac:dyDescent="0.35">
      <c r="A970" s="3"/>
      <c r="B970" s="20"/>
      <c r="C970" s="21"/>
      <c r="D970" s="21"/>
      <c r="E970" s="21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 spans="1:18" ht="15.75" customHeight="1" x14ac:dyDescent="0.35">
      <c r="A971" s="3"/>
      <c r="B971" s="20"/>
      <c r="C971" s="21"/>
      <c r="D971" s="21"/>
      <c r="E971" s="21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 spans="1:18" ht="15.75" customHeight="1" x14ac:dyDescent="0.35">
      <c r="A972" s="3"/>
      <c r="B972" s="20"/>
      <c r="C972" s="21"/>
      <c r="D972" s="21"/>
      <c r="E972" s="21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 spans="1:18" ht="15.75" customHeight="1" x14ac:dyDescent="0.35">
      <c r="A973" s="3"/>
      <c r="B973" s="20"/>
      <c r="C973" s="21"/>
      <c r="D973" s="21"/>
      <c r="E973" s="21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 spans="1:18" ht="15.75" customHeight="1" x14ac:dyDescent="0.35">
      <c r="A974" s="3"/>
      <c r="B974" s="20"/>
      <c r="C974" s="21"/>
      <c r="D974" s="21"/>
      <c r="E974" s="21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 spans="1:18" ht="15.75" customHeight="1" x14ac:dyDescent="0.35">
      <c r="A975" s="3"/>
      <c r="B975" s="20"/>
      <c r="C975" s="21"/>
      <c r="D975" s="21"/>
      <c r="E975" s="21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 spans="1:18" ht="15.75" customHeight="1" x14ac:dyDescent="0.35">
      <c r="A976" s="3"/>
      <c r="B976" s="20"/>
      <c r="C976" s="21"/>
      <c r="D976" s="21"/>
      <c r="E976" s="21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 spans="1:18" ht="15.75" customHeight="1" x14ac:dyDescent="0.35">
      <c r="A977" s="3"/>
      <c r="B977" s="20"/>
      <c r="C977" s="21"/>
      <c r="D977" s="21"/>
      <c r="E977" s="21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 spans="1:18" ht="15.75" customHeight="1" x14ac:dyDescent="0.35">
      <c r="A978" s="3"/>
      <c r="B978" s="20"/>
      <c r="C978" s="21"/>
      <c r="D978" s="21"/>
      <c r="E978" s="21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 spans="1:18" ht="15.75" customHeight="1" x14ac:dyDescent="0.35">
      <c r="A979" s="3"/>
      <c r="B979" s="20"/>
      <c r="C979" s="21"/>
      <c r="D979" s="21"/>
      <c r="E979" s="21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 spans="1:18" ht="15.75" customHeight="1" x14ac:dyDescent="0.35">
      <c r="A980" s="3"/>
      <c r="B980" s="20"/>
      <c r="C980" s="21"/>
      <c r="D980" s="21"/>
      <c r="E980" s="21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 spans="1:18" ht="15.75" customHeight="1" x14ac:dyDescent="0.35">
      <c r="A981" s="3"/>
      <c r="B981" s="20"/>
      <c r="C981" s="21"/>
      <c r="D981" s="21"/>
      <c r="E981" s="21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 spans="1:18" ht="15.75" customHeight="1" x14ac:dyDescent="0.35">
      <c r="A982" s="3"/>
      <c r="B982" s="20"/>
      <c r="C982" s="21"/>
      <c r="D982" s="21"/>
      <c r="E982" s="21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 spans="1:18" ht="15.75" customHeight="1" x14ac:dyDescent="0.35">
      <c r="A983" s="3"/>
      <c r="B983" s="20"/>
      <c r="C983" s="21"/>
      <c r="D983" s="21"/>
      <c r="E983" s="21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 spans="1:18" ht="15.75" customHeight="1" x14ac:dyDescent="0.35">
      <c r="A984" s="3"/>
      <c r="B984" s="20"/>
      <c r="C984" s="21"/>
      <c r="D984" s="21"/>
      <c r="E984" s="21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 spans="1:18" ht="15.75" customHeight="1" x14ac:dyDescent="0.35">
      <c r="A985" s="3"/>
      <c r="B985" s="20"/>
      <c r="C985" s="21"/>
      <c r="D985" s="21"/>
      <c r="E985" s="21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 spans="1:18" ht="15.75" customHeight="1" x14ac:dyDescent="0.35">
      <c r="A986" s="3"/>
      <c r="B986" s="20"/>
      <c r="C986" s="21"/>
      <c r="D986" s="21"/>
      <c r="E986" s="21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 spans="1:18" ht="15.75" customHeight="1" x14ac:dyDescent="0.35">
      <c r="A987" s="3"/>
      <c r="B987" s="20"/>
      <c r="C987" s="21"/>
      <c r="D987" s="21"/>
      <c r="E987" s="21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 spans="1:18" ht="15.75" customHeight="1" x14ac:dyDescent="0.35">
      <c r="A988" s="3"/>
      <c r="B988" s="20"/>
      <c r="C988" s="21"/>
      <c r="D988" s="21"/>
      <c r="E988" s="21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 spans="1:18" ht="15.75" customHeight="1" x14ac:dyDescent="0.35">
      <c r="A989" s="3"/>
      <c r="B989" s="20"/>
      <c r="C989" s="21"/>
      <c r="D989" s="21"/>
      <c r="E989" s="21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 spans="1:18" ht="15.75" customHeight="1" x14ac:dyDescent="0.35">
      <c r="A990" s="3"/>
      <c r="B990" s="20"/>
      <c r="C990" s="21"/>
      <c r="D990" s="21"/>
      <c r="E990" s="21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 spans="1:18" ht="15.75" customHeight="1" x14ac:dyDescent="0.35">
      <c r="A991" s="3"/>
      <c r="B991" s="20"/>
      <c r="C991" s="21"/>
      <c r="D991" s="21"/>
      <c r="E991" s="21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 spans="1:18" ht="15.75" customHeight="1" x14ac:dyDescent="0.35">
      <c r="A992" s="3"/>
      <c r="B992" s="20"/>
      <c r="C992" s="21"/>
      <c r="D992" s="21"/>
      <c r="E992" s="21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 spans="1:18" ht="15.75" customHeight="1" x14ac:dyDescent="0.35">
      <c r="A993" s="3"/>
      <c r="B993" s="20"/>
      <c r="C993" s="21"/>
      <c r="D993" s="21"/>
      <c r="E993" s="21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 spans="1:18" ht="15.75" customHeight="1" x14ac:dyDescent="0.35">
      <c r="A994" s="3"/>
      <c r="B994" s="20"/>
      <c r="C994" s="21"/>
      <c r="D994" s="21"/>
      <c r="E994" s="21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 spans="1:18" ht="15.75" customHeight="1" x14ac:dyDescent="0.35">
      <c r="A995" s="3"/>
      <c r="B995" s="20"/>
      <c r="C995" s="21"/>
      <c r="D995" s="21"/>
      <c r="E995" s="21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 spans="1:18" ht="15.75" customHeight="1" x14ac:dyDescent="0.35">
      <c r="A996" s="3"/>
      <c r="B996" s="20"/>
      <c r="C996" s="21"/>
      <c r="D996" s="21"/>
      <c r="E996" s="21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 spans="1:18" ht="15.75" customHeight="1" x14ac:dyDescent="0.35">
      <c r="A997" s="3"/>
      <c r="B997" s="20"/>
      <c r="C997" s="21"/>
      <c r="D997" s="21"/>
      <c r="E997" s="21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 spans="1:18" ht="15.75" customHeight="1" x14ac:dyDescent="0.35">
      <c r="A998" s="3"/>
      <c r="B998" s="20"/>
      <c r="C998" s="21"/>
      <c r="D998" s="21"/>
      <c r="E998" s="21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 spans="1:18" ht="15.75" customHeight="1" x14ac:dyDescent="0.35">
      <c r="A999" s="3"/>
      <c r="B999" s="20"/>
      <c r="C999" s="21"/>
      <c r="D999" s="21"/>
      <c r="E999" s="21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 spans="1:18" ht="15.75" customHeight="1" x14ac:dyDescent="0.35">
      <c r="A1000" s="3"/>
      <c r="B1000" s="20"/>
      <c r="C1000" s="21"/>
      <c r="D1000" s="21"/>
      <c r="E1000" s="21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  <row r="1001" spans="1:18" ht="15.75" customHeight="1" x14ac:dyDescent="0.35">
      <c r="A1001" s="3"/>
      <c r="B1001" s="20"/>
      <c r="C1001" s="21"/>
      <c r="D1001" s="21"/>
      <c r="E1001" s="21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</row>
    <row r="1002" spans="1:18" ht="15.75" customHeight="1" x14ac:dyDescent="0.35">
      <c r="A1002" s="3"/>
      <c r="B1002" s="20"/>
      <c r="C1002" s="21"/>
      <c r="D1002" s="21"/>
      <c r="E1002" s="21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</row>
    <row r="1003" spans="1:18" ht="15.75" customHeight="1" x14ac:dyDescent="0.35">
      <c r="A1003" s="3"/>
      <c r="B1003" s="20"/>
      <c r="C1003" s="21"/>
      <c r="D1003" s="21"/>
      <c r="E1003" s="21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</row>
    <row r="1004" spans="1:18" ht="15.75" customHeight="1" x14ac:dyDescent="0.35">
      <c r="A1004" s="3"/>
      <c r="B1004" s="20"/>
      <c r="C1004" s="21"/>
      <c r="D1004" s="21"/>
      <c r="E1004" s="21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</row>
    <row r="1005" spans="1:18" ht="15.75" customHeight="1" x14ac:dyDescent="0.35">
      <c r="A1005" s="3"/>
      <c r="B1005" s="20"/>
      <c r="C1005" s="21"/>
      <c r="D1005" s="21"/>
      <c r="E1005" s="21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</row>
    <row r="1006" spans="1:18" ht="15.75" customHeight="1" x14ac:dyDescent="0.35">
      <c r="A1006" s="3"/>
      <c r="B1006" s="20"/>
      <c r="C1006" s="21"/>
      <c r="D1006" s="21"/>
      <c r="E1006" s="21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</row>
  </sheetData>
  <pageMargins left="0.4" right="0.4" top="0.4" bottom="0.4" header="0" footer="0"/>
  <pageSetup scale="5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  <pageSetUpPr fitToPage="1"/>
  </sheetPr>
  <dimension ref="A1:X1001"/>
  <sheetViews>
    <sheetView showGridLines="0" zoomScale="50" zoomScaleNormal="50" workbookViewId="0">
      <pane ySplit="1" topLeftCell="A22" activePane="bottomLeft" state="frozen"/>
      <selection pane="bottomLeft" activeCell="B2" sqref="B2:I46"/>
    </sheetView>
  </sheetViews>
  <sheetFormatPr defaultColWidth="14.453125" defaultRowHeight="15" customHeight="1" x14ac:dyDescent="0.35"/>
  <cols>
    <col min="1" max="1" width="3.36328125" customWidth="1"/>
    <col min="2" max="2" width="51.1796875" bestFit="1" customWidth="1"/>
    <col min="3" max="3" width="4.26953125" style="238" customWidth="1"/>
    <col min="4" max="4" width="23.81640625" customWidth="1"/>
    <col min="5" max="5" width="21.54296875" customWidth="1"/>
    <col min="6" max="6" width="21.08984375" customWidth="1"/>
    <col min="7" max="7" width="4.453125" customWidth="1"/>
    <col min="8" max="8" width="20.26953125" bestFit="1" customWidth="1"/>
    <col min="9" max="14" width="8.81640625" customWidth="1"/>
    <col min="15" max="15" width="16.453125" bestFit="1" customWidth="1"/>
    <col min="16" max="21" width="8.81640625" customWidth="1"/>
  </cols>
  <sheetData>
    <row r="1" spans="1:24" ht="49.5" customHeight="1" x14ac:dyDescent="0.35">
      <c r="A1" s="10"/>
      <c r="B1" s="64"/>
      <c r="C1" s="64"/>
      <c r="D1" s="65"/>
      <c r="E1" s="66"/>
      <c r="F1" s="66"/>
      <c r="G1" s="66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238"/>
      <c r="W1" s="238"/>
      <c r="X1" s="238"/>
    </row>
    <row r="2" spans="1:24" ht="36" customHeight="1" x14ac:dyDescent="0.6">
      <c r="A2" s="67"/>
      <c r="B2" s="68" t="s">
        <v>200</v>
      </c>
      <c r="C2" s="68"/>
      <c r="D2" s="252" t="s">
        <v>85</v>
      </c>
      <c r="E2" s="67"/>
      <c r="F2" s="67"/>
      <c r="G2" s="67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238"/>
      <c r="W2" s="238"/>
      <c r="X2" s="238"/>
    </row>
    <row r="3" spans="1:24" ht="12" customHeight="1" x14ac:dyDescent="0.35">
      <c r="A3" s="69"/>
      <c r="B3" s="69"/>
      <c r="C3" s="68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238"/>
      <c r="W3" s="238"/>
      <c r="X3" s="238"/>
    </row>
    <row r="4" spans="1:24" ht="19.5" customHeight="1" x14ac:dyDescent="0.4">
      <c r="A4" s="70"/>
      <c r="B4" s="237" t="s">
        <v>86</v>
      </c>
      <c r="C4" s="68"/>
      <c r="D4" s="253" t="s">
        <v>196</v>
      </c>
      <c r="E4" s="253" t="s">
        <v>197</v>
      </c>
      <c r="F4" s="253" t="s">
        <v>198</v>
      </c>
      <c r="G4" s="70"/>
      <c r="H4" s="253" t="s">
        <v>79</v>
      </c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238"/>
      <c r="W4" s="238"/>
      <c r="X4" s="238"/>
    </row>
    <row r="5" spans="1:24" ht="19.5" customHeight="1" x14ac:dyDescent="0.35">
      <c r="A5" s="72"/>
      <c r="B5" s="73" t="s">
        <v>88</v>
      </c>
      <c r="C5" s="68"/>
      <c r="D5" s="294">
        <v>0</v>
      </c>
      <c r="E5" s="74"/>
      <c r="F5" s="74"/>
      <c r="G5" s="72"/>
      <c r="H5" s="74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238"/>
      <c r="W5" s="238"/>
      <c r="X5" s="238"/>
    </row>
    <row r="6" spans="1:24" ht="19.5" customHeight="1" x14ac:dyDescent="0.35">
      <c r="A6" s="72"/>
      <c r="B6" s="76" t="s">
        <v>90</v>
      </c>
      <c r="C6" s="68"/>
      <c r="D6" s="77">
        <f>SUM('CASH FLOW STATEMENT'!C17)+1089522.29</f>
        <v>242641793.38999999</v>
      </c>
      <c r="E6" s="77">
        <f>SUM('CASH FLOW STATEMENT'!D17)</f>
        <v>0</v>
      </c>
      <c r="F6" s="77">
        <f>SUM('CASH FLOW STATEMENT'!E17)</f>
        <v>0</v>
      </c>
      <c r="G6" s="72"/>
      <c r="H6" s="77">
        <f>SUM(D6:F6)</f>
        <v>242641793.38999999</v>
      </c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238"/>
      <c r="W6" s="238"/>
      <c r="X6" s="238"/>
    </row>
    <row r="7" spans="1:24" ht="19.5" customHeight="1" x14ac:dyDescent="0.35">
      <c r="A7" s="72"/>
      <c r="B7" s="78" t="s">
        <v>92</v>
      </c>
      <c r="C7" s="68"/>
      <c r="D7" s="79">
        <f>'CASH FLOW STATEMENT'!C14</f>
        <v>166904771.09999999</v>
      </c>
      <c r="E7" s="79">
        <f>'CASH FLOW STATEMENT'!D14</f>
        <v>0</v>
      </c>
      <c r="F7" s="79">
        <f>'CASH FLOW STATEMENT'!E14</f>
        <v>0</v>
      </c>
      <c r="G7" s="72"/>
      <c r="H7" s="79">
        <f>SUM(D7:F7)</f>
        <v>166904771.09999999</v>
      </c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238"/>
      <c r="W7" s="238"/>
      <c r="X7" s="238"/>
    </row>
    <row r="8" spans="1:24" ht="19.5" customHeight="1" x14ac:dyDescent="0.35">
      <c r="A8" s="72"/>
      <c r="B8" s="78" t="s">
        <v>94</v>
      </c>
      <c r="C8" s="68"/>
      <c r="D8" s="75">
        <f>'INCOME STATEMENT - 3 YEARS'!D54</f>
        <v>16690477.109999999</v>
      </c>
      <c r="E8" s="75">
        <f>'INCOME STATEMENT - 3 YEARS'!E54</f>
        <v>16690477.109999999</v>
      </c>
      <c r="F8" s="75">
        <f>'INCOME STATEMENT - 3 YEARS'!F54</f>
        <v>16690477.109999999</v>
      </c>
      <c r="G8" s="72"/>
      <c r="H8" s="75">
        <f>SUM(D8:F8)</f>
        <v>50071431.329999998</v>
      </c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238"/>
      <c r="W8" s="238"/>
      <c r="X8" s="238"/>
    </row>
    <row r="9" spans="1:24" ht="19.5" customHeight="1" x14ac:dyDescent="0.35">
      <c r="A9" s="72"/>
      <c r="B9" s="78" t="s">
        <v>96</v>
      </c>
      <c r="C9" s="68"/>
      <c r="D9" s="75">
        <v>0</v>
      </c>
      <c r="E9" s="75">
        <v>0</v>
      </c>
      <c r="F9" s="75">
        <v>0</v>
      </c>
      <c r="G9" s="72"/>
      <c r="H9" s="75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238"/>
      <c r="W9" s="238"/>
      <c r="X9" s="238"/>
    </row>
    <row r="10" spans="1:24" ht="19.5" customHeight="1" x14ac:dyDescent="0.35">
      <c r="A10" s="72"/>
      <c r="B10" s="234" t="s">
        <v>98</v>
      </c>
      <c r="C10" s="68"/>
      <c r="D10" s="80">
        <f>SUM(D5:D9)</f>
        <v>426237041.60000002</v>
      </c>
      <c r="E10" s="80">
        <f>SUM(E6:E9)</f>
        <v>16690477.109999999</v>
      </c>
      <c r="F10" s="80">
        <f>SUM(F6:F9)</f>
        <v>16690477.109999999</v>
      </c>
      <c r="G10" s="72"/>
      <c r="H10" s="80">
        <f>SUM(H6:H9)</f>
        <v>459617995.81999999</v>
      </c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238"/>
      <c r="W10" s="238"/>
      <c r="X10" s="238"/>
    </row>
    <row r="11" spans="1:24" ht="19.5" customHeight="1" x14ac:dyDescent="0.35">
      <c r="A11" s="72"/>
      <c r="B11" s="73" t="s">
        <v>100</v>
      </c>
      <c r="C11" s="68"/>
      <c r="D11" s="79"/>
      <c r="E11" s="79"/>
      <c r="F11" s="79"/>
      <c r="G11" s="72"/>
      <c r="H11" s="7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238"/>
      <c r="W11" s="238"/>
      <c r="X11" s="238"/>
    </row>
    <row r="12" spans="1:24" ht="19.5" customHeight="1" x14ac:dyDescent="0.35">
      <c r="A12" s="72"/>
      <c r="B12" s="76" t="s">
        <v>102</v>
      </c>
      <c r="C12" s="68"/>
      <c r="D12" s="75">
        <v>0</v>
      </c>
      <c r="E12" s="75">
        <f>'CASH FLOW STATEMENT'!D44</f>
        <v>111222484.45999999</v>
      </c>
      <c r="F12" s="75">
        <f>'CASH FLOW STATEMENT'!E44</f>
        <v>139245475.440734</v>
      </c>
      <c r="G12" s="72"/>
      <c r="H12" s="75">
        <f>SUM(D12:F12)</f>
        <v>250467959.90073401</v>
      </c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238"/>
      <c r="W12" s="238"/>
      <c r="X12" s="238"/>
    </row>
    <row r="13" spans="1:24" ht="19.5" customHeight="1" x14ac:dyDescent="0.35">
      <c r="A13" s="72"/>
      <c r="B13" s="78" t="s">
        <v>104</v>
      </c>
      <c r="C13" s="68"/>
      <c r="D13" s="75">
        <f>0</f>
        <v>0</v>
      </c>
      <c r="E13" s="75">
        <v>0</v>
      </c>
      <c r="F13" s="75">
        <v>0</v>
      </c>
      <c r="G13" s="72"/>
      <c r="H13" s="75">
        <f t="shared" ref="H13:H15" si="0">SUM(D13:F13)</f>
        <v>0</v>
      </c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238"/>
      <c r="W13" s="238"/>
      <c r="X13" s="238"/>
    </row>
    <row r="14" spans="1:24" ht="19.5" customHeight="1" x14ac:dyDescent="0.35">
      <c r="A14" s="72"/>
      <c r="B14" s="78" t="s">
        <v>106</v>
      </c>
      <c r="C14" s="68"/>
      <c r="D14" s="75">
        <f>CAPEX!D7</f>
        <v>68647500</v>
      </c>
      <c r="E14" s="75">
        <v>0</v>
      </c>
      <c r="F14" s="75">
        <f>'INCOME STATEMENT - 3 YEARS'!F43</f>
        <v>0</v>
      </c>
      <c r="G14" s="72"/>
      <c r="H14" s="75">
        <f t="shared" si="0"/>
        <v>68647500</v>
      </c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238"/>
      <c r="W14" s="238"/>
      <c r="X14" s="238"/>
    </row>
    <row r="15" spans="1:24" ht="19.5" customHeight="1" x14ac:dyDescent="0.35">
      <c r="A15" s="72"/>
      <c r="B15" s="78" t="s">
        <v>108</v>
      </c>
      <c r="C15" s="68"/>
      <c r="D15" s="75">
        <v>0</v>
      </c>
      <c r="E15" s="75">
        <v>0</v>
      </c>
      <c r="F15" s="75">
        <v>0</v>
      </c>
      <c r="G15" s="72"/>
      <c r="H15" s="75">
        <f t="shared" si="0"/>
        <v>0</v>
      </c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238"/>
      <c r="W15" s="238"/>
      <c r="X15" s="238"/>
    </row>
    <row r="16" spans="1:24" ht="19.5" customHeight="1" x14ac:dyDescent="0.35">
      <c r="A16" s="72"/>
      <c r="B16" s="78" t="s">
        <v>110</v>
      </c>
      <c r="C16" s="68"/>
      <c r="D16" s="75">
        <v>0</v>
      </c>
      <c r="E16" s="75">
        <v>0</v>
      </c>
      <c r="F16" s="75">
        <v>0</v>
      </c>
      <c r="G16" s="72"/>
      <c r="H16" s="75">
        <f>SUM(D16:F16)</f>
        <v>0</v>
      </c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238"/>
      <c r="W16" s="238"/>
      <c r="X16" s="238"/>
    </row>
    <row r="17" spans="1:24" ht="19.5" customHeight="1" x14ac:dyDescent="0.35">
      <c r="A17" s="72"/>
      <c r="B17" s="76" t="s">
        <v>109</v>
      </c>
      <c r="C17" s="68"/>
      <c r="D17" s="75">
        <f>'CASH FLOW STATEMENT'!C38</f>
        <v>0</v>
      </c>
      <c r="E17" s="75">
        <f>'CASH FLOW STATEMENT'!D38</f>
        <v>0</v>
      </c>
      <c r="F17" s="75">
        <f>'CASH FLOW STATEMENT'!E38</f>
        <v>27967056.866999999</v>
      </c>
      <c r="G17" s="72"/>
      <c r="H17" s="75">
        <f t="shared" ref="H17:H18" si="1">SUM(D17:F17)</f>
        <v>27967056.866999999</v>
      </c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238"/>
      <c r="W17" s="238"/>
      <c r="X17" s="238"/>
    </row>
    <row r="18" spans="1:24" ht="19.5" customHeight="1" x14ac:dyDescent="0.35">
      <c r="A18" s="72"/>
      <c r="B18" s="78" t="s">
        <v>59</v>
      </c>
      <c r="C18" s="68"/>
      <c r="D18" s="75">
        <v>0</v>
      </c>
      <c r="E18" s="75">
        <v>0</v>
      </c>
      <c r="F18" s="75">
        <v>0</v>
      </c>
      <c r="G18" s="72"/>
      <c r="H18" s="75">
        <f t="shared" si="1"/>
        <v>0</v>
      </c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238"/>
      <c r="W18" s="238"/>
      <c r="X18" s="238"/>
    </row>
    <row r="19" spans="1:24" ht="19.5" customHeight="1" x14ac:dyDescent="0.35">
      <c r="A19" s="72"/>
      <c r="B19" s="234" t="s">
        <v>114</v>
      </c>
      <c r="C19" s="68"/>
      <c r="D19" s="80">
        <f>SUM(D12:D18)</f>
        <v>68647500</v>
      </c>
      <c r="E19" s="80">
        <f>SUM(E12:E18)</f>
        <v>111222484.45999999</v>
      </c>
      <c r="F19" s="80">
        <f>SUM(F12:F18)</f>
        <v>167212532.30773401</v>
      </c>
      <c r="G19" s="72"/>
      <c r="H19" s="80">
        <f>SUM(H12:H18)</f>
        <v>347082516.76773399</v>
      </c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238"/>
      <c r="W19" s="238"/>
      <c r="X19" s="238"/>
    </row>
    <row r="20" spans="1:24" ht="19.5" customHeight="1" x14ac:dyDescent="0.35">
      <c r="A20" s="69"/>
      <c r="B20" s="236"/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238"/>
      <c r="W20" s="238"/>
      <c r="X20" s="238"/>
    </row>
    <row r="21" spans="1:24" ht="19.5" customHeight="1" x14ac:dyDescent="0.35">
      <c r="A21" s="3"/>
      <c r="B21" s="235" t="s">
        <v>117</v>
      </c>
      <c r="C21" s="68"/>
      <c r="D21" s="279">
        <f>SUM(D10,D19)</f>
        <v>494884541.60000002</v>
      </c>
      <c r="E21" s="279">
        <f>SUM(E10,E19)</f>
        <v>127912961.56999999</v>
      </c>
      <c r="F21" s="279">
        <f>SUM(F10,F19)</f>
        <v>183903009.41773403</v>
      </c>
      <c r="G21" s="280"/>
      <c r="H21" s="279">
        <f>SUM(H10,H19)</f>
        <v>806700512.58773398</v>
      </c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238"/>
      <c r="W21" s="238"/>
      <c r="X21" s="238"/>
    </row>
    <row r="22" spans="1:24" ht="19.5" customHeight="1" x14ac:dyDescent="0.35">
      <c r="A22" s="69"/>
      <c r="B22" s="69"/>
      <c r="C22" s="68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238"/>
      <c r="W22" s="238"/>
      <c r="X22" s="238"/>
    </row>
    <row r="23" spans="1:24" ht="19.5" customHeight="1" x14ac:dyDescent="0.35">
      <c r="A23" s="69"/>
      <c r="B23" s="237" t="s">
        <v>87</v>
      </c>
      <c r="C23" s="68"/>
      <c r="D23" s="253"/>
      <c r="E23" s="253"/>
      <c r="F23" s="253"/>
      <c r="G23" s="69"/>
      <c r="H23" s="253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238"/>
      <c r="W23" s="238"/>
      <c r="X23" s="238"/>
    </row>
    <row r="24" spans="1:24" ht="19.5" customHeight="1" x14ac:dyDescent="0.35">
      <c r="A24" s="69"/>
      <c r="B24" s="233" t="s">
        <v>89</v>
      </c>
      <c r="C24" s="68"/>
      <c r="D24" s="79"/>
      <c r="E24" s="79"/>
      <c r="F24" s="79"/>
      <c r="G24" s="69"/>
      <c r="H24" s="7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238"/>
      <c r="W24" s="238"/>
      <c r="X24" s="238"/>
    </row>
    <row r="25" spans="1:24" ht="19.5" customHeight="1" x14ac:dyDescent="0.35">
      <c r="A25" s="69"/>
      <c r="B25" s="76" t="s">
        <v>91</v>
      </c>
      <c r="C25" s="68"/>
      <c r="D25" s="79">
        <f>E6</f>
        <v>0</v>
      </c>
      <c r="E25" s="79">
        <v>0</v>
      </c>
      <c r="F25" s="79">
        <v>0</v>
      </c>
      <c r="G25" s="69"/>
      <c r="H25" s="79">
        <f>SUM(D25:F25)</f>
        <v>0</v>
      </c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238"/>
      <c r="W25" s="238"/>
      <c r="X25" s="238"/>
    </row>
    <row r="26" spans="1:24" ht="19.5" customHeight="1" x14ac:dyDescent="0.35">
      <c r="A26" s="69"/>
      <c r="B26" s="78" t="s">
        <v>93</v>
      </c>
      <c r="C26" s="68"/>
      <c r="D26" s="79">
        <v>0</v>
      </c>
      <c r="E26" s="79">
        <v>0</v>
      </c>
      <c r="F26" s="79">
        <v>0</v>
      </c>
      <c r="G26" s="69"/>
      <c r="H26" s="79">
        <f t="shared" ref="H26:H30" si="2">SUM(D26:F26)</f>
        <v>0</v>
      </c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238"/>
      <c r="W26" s="238"/>
      <c r="X26" s="238"/>
    </row>
    <row r="27" spans="1:24" ht="19.5" customHeight="1" x14ac:dyDescent="0.35">
      <c r="A27" s="69"/>
      <c r="B27" s="78" t="s">
        <v>95</v>
      </c>
      <c r="C27" s="68"/>
      <c r="D27" s="75">
        <v>0</v>
      </c>
      <c r="E27" s="75">
        <v>0</v>
      </c>
      <c r="F27" s="75">
        <v>0</v>
      </c>
      <c r="G27" s="69"/>
      <c r="H27" s="79">
        <f t="shared" si="2"/>
        <v>0</v>
      </c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238"/>
      <c r="W27" s="238"/>
      <c r="X27" s="238"/>
    </row>
    <row r="28" spans="1:24" ht="19.5" customHeight="1" x14ac:dyDescent="0.35">
      <c r="A28" s="69"/>
      <c r="B28" s="78" t="s">
        <v>97</v>
      </c>
      <c r="C28" s="68"/>
      <c r="D28" s="75">
        <f>'CASH FLOW STATEMENT'!C19</f>
        <v>14760000</v>
      </c>
      <c r="E28" s="75">
        <f>'CASH FLOW STATEMENT'!D19</f>
        <v>14760000</v>
      </c>
      <c r="F28" s="75">
        <f>'CASH FLOW STATEMENT'!E19</f>
        <v>14760000</v>
      </c>
      <c r="G28" s="69"/>
      <c r="H28" s="79">
        <f t="shared" si="2"/>
        <v>44280000</v>
      </c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238"/>
      <c r="W28" s="238"/>
      <c r="X28" s="238"/>
    </row>
    <row r="29" spans="1:24" ht="15.75" customHeight="1" x14ac:dyDescent="0.35">
      <c r="A29" s="69"/>
      <c r="B29" s="78" t="s">
        <v>99</v>
      </c>
      <c r="C29" s="68"/>
      <c r="D29" s="75">
        <v>0</v>
      </c>
      <c r="E29" s="75">
        <v>0</v>
      </c>
      <c r="F29" s="75">
        <v>0</v>
      </c>
      <c r="G29" s="69"/>
      <c r="H29" s="79">
        <f t="shared" si="2"/>
        <v>0</v>
      </c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238"/>
      <c r="W29" s="238"/>
      <c r="X29" s="238"/>
    </row>
    <row r="30" spans="1:24" ht="15.75" customHeight="1" x14ac:dyDescent="0.35">
      <c r="A30" s="69"/>
      <c r="B30" s="78" t="s">
        <v>101</v>
      </c>
      <c r="C30" s="68"/>
      <c r="D30" s="75">
        <v>0</v>
      </c>
      <c r="E30" s="75">
        <v>0</v>
      </c>
      <c r="F30" s="75">
        <v>0</v>
      </c>
      <c r="G30" s="69"/>
      <c r="H30" s="79">
        <f t="shared" si="2"/>
        <v>0</v>
      </c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238"/>
      <c r="W30" s="238"/>
      <c r="X30" s="238"/>
    </row>
    <row r="31" spans="1:24" ht="15.75" customHeight="1" x14ac:dyDescent="0.35">
      <c r="A31" s="69"/>
      <c r="B31" s="234" t="s">
        <v>103</v>
      </c>
      <c r="C31" s="68"/>
      <c r="D31" s="80">
        <f>SUM(D25:D30)</f>
        <v>14760000</v>
      </c>
      <c r="E31" s="80">
        <f>SUM(E25:E30)</f>
        <v>14760000</v>
      </c>
      <c r="F31" s="80">
        <f>SUM(F25:F30)</f>
        <v>14760000</v>
      </c>
      <c r="G31" s="69"/>
      <c r="H31" s="80">
        <f>SUM(H24:H30)</f>
        <v>44280000</v>
      </c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238"/>
      <c r="W31" s="238"/>
      <c r="X31" s="238"/>
    </row>
    <row r="32" spans="1:24" ht="15.75" customHeight="1" x14ac:dyDescent="0.35">
      <c r="A32" s="69"/>
      <c r="B32" s="73" t="s">
        <v>105</v>
      </c>
      <c r="C32" s="68"/>
      <c r="D32" s="79">
        <v>0</v>
      </c>
      <c r="E32" s="79">
        <v>0</v>
      </c>
      <c r="F32" s="79">
        <v>0</v>
      </c>
      <c r="G32" s="69"/>
      <c r="H32" s="79">
        <f>SUM(D32:F32)</f>
        <v>0</v>
      </c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238"/>
      <c r="W32" s="238"/>
      <c r="X32" s="238"/>
    </row>
    <row r="33" spans="1:24" ht="15.75" customHeight="1" x14ac:dyDescent="0.35">
      <c r="A33" s="69"/>
      <c r="B33" s="76" t="s">
        <v>107</v>
      </c>
      <c r="C33" s="68"/>
      <c r="D33" s="79">
        <v>0</v>
      </c>
      <c r="E33" s="79">
        <v>0</v>
      </c>
      <c r="F33" s="79">
        <v>0</v>
      </c>
      <c r="G33" s="69"/>
      <c r="H33" s="79">
        <f t="shared" ref="H33:H35" si="3">SUM(D33:F33)</f>
        <v>0</v>
      </c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238"/>
      <c r="W33" s="238"/>
      <c r="X33" s="238"/>
    </row>
    <row r="34" spans="1:24" ht="15.75" customHeight="1" x14ac:dyDescent="0.35">
      <c r="A34" s="69"/>
      <c r="B34" s="78" t="s">
        <v>241</v>
      </c>
      <c r="C34" s="68"/>
      <c r="D34" s="79">
        <f>D17</f>
        <v>0</v>
      </c>
      <c r="E34" s="79">
        <f t="shared" ref="E34:F34" si="4">E17</f>
        <v>0</v>
      </c>
      <c r="F34" s="79">
        <f t="shared" si="4"/>
        <v>27967056.866999999</v>
      </c>
      <c r="G34" s="69"/>
      <c r="H34" s="79">
        <f t="shared" si="3"/>
        <v>27967056.866999999</v>
      </c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238"/>
      <c r="W34" s="238"/>
      <c r="X34" s="238"/>
    </row>
    <row r="35" spans="1:24" ht="15.75" customHeight="1" x14ac:dyDescent="0.35">
      <c r="A35" s="69"/>
      <c r="B35" s="78" t="s">
        <v>111</v>
      </c>
      <c r="C35" s="68"/>
      <c r="D35" s="79">
        <v>0</v>
      </c>
      <c r="E35" s="79">
        <v>0</v>
      </c>
      <c r="F35" s="79">
        <v>0</v>
      </c>
      <c r="G35" s="69"/>
      <c r="H35" s="79">
        <f t="shared" si="3"/>
        <v>0</v>
      </c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238"/>
      <c r="W35" s="238"/>
      <c r="X35" s="238"/>
    </row>
    <row r="36" spans="1:24" ht="15.75" customHeight="1" x14ac:dyDescent="0.35">
      <c r="A36" s="69"/>
      <c r="B36" s="234" t="s">
        <v>112</v>
      </c>
      <c r="C36" s="68"/>
      <c r="D36" s="80">
        <f>SUM(D32:D35)</f>
        <v>0</v>
      </c>
      <c r="E36" s="80">
        <f>SUM(E32:E35)</f>
        <v>0</v>
      </c>
      <c r="F36" s="80">
        <f>SUM(F32:F35)</f>
        <v>27967056.866999999</v>
      </c>
      <c r="G36" s="69"/>
      <c r="H36" s="80">
        <f>SUM(H32:H35)</f>
        <v>27967056.866999999</v>
      </c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238"/>
      <c r="W36" s="238"/>
      <c r="X36" s="238"/>
    </row>
    <row r="37" spans="1:24" ht="15.75" customHeight="1" x14ac:dyDescent="0.35">
      <c r="A37" s="69"/>
      <c r="B37" s="73" t="s">
        <v>113</v>
      </c>
      <c r="C37" s="68"/>
      <c r="D37" s="79">
        <v>0</v>
      </c>
      <c r="E37" s="79">
        <v>0</v>
      </c>
      <c r="F37" s="79">
        <v>0</v>
      </c>
      <c r="G37" s="69"/>
      <c r="H37" s="79">
        <f>SUM(D37:F37)</f>
        <v>0</v>
      </c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238"/>
      <c r="W37" s="238"/>
      <c r="X37" s="238"/>
    </row>
    <row r="38" spans="1:24" ht="15.75" customHeight="1" x14ac:dyDescent="0.35">
      <c r="A38" s="69"/>
      <c r="B38" s="76" t="s">
        <v>115</v>
      </c>
      <c r="C38" s="68"/>
      <c r="D38" s="75">
        <f>D6+D7+D14-1089522.29</f>
        <v>477104542.19999999</v>
      </c>
      <c r="E38" s="75">
        <f>E6+E7</f>
        <v>0</v>
      </c>
      <c r="F38" s="75">
        <f>'INCOME STATEMENT'!F42</f>
        <v>0</v>
      </c>
      <c r="G38" s="69"/>
      <c r="H38" s="79">
        <f t="shared" ref="H38:H40" si="5">SUM(D38:F38)</f>
        <v>477104542.19999999</v>
      </c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238"/>
      <c r="W38" s="238"/>
      <c r="X38" s="238"/>
    </row>
    <row r="39" spans="1:24" ht="15.75" customHeight="1" x14ac:dyDescent="0.35">
      <c r="A39" s="69"/>
      <c r="B39" s="78" t="s">
        <v>116</v>
      </c>
      <c r="C39" s="68"/>
      <c r="D39" s="75">
        <f>D12</f>
        <v>0</v>
      </c>
      <c r="E39" s="75">
        <f>E12</f>
        <v>111222484.45999999</v>
      </c>
      <c r="F39" s="75">
        <f>F12</f>
        <v>139245475.440734</v>
      </c>
      <c r="G39" s="69"/>
      <c r="H39" s="79">
        <f>SUM(D39:F39)</f>
        <v>250467959.90073401</v>
      </c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238"/>
      <c r="W39" s="238"/>
      <c r="X39" s="238"/>
    </row>
    <row r="40" spans="1:24" ht="15.5" customHeight="1" x14ac:dyDescent="0.35">
      <c r="A40" s="69"/>
      <c r="B40" s="78" t="s">
        <v>59</v>
      </c>
      <c r="C40" s="68"/>
      <c r="D40" s="79">
        <f>SUM('CASH FLOW STATEMENT'!C26:C27)</f>
        <v>4020000</v>
      </c>
      <c r="E40" s="79">
        <f>SUM('CASH FLOW STATEMENT'!D26:D27)</f>
        <v>3600000</v>
      </c>
      <c r="F40" s="79">
        <f>SUM('CASH FLOW STATEMENT'!E26:E27)</f>
        <v>3600000</v>
      </c>
      <c r="G40" s="69"/>
      <c r="H40" s="79">
        <f t="shared" si="5"/>
        <v>11220000</v>
      </c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238"/>
      <c r="W40" s="238"/>
      <c r="X40" s="238"/>
    </row>
    <row r="41" spans="1:24" s="238" customFormat="1" ht="9.5" hidden="1" customHeight="1" x14ac:dyDescent="0.35">
      <c r="A41" s="69"/>
      <c r="B41" s="78"/>
      <c r="C41" s="68"/>
      <c r="D41" s="276">
        <v>-1000000.6</v>
      </c>
      <c r="E41" s="276">
        <v>-1669522.89</v>
      </c>
      <c r="F41" s="276">
        <f>E41</f>
        <v>-1669522.89</v>
      </c>
      <c r="G41" s="277"/>
      <c r="H41" s="278">
        <f>SUM(D41:F41)</f>
        <v>-4339046.38</v>
      </c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</row>
    <row r="42" spans="1:24" ht="15.75" customHeight="1" x14ac:dyDescent="0.35">
      <c r="A42" s="69"/>
      <c r="B42" s="235" t="s">
        <v>118</v>
      </c>
      <c r="C42" s="68"/>
      <c r="D42" s="80">
        <f>SUM(D37:D41)</f>
        <v>480124541.59999996</v>
      </c>
      <c r="E42" s="80">
        <f t="shared" ref="E42:F42" si="6">SUM(E37:E41)</f>
        <v>113152961.56999999</v>
      </c>
      <c r="F42" s="80">
        <f t="shared" si="6"/>
        <v>141175952.55073401</v>
      </c>
      <c r="G42" s="69"/>
      <c r="H42" s="80">
        <f>SUM(H37:H41)</f>
        <v>734453455.720734</v>
      </c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238"/>
      <c r="W42" s="238"/>
      <c r="X42" s="238"/>
    </row>
    <row r="43" spans="1:24" ht="15.75" customHeight="1" x14ac:dyDescent="0.35">
      <c r="A43" s="69"/>
      <c r="B43" s="236"/>
      <c r="C43" s="68"/>
      <c r="D43" s="74"/>
      <c r="E43" s="74"/>
      <c r="F43" s="74"/>
      <c r="G43" s="69"/>
      <c r="H43" s="74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238"/>
      <c r="W43" s="238"/>
      <c r="X43" s="238"/>
    </row>
    <row r="44" spans="1:24" ht="15.75" customHeight="1" x14ac:dyDescent="0.35">
      <c r="A44" s="69"/>
      <c r="B44" s="235" t="s">
        <v>119</v>
      </c>
      <c r="C44" s="68"/>
      <c r="D44" s="81">
        <f>SUM(D31,D36,D42)</f>
        <v>494884541.59999996</v>
      </c>
      <c r="E44" s="81">
        <f>SUM(E31,E36,E42)</f>
        <v>127912961.56999999</v>
      </c>
      <c r="F44" s="81">
        <f>SUM(F31,F36,F42)</f>
        <v>183903009.41773403</v>
      </c>
      <c r="G44" s="69"/>
      <c r="H44" s="81">
        <f>SUM(H31,H36,H42)</f>
        <v>806700512.58773398</v>
      </c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238"/>
      <c r="W44" s="238"/>
      <c r="X44" s="238"/>
    </row>
    <row r="45" spans="1:24" ht="15.75" customHeight="1" x14ac:dyDescent="0.35">
      <c r="A45" s="69"/>
      <c r="B45" s="69"/>
      <c r="C45" s="68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238"/>
      <c r="W45" s="238"/>
      <c r="X45" s="238"/>
    </row>
    <row r="46" spans="1:24" ht="15.75" customHeight="1" x14ac:dyDescent="0.35">
      <c r="A46" s="69"/>
      <c r="B46" s="69"/>
      <c r="C46" s="68"/>
      <c r="D46" s="275">
        <f>D21-D44</f>
        <v>0</v>
      </c>
      <c r="E46" s="275">
        <f>E21-E44</f>
        <v>0</v>
      </c>
      <c r="F46" s="275">
        <f>F21-F44</f>
        <v>0</v>
      </c>
      <c r="G46" s="275"/>
      <c r="H46" s="275">
        <f>H21-H44</f>
        <v>0</v>
      </c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</row>
    <row r="47" spans="1:24" ht="15.75" customHeight="1" x14ac:dyDescent="0.35">
      <c r="A47" s="69"/>
      <c r="B47" s="69"/>
      <c r="C47" s="68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</row>
    <row r="48" spans="1:24" ht="15.75" customHeight="1" x14ac:dyDescent="0.35">
      <c r="A48" s="69"/>
      <c r="B48" s="69"/>
      <c r="C48" s="68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</row>
    <row r="49" spans="1:21" ht="15.75" customHeight="1" x14ac:dyDescent="0.35">
      <c r="A49" s="69"/>
      <c r="B49" s="69"/>
      <c r="C49" s="68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</row>
    <row r="50" spans="1:21" ht="15.75" customHeight="1" x14ac:dyDescent="0.35">
      <c r="A50" s="69"/>
      <c r="B50" s="69"/>
      <c r="C50" s="68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</row>
    <row r="51" spans="1:21" ht="15.75" customHeight="1" x14ac:dyDescent="0.35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</row>
    <row r="52" spans="1:21" ht="15.75" customHeight="1" x14ac:dyDescent="0.35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</row>
    <row r="53" spans="1:21" ht="15.75" customHeight="1" x14ac:dyDescent="0.35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</row>
    <row r="54" spans="1:21" ht="15.75" customHeight="1" x14ac:dyDescent="0.35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</row>
    <row r="55" spans="1:21" ht="15.75" customHeight="1" x14ac:dyDescent="0.35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</row>
    <row r="56" spans="1:21" ht="15.75" customHeight="1" x14ac:dyDescent="0.35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</row>
    <row r="57" spans="1:21" ht="15.75" customHeight="1" x14ac:dyDescent="0.35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</row>
    <row r="58" spans="1:21" ht="15.75" customHeight="1" x14ac:dyDescent="0.35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</row>
    <row r="59" spans="1:21" ht="15.75" customHeight="1" x14ac:dyDescent="0.35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</row>
    <row r="60" spans="1:21" ht="15.75" customHeight="1" x14ac:dyDescent="0.35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</row>
    <row r="61" spans="1:21" ht="15.75" customHeight="1" x14ac:dyDescent="0.35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</row>
    <row r="62" spans="1:21" ht="15.75" customHeight="1" x14ac:dyDescent="0.35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</row>
    <row r="63" spans="1:21" ht="15.75" customHeight="1" x14ac:dyDescent="0.35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</row>
    <row r="64" spans="1:21" ht="15.75" customHeight="1" x14ac:dyDescent="0.35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</row>
    <row r="65" spans="1:21" ht="15.75" customHeight="1" x14ac:dyDescent="0.35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</row>
    <row r="66" spans="1:21" ht="15.75" customHeight="1" x14ac:dyDescent="0.35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</row>
    <row r="67" spans="1:21" ht="15.75" customHeight="1" x14ac:dyDescent="0.35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</row>
    <row r="68" spans="1:21" ht="15.75" customHeight="1" x14ac:dyDescent="0.35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</row>
    <row r="69" spans="1:21" ht="15.75" customHeight="1" x14ac:dyDescent="0.35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</row>
    <row r="70" spans="1:21" ht="15.75" customHeight="1" x14ac:dyDescent="0.35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</row>
    <row r="71" spans="1:21" ht="15.75" customHeight="1" x14ac:dyDescent="0.35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</row>
    <row r="72" spans="1:21" ht="15.75" customHeight="1" x14ac:dyDescent="0.35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</row>
    <row r="73" spans="1:21" ht="15.75" customHeight="1" x14ac:dyDescent="0.35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</row>
    <row r="74" spans="1:21" ht="15.75" customHeight="1" x14ac:dyDescent="0.35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</row>
    <row r="75" spans="1:21" ht="15.75" customHeight="1" x14ac:dyDescent="0.35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</row>
    <row r="76" spans="1:21" ht="15.75" customHeight="1" x14ac:dyDescent="0.35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</row>
    <row r="77" spans="1:21" ht="15.75" customHeight="1" x14ac:dyDescent="0.35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</row>
    <row r="78" spans="1:21" ht="15.75" customHeight="1" x14ac:dyDescent="0.35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</row>
    <row r="79" spans="1:21" ht="15.75" customHeight="1" x14ac:dyDescent="0.35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</row>
    <row r="80" spans="1:21" ht="15.75" customHeight="1" x14ac:dyDescent="0.35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</row>
    <row r="81" spans="1:21" ht="15.75" customHeight="1" x14ac:dyDescent="0.35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</row>
    <row r="82" spans="1:21" ht="15.75" customHeight="1" x14ac:dyDescent="0.35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</row>
    <row r="83" spans="1:21" ht="15.75" customHeight="1" x14ac:dyDescent="0.35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</row>
    <row r="84" spans="1:21" ht="15.75" customHeight="1" x14ac:dyDescent="0.35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</row>
    <row r="85" spans="1:21" ht="15.75" customHeight="1" x14ac:dyDescent="0.35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</row>
    <row r="86" spans="1:21" ht="15.75" customHeight="1" x14ac:dyDescent="0.35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</row>
    <row r="87" spans="1:21" ht="15.75" customHeight="1" x14ac:dyDescent="0.35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</row>
    <row r="88" spans="1:21" ht="15.75" customHeight="1" x14ac:dyDescent="0.35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</row>
    <row r="89" spans="1:21" ht="15.75" customHeight="1" x14ac:dyDescent="0.35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</row>
    <row r="90" spans="1:21" ht="15.75" customHeight="1" x14ac:dyDescent="0.35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</row>
    <row r="91" spans="1:21" ht="15.75" customHeight="1" x14ac:dyDescent="0.35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</row>
    <row r="92" spans="1:21" ht="15.75" customHeight="1" x14ac:dyDescent="0.35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</row>
    <row r="93" spans="1:21" ht="15.75" customHeight="1" x14ac:dyDescent="0.35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</row>
    <row r="94" spans="1:21" ht="15.75" customHeight="1" x14ac:dyDescent="0.35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</row>
    <row r="95" spans="1:21" ht="15.75" customHeight="1" x14ac:dyDescent="0.35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</row>
    <row r="96" spans="1:21" ht="15.75" customHeight="1" x14ac:dyDescent="0.35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</row>
    <row r="97" spans="1:21" ht="15.75" customHeight="1" x14ac:dyDescent="0.35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</row>
    <row r="98" spans="1:21" ht="15.75" customHeight="1" x14ac:dyDescent="0.35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</row>
    <row r="99" spans="1:21" ht="15.75" customHeight="1" x14ac:dyDescent="0.35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</row>
    <row r="100" spans="1:21" ht="15.75" customHeight="1" x14ac:dyDescent="0.35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</row>
    <row r="101" spans="1:21" ht="15.75" customHeight="1" x14ac:dyDescent="0.35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</row>
    <row r="102" spans="1:21" ht="15.75" customHeight="1" x14ac:dyDescent="0.35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</row>
    <row r="103" spans="1:21" ht="15.75" customHeight="1" x14ac:dyDescent="0.35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</row>
    <row r="104" spans="1:21" ht="15.75" customHeight="1" x14ac:dyDescent="0.35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</row>
    <row r="105" spans="1:21" ht="15.75" customHeight="1" x14ac:dyDescent="0.35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</row>
    <row r="106" spans="1:21" ht="15.75" customHeight="1" x14ac:dyDescent="0.35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</row>
    <row r="107" spans="1:21" ht="15.75" customHeight="1" x14ac:dyDescent="0.35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</row>
    <row r="108" spans="1:21" ht="15.75" customHeight="1" x14ac:dyDescent="0.35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</row>
    <row r="109" spans="1:21" ht="15.75" customHeight="1" x14ac:dyDescent="0.35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</row>
    <row r="110" spans="1:21" ht="15.75" customHeight="1" x14ac:dyDescent="0.35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</row>
    <row r="111" spans="1:21" ht="15.75" customHeight="1" x14ac:dyDescent="0.35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</row>
    <row r="112" spans="1:21" ht="15.75" customHeight="1" x14ac:dyDescent="0.35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</row>
    <row r="113" spans="1:21" ht="15.75" customHeight="1" x14ac:dyDescent="0.35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</row>
    <row r="114" spans="1:21" ht="15.75" customHeight="1" x14ac:dyDescent="0.35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</row>
    <row r="115" spans="1:21" ht="15.75" customHeight="1" x14ac:dyDescent="0.35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</row>
    <row r="116" spans="1:21" ht="15.75" customHeight="1" x14ac:dyDescent="0.35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</row>
    <row r="117" spans="1:21" ht="15.75" customHeight="1" x14ac:dyDescent="0.35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</row>
    <row r="118" spans="1:21" ht="15.75" customHeight="1" x14ac:dyDescent="0.35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</row>
    <row r="119" spans="1:21" ht="15.75" customHeight="1" x14ac:dyDescent="0.35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</row>
    <row r="120" spans="1:21" ht="15.75" customHeight="1" x14ac:dyDescent="0.35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</row>
    <row r="121" spans="1:21" ht="15.75" customHeight="1" x14ac:dyDescent="0.35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</row>
    <row r="122" spans="1:21" ht="15.75" customHeight="1" x14ac:dyDescent="0.35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</row>
    <row r="123" spans="1:21" ht="15.75" customHeight="1" x14ac:dyDescent="0.35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</row>
    <row r="124" spans="1:21" ht="15.75" customHeight="1" x14ac:dyDescent="0.35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</row>
    <row r="125" spans="1:21" ht="15.75" customHeight="1" x14ac:dyDescent="0.35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</row>
    <row r="126" spans="1:21" ht="15.75" customHeight="1" x14ac:dyDescent="0.35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</row>
    <row r="127" spans="1:21" ht="15.75" customHeight="1" x14ac:dyDescent="0.35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</row>
    <row r="128" spans="1:21" ht="15.75" customHeight="1" x14ac:dyDescent="0.35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</row>
    <row r="129" spans="1:21" ht="15.75" customHeight="1" x14ac:dyDescent="0.35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</row>
    <row r="130" spans="1:21" ht="15.75" customHeight="1" x14ac:dyDescent="0.35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</row>
    <row r="131" spans="1:21" ht="15.75" customHeight="1" x14ac:dyDescent="0.35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</row>
    <row r="132" spans="1:21" ht="15.75" customHeight="1" x14ac:dyDescent="0.35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</row>
    <row r="133" spans="1:21" ht="15.75" customHeight="1" x14ac:dyDescent="0.35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</row>
    <row r="134" spans="1:21" ht="15.75" customHeight="1" x14ac:dyDescent="0.35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</row>
    <row r="135" spans="1:21" ht="15.75" customHeight="1" x14ac:dyDescent="0.35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</row>
    <row r="136" spans="1:21" ht="15.75" customHeight="1" x14ac:dyDescent="0.35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</row>
    <row r="137" spans="1:21" ht="15.75" customHeight="1" x14ac:dyDescent="0.35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</row>
    <row r="138" spans="1:21" ht="15.75" customHeight="1" x14ac:dyDescent="0.35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</row>
    <row r="139" spans="1:21" ht="15.75" customHeight="1" x14ac:dyDescent="0.35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</row>
    <row r="140" spans="1:21" ht="15.75" customHeight="1" x14ac:dyDescent="0.35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</row>
    <row r="141" spans="1:21" ht="15.75" customHeight="1" x14ac:dyDescent="0.35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</row>
    <row r="142" spans="1:21" ht="15.75" customHeight="1" x14ac:dyDescent="0.35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</row>
    <row r="143" spans="1:21" ht="15.75" customHeight="1" x14ac:dyDescent="0.35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</row>
    <row r="144" spans="1:21" ht="15.75" customHeight="1" x14ac:dyDescent="0.35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</row>
    <row r="145" spans="1:21" ht="15.75" customHeight="1" x14ac:dyDescent="0.35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</row>
    <row r="146" spans="1:21" ht="15.75" customHeight="1" x14ac:dyDescent="0.35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</row>
    <row r="147" spans="1:21" ht="15.75" customHeight="1" x14ac:dyDescent="0.35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</row>
    <row r="148" spans="1:21" ht="15.75" customHeight="1" x14ac:dyDescent="0.35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</row>
    <row r="149" spans="1:21" ht="15.75" customHeight="1" x14ac:dyDescent="0.35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</row>
    <row r="150" spans="1:21" ht="15.75" customHeight="1" x14ac:dyDescent="0.35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</row>
    <row r="151" spans="1:21" ht="15.75" customHeight="1" x14ac:dyDescent="0.35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</row>
    <row r="152" spans="1:21" ht="15.75" customHeight="1" x14ac:dyDescent="0.35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</row>
    <row r="153" spans="1:21" ht="15.75" customHeight="1" x14ac:dyDescent="0.35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</row>
    <row r="154" spans="1:21" ht="15.75" customHeight="1" x14ac:dyDescent="0.35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</row>
    <row r="155" spans="1:21" ht="15.75" customHeight="1" x14ac:dyDescent="0.35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</row>
    <row r="156" spans="1:21" ht="15.75" customHeight="1" x14ac:dyDescent="0.35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</row>
    <row r="157" spans="1:21" ht="15.75" customHeight="1" x14ac:dyDescent="0.35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</row>
    <row r="158" spans="1:21" ht="15.75" customHeight="1" x14ac:dyDescent="0.35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</row>
    <row r="159" spans="1:21" ht="15.75" customHeight="1" x14ac:dyDescent="0.35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</row>
    <row r="160" spans="1:21" ht="15.75" customHeight="1" x14ac:dyDescent="0.35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</row>
    <row r="161" spans="1:21" ht="15.75" customHeight="1" x14ac:dyDescent="0.35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</row>
    <row r="162" spans="1:21" ht="15.75" customHeight="1" x14ac:dyDescent="0.35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</row>
    <row r="163" spans="1:21" ht="15.75" customHeight="1" x14ac:dyDescent="0.35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</row>
    <row r="164" spans="1:21" ht="15.75" customHeight="1" x14ac:dyDescent="0.35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</row>
    <row r="165" spans="1:21" ht="15.75" customHeight="1" x14ac:dyDescent="0.35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</row>
    <row r="166" spans="1:21" ht="15.75" customHeight="1" x14ac:dyDescent="0.35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</row>
    <row r="167" spans="1:21" ht="15.75" customHeight="1" x14ac:dyDescent="0.35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</row>
    <row r="168" spans="1:21" ht="15.75" customHeight="1" x14ac:dyDescent="0.35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</row>
    <row r="169" spans="1:21" ht="15.75" customHeight="1" x14ac:dyDescent="0.35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</row>
    <row r="170" spans="1:21" ht="15.75" customHeight="1" x14ac:dyDescent="0.35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</row>
    <row r="171" spans="1:21" ht="15.75" customHeight="1" x14ac:dyDescent="0.35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</row>
    <row r="172" spans="1:21" ht="15.75" customHeight="1" x14ac:dyDescent="0.35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</row>
    <row r="173" spans="1:21" ht="15.75" customHeight="1" x14ac:dyDescent="0.35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</row>
    <row r="174" spans="1:21" ht="15.75" customHeight="1" x14ac:dyDescent="0.35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</row>
    <row r="175" spans="1:21" ht="15.75" customHeight="1" x14ac:dyDescent="0.35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</row>
    <row r="176" spans="1:21" ht="15.75" customHeight="1" x14ac:dyDescent="0.35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</row>
    <row r="177" spans="1:21" ht="15.75" customHeight="1" x14ac:dyDescent="0.35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</row>
    <row r="178" spans="1:21" ht="15.75" customHeight="1" x14ac:dyDescent="0.35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</row>
    <row r="179" spans="1:21" ht="15.75" customHeight="1" x14ac:dyDescent="0.35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</row>
    <row r="180" spans="1:21" ht="15.75" customHeight="1" x14ac:dyDescent="0.35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</row>
    <row r="181" spans="1:21" ht="15.75" customHeight="1" x14ac:dyDescent="0.35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</row>
    <row r="182" spans="1:21" ht="15.75" customHeight="1" x14ac:dyDescent="0.35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</row>
    <row r="183" spans="1:21" ht="15.75" customHeight="1" x14ac:dyDescent="0.35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</row>
    <row r="184" spans="1:21" ht="15.75" customHeight="1" x14ac:dyDescent="0.35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</row>
    <row r="185" spans="1:21" ht="15.75" customHeight="1" x14ac:dyDescent="0.35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</row>
    <row r="186" spans="1:21" ht="15.75" customHeight="1" x14ac:dyDescent="0.35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</row>
    <row r="187" spans="1:21" ht="15.75" customHeight="1" x14ac:dyDescent="0.35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</row>
    <row r="188" spans="1:21" ht="15.75" customHeight="1" x14ac:dyDescent="0.35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</row>
    <row r="189" spans="1:21" ht="15.75" customHeight="1" x14ac:dyDescent="0.35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</row>
    <row r="190" spans="1:21" ht="15.75" customHeight="1" x14ac:dyDescent="0.35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</row>
    <row r="191" spans="1:21" ht="15.75" customHeight="1" x14ac:dyDescent="0.35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</row>
    <row r="192" spans="1:21" ht="15.75" customHeight="1" x14ac:dyDescent="0.35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</row>
    <row r="193" spans="1:21" ht="15.75" customHeight="1" x14ac:dyDescent="0.35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</row>
    <row r="194" spans="1:21" ht="15.75" customHeight="1" x14ac:dyDescent="0.35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</row>
    <row r="195" spans="1:21" ht="15.75" customHeight="1" x14ac:dyDescent="0.35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</row>
    <row r="196" spans="1:21" ht="15.75" customHeight="1" x14ac:dyDescent="0.35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</row>
    <row r="197" spans="1:21" ht="15.75" customHeight="1" x14ac:dyDescent="0.35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</row>
    <row r="198" spans="1:21" ht="15.75" customHeight="1" x14ac:dyDescent="0.35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</row>
    <row r="199" spans="1:21" ht="15.75" customHeight="1" x14ac:dyDescent="0.35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</row>
    <row r="200" spans="1:21" ht="15.75" customHeight="1" x14ac:dyDescent="0.35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</row>
    <row r="201" spans="1:21" ht="15.75" customHeight="1" x14ac:dyDescent="0.35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</row>
    <row r="202" spans="1:21" ht="15.75" customHeight="1" x14ac:dyDescent="0.35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</row>
    <row r="203" spans="1:21" ht="15.75" customHeight="1" x14ac:dyDescent="0.35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</row>
    <row r="204" spans="1:21" ht="15.75" customHeight="1" x14ac:dyDescent="0.35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</row>
    <row r="205" spans="1:21" ht="15.75" customHeight="1" x14ac:dyDescent="0.35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</row>
    <row r="206" spans="1:21" ht="15.75" customHeight="1" x14ac:dyDescent="0.35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</row>
    <row r="207" spans="1:21" ht="15.75" customHeight="1" x14ac:dyDescent="0.35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</row>
    <row r="208" spans="1:21" ht="15.75" customHeight="1" x14ac:dyDescent="0.35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</row>
    <row r="209" spans="1:21" ht="15.75" customHeight="1" x14ac:dyDescent="0.35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</row>
    <row r="210" spans="1:21" ht="15.75" customHeight="1" x14ac:dyDescent="0.35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</row>
    <row r="211" spans="1:21" ht="15.75" customHeight="1" x14ac:dyDescent="0.35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</row>
    <row r="212" spans="1:21" ht="15.75" customHeight="1" x14ac:dyDescent="0.35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</row>
    <row r="213" spans="1:21" ht="15.75" customHeight="1" x14ac:dyDescent="0.35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</row>
    <row r="214" spans="1:21" ht="15.75" customHeight="1" x14ac:dyDescent="0.35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</row>
    <row r="215" spans="1:21" ht="15.75" customHeight="1" x14ac:dyDescent="0.35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</row>
    <row r="216" spans="1:21" ht="15.75" customHeight="1" x14ac:dyDescent="0.35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</row>
    <row r="217" spans="1:21" ht="15.75" customHeight="1" x14ac:dyDescent="0.35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</row>
    <row r="218" spans="1:21" ht="15.75" customHeight="1" x14ac:dyDescent="0.35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</row>
    <row r="219" spans="1:21" ht="15.75" customHeight="1" x14ac:dyDescent="0.35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</row>
    <row r="220" spans="1:21" ht="15.75" customHeight="1" x14ac:dyDescent="0.35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</row>
    <row r="221" spans="1:21" ht="15.75" customHeight="1" x14ac:dyDescent="0.35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</row>
    <row r="222" spans="1:21" ht="15.75" customHeight="1" x14ac:dyDescent="0.35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</row>
    <row r="223" spans="1:21" ht="15.75" customHeight="1" x14ac:dyDescent="0.35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</row>
    <row r="224" spans="1:21" ht="15.75" customHeight="1" x14ac:dyDescent="0.35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</row>
    <row r="225" spans="1:21" ht="15.75" customHeight="1" x14ac:dyDescent="0.35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</row>
    <row r="226" spans="1:21" ht="15.75" customHeight="1" x14ac:dyDescent="0.35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</row>
    <row r="227" spans="1:21" ht="15.75" customHeight="1" x14ac:dyDescent="0.35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</row>
    <row r="228" spans="1:21" ht="15.75" customHeight="1" x14ac:dyDescent="0.35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</row>
    <row r="229" spans="1:21" ht="15.75" customHeight="1" x14ac:dyDescent="0.35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</row>
    <row r="230" spans="1:21" ht="15.75" customHeight="1" x14ac:dyDescent="0.35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</row>
    <row r="231" spans="1:21" ht="15.75" customHeight="1" x14ac:dyDescent="0.35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</row>
    <row r="232" spans="1:21" ht="15.75" customHeight="1" x14ac:dyDescent="0.35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</row>
    <row r="233" spans="1:21" ht="15.75" customHeight="1" x14ac:dyDescent="0.35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</row>
    <row r="234" spans="1:21" ht="15.75" customHeight="1" x14ac:dyDescent="0.35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</row>
    <row r="235" spans="1:21" ht="15.75" customHeight="1" x14ac:dyDescent="0.35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</row>
    <row r="236" spans="1:21" ht="15.75" customHeight="1" x14ac:dyDescent="0.35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</row>
    <row r="237" spans="1:21" ht="15.75" customHeight="1" x14ac:dyDescent="0.35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</row>
    <row r="238" spans="1:21" ht="15.75" customHeight="1" x14ac:dyDescent="0.35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</row>
    <row r="239" spans="1:21" ht="15.75" customHeight="1" x14ac:dyDescent="0.35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</row>
    <row r="240" spans="1:21" ht="15.75" customHeight="1" x14ac:dyDescent="0.35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</row>
    <row r="241" spans="1:21" ht="15.75" customHeight="1" x14ac:dyDescent="0.35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</row>
    <row r="242" spans="1:21" ht="15.75" customHeight="1" x14ac:dyDescent="0.35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</row>
    <row r="243" spans="1:21" ht="15.75" customHeight="1" x14ac:dyDescent="0.35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</row>
    <row r="244" spans="1:21" ht="15.75" customHeight="1" x14ac:dyDescent="0.35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</row>
    <row r="245" spans="1:21" ht="15.75" customHeight="1" x14ac:dyDescent="0.3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</row>
    <row r="246" spans="1:21" ht="15.75" customHeight="1" x14ac:dyDescent="0.35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</row>
    <row r="247" spans="1:21" ht="15.75" customHeight="1" x14ac:dyDescent="0.35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</row>
    <row r="248" spans="1:21" ht="15.75" customHeight="1" x14ac:dyDescent="0.35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</row>
    <row r="249" spans="1:21" ht="15.75" customHeight="1" x14ac:dyDescent="0.35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</row>
    <row r="250" spans="1:21" ht="15.75" customHeight="1" x14ac:dyDescent="0.35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</row>
    <row r="251" spans="1:21" ht="15.75" customHeight="1" x14ac:dyDescent="0.35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</row>
    <row r="252" spans="1:21" ht="15.75" customHeight="1" x14ac:dyDescent="0.35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</row>
    <row r="253" spans="1:21" ht="15.75" customHeight="1" x14ac:dyDescent="0.35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</row>
    <row r="254" spans="1:21" ht="15.75" customHeight="1" x14ac:dyDescent="0.35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</row>
    <row r="255" spans="1:21" ht="15.75" customHeight="1" x14ac:dyDescent="0.3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</row>
    <row r="256" spans="1:21" ht="15.75" customHeight="1" x14ac:dyDescent="0.35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</row>
    <row r="257" spans="1:21" ht="15.75" customHeight="1" x14ac:dyDescent="0.35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</row>
    <row r="258" spans="1:21" ht="15.75" customHeight="1" x14ac:dyDescent="0.35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</row>
    <row r="259" spans="1:21" ht="15.75" customHeight="1" x14ac:dyDescent="0.35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</row>
    <row r="260" spans="1:21" ht="15.75" customHeight="1" x14ac:dyDescent="0.35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</row>
    <row r="261" spans="1:21" ht="15.75" customHeight="1" x14ac:dyDescent="0.35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</row>
    <row r="262" spans="1:21" ht="15.75" customHeight="1" x14ac:dyDescent="0.35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</row>
    <row r="263" spans="1:21" ht="15.75" customHeight="1" x14ac:dyDescent="0.35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</row>
    <row r="264" spans="1:21" ht="15.75" customHeight="1" x14ac:dyDescent="0.35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</row>
    <row r="265" spans="1:21" ht="15.75" customHeight="1" x14ac:dyDescent="0.3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</row>
    <row r="266" spans="1:21" ht="15.75" customHeight="1" x14ac:dyDescent="0.35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</row>
    <row r="267" spans="1:21" ht="15.75" customHeight="1" x14ac:dyDescent="0.35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</row>
    <row r="268" spans="1:21" ht="15.75" customHeight="1" x14ac:dyDescent="0.35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</row>
    <row r="269" spans="1:21" ht="15.75" customHeight="1" x14ac:dyDescent="0.35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</row>
    <row r="270" spans="1:21" ht="15.75" customHeight="1" x14ac:dyDescent="0.35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</row>
    <row r="271" spans="1:21" ht="15.75" customHeight="1" x14ac:dyDescent="0.35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</row>
    <row r="272" spans="1:21" ht="15.75" customHeight="1" x14ac:dyDescent="0.35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</row>
    <row r="273" spans="1:21" ht="15.75" customHeight="1" x14ac:dyDescent="0.35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</row>
    <row r="274" spans="1:21" ht="15.75" customHeight="1" x14ac:dyDescent="0.35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</row>
    <row r="275" spans="1:21" ht="15.75" customHeight="1" x14ac:dyDescent="0.3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</row>
    <row r="276" spans="1:21" ht="15.75" customHeight="1" x14ac:dyDescent="0.35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</row>
    <row r="277" spans="1:21" ht="15.75" customHeight="1" x14ac:dyDescent="0.35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</row>
    <row r="278" spans="1:21" ht="15.75" customHeight="1" x14ac:dyDescent="0.35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</row>
    <row r="279" spans="1:21" ht="15.75" customHeight="1" x14ac:dyDescent="0.35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</row>
    <row r="280" spans="1:21" ht="15.75" customHeight="1" x14ac:dyDescent="0.35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</row>
    <row r="281" spans="1:21" ht="15.75" customHeight="1" x14ac:dyDescent="0.35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</row>
    <row r="282" spans="1:21" ht="15.75" customHeight="1" x14ac:dyDescent="0.35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</row>
    <row r="283" spans="1:21" ht="15.75" customHeight="1" x14ac:dyDescent="0.35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</row>
    <row r="284" spans="1:21" ht="15.75" customHeight="1" x14ac:dyDescent="0.35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</row>
    <row r="285" spans="1:21" ht="15.75" customHeight="1" x14ac:dyDescent="0.3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</row>
    <row r="286" spans="1:21" ht="15.75" customHeight="1" x14ac:dyDescent="0.35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</row>
    <row r="287" spans="1:21" ht="15.75" customHeight="1" x14ac:dyDescent="0.35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</row>
    <row r="288" spans="1:21" ht="15.75" customHeight="1" x14ac:dyDescent="0.35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</row>
    <row r="289" spans="1:21" ht="15.75" customHeight="1" x14ac:dyDescent="0.35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</row>
    <row r="290" spans="1:21" ht="15.75" customHeight="1" x14ac:dyDescent="0.35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</row>
    <row r="291" spans="1:21" ht="15.75" customHeight="1" x14ac:dyDescent="0.35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</row>
    <row r="292" spans="1:21" ht="15.75" customHeight="1" x14ac:dyDescent="0.35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</row>
    <row r="293" spans="1:21" ht="15.75" customHeight="1" x14ac:dyDescent="0.35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</row>
    <row r="294" spans="1:21" ht="15.75" customHeight="1" x14ac:dyDescent="0.35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</row>
    <row r="295" spans="1:21" ht="15.75" customHeight="1" x14ac:dyDescent="0.3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</row>
    <row r="296" spans="1:21" ht="15.75" customHeight="1" x14ac:dyDescent="0.35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</row>
    <row r="297" spans="1:21" ht="15.75" customHeight="1" x14ac:dyDescent="0.35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</row>
    <row r="298" spans="1:21" ht="15.75" customHeight="1" x14ac:dyDescent="0.35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</row>
    <row r="299" spans="1:21" ht="15.75" customHeight="1" x14ac:dyDescent="0.35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</row>
    <row r="300" spans="1:21" ht="15.75" customHeight="1" x14ac:dyDescent="0.35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</row>
    <row r="301" spans="1:21" ht="15.75" customHeight="1" x14ac:dyDescent="0.35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</row>
    <row r="302" spans="1:21" ht="15.75" customHeight="1" x14ac:dyDescent="0.35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</row>
    <row r="303" spans="1:21" ht="15.75" customHeight="1" x14ac:dyDescent="0.35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</row>
    <row r="304" spans="1:21" ht="15.75" customHeight="1" x14ac:dyDescent="0.35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</row>
    <row r="305" spans="1:21" ht="15.75" customHeight="1" x14ac:dyDescent="0.3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</row>
    <row r="306" spans="1:21" ht="15.75" customHeight="1" x14ac:dyDescent="0.35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</row>
    <row r="307" spans="1:21" ht="15.75" customHeight="1" x14ac:dyDescent="0.35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</row>
    <row r="308" spans="1:21" ht="15.75" customHeight="1" x14ac:dyDescent="0.35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</row>
    <row r="309" spans="1:21" ht="15.75" customHeight="1" x14ac:dyDescent="0.35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</row>
    <row r="310" spans="1:21" ht="15.75" customHeight="1" x14ac:dyDescent="0.35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</row>
    <row r="311" spans="1:21" ht="15.75" customHeight="1" x14ac:dyDescent="0.35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</row>
    <row r="312" spans="1:21" ht="15.75" customHeight="1" x14ac:dyDescent="0.35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</row>
    <row r="313" spans="1:21" ht="15.75" customHeight="1" x14ac:dyDescent="0.35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</row>
    <row r="314" spans="1:21" ht="15.75" customHeight="1" x14ac:dyDescent="0.35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</row>
    <row r="315" spans="1:21" ht="15.75" customHeight="1" x14ac:dyDescent="0.3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</row>
    <row r="316" spans="1:21" ht="15.75" customHeight="1" x14ac:dyDescent="0.35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</row>
    <row r="317" spans="1:21" ht="15.75" customHeight="1" x14ac:dyDescent="0.35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</row>
    <row r="318" spans="1:21" ht="15.75" customHeight="1" x14ac:dyDescent="0.35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</row>
    <row r="319" spans="1:21" ht="15.75" customHeight="1" x14ac:dyDescent="0.35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</row>
    <row r="320" spans="1:21" ht="15.75" customHeight="1" x14ac:dyDescent="0.35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</row>
    <row r="321" spans="1:21" ht="15.75" customHeight="1" x14ac:dyDescent="0.35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</row>
    <row r="322" spans="1:21" ht="15.75" customHeight="1" x14ac:dyDescent="0.35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</row>
    <row r="323" spans="1:21" ht="15.75" customHeight="1" x14ac:dyDescent="0.35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</row>
    <row r="324" spans="1:21" ht="15.75" customHeight="1" x14ac:dyDescent="0.35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</row>
    <row r="325" spans="1:21" ht="15.75" customHeight="1" x14ac:dyDescent="0.3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</row>
    <row r="326" spans="1:21" ht="15.75" customHeight="1" x14ac:dyDescent="0.35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</row>
    <row r="327" spans="1:21" ht="15.75" customHeight="1" x14ac:dyDescent="0.35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</row>
    <row r="328" spans="1:21" ht="15.75" customHeight="1" x14ac:dyDescent="0.35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</row>
    <row r="329" spans="1:21" ht="15.75" customHeight="1" x14ac:dyDescent="0.35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</row>
    <row r="330" spans="1:21" ht="15.75" customHeight="1" x14ac:dyDescent="0.35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</row>
    <row r="331" spans="1:21" ht="15.75" customHeight="1" x14ac:dyDescent="0.35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</row>
    <row r="332" spans="1:21" ht="15.75" customHeight="1" x14ac:dyDescent="0.35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</row>
    <row r="333" spans="1:21" ht="15.75" customHeight="1" x14ac:dyDescent="0.35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</row>
    <row r="334" spans="1:21" ht="15.75" customHeight="1" x14ac:dyDescent="0.35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</row>
    <row r="335" spans="1:21" ht="15.75" customHeight="1" x14ac:dyDescent="0.3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</row>
    <row r="336" spans="1:21" ht="15.75" customHeight="1" x14ac:dyDescent="0.35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</row>
    <row r="337" spans="1:21" ht="15.75" customHeight="1" x14ac:dyDescent="0.35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</row>
    <row r="338" spans="1:21" ht="15.75" customHeight="1" x14ac:dyDescent="0.35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</row>
    <row r="339" spans="1:21" ht="15.75" customHeight="1" x14ac:dyDescent="0.35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</row>
    <row r="340" spans="1:21" ht="15.75" customHeight="1" x14ac:dyDescent="0.35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</row>
    <row r="341" spans="1:21" ht="15.75" customHeight="1" x14ac:dyDescent="0.35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</row>
    <row r="342" spans="1:21" ht="15.75" customHeight="1" x14ac:dyDescent="0.35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</row>
    <row r="343" spans="1:21" ht="15.75" customHeight="1" x14ac:dyDescent="0.35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</row>
    <row r="344" spans="1:21" ht="15.75" customHeight="1" x14ac:dyDescent="0.35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</row>
    <row r="345" spans="1:21" ht="15.75" customHeight="1" x14ac:dyDescent="0.3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</row>
    <row r="346" spans="1:21" ht="15.75" customHeight="1" x14ac:dyDescent="0.35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</row>
    <row r="347" spans="1:21" ht="15.75" customHeight="1" x14ac:dyDescent="0.35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</row>
    <row r="348" spans="1:21" ht="15.75" customHeight="1" x14ac:dyDescent="0.35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</row>
    <row r="349" spans="1:21" ht="15.75" customHeight="1" x14ac:dyDescent="0.35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</row>
    <row r="350" spans="1:21" ht="15.75" customHeight="1" x14ac:dyDescent="0.35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</row>
    <row r="351" spans="1:21" ht="15.75" customHeight="1" x14ac:dyDescent="0.35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</row>
    <row r="352" spans="1:21" ht="15.75" customHeight="1" x14ac:dyDescent="0.35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</row>
    <row r="353" spans="1:21" ht="15.75" customHeight="1" x14ac:dyDescent="0.35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</row>
    <row r="354" spans="1:21" ht="15.75" customHeight="1" x14ac:dyDescent="0.35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</row>
    <row r="355" spans="1:21" ht="15.75" customHeight="1" x14ac:dyDescent="0.3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</row>
    <row r="356" spans="1:21" ht="15.75" customHeight="1" x14ac:dyDescent="0.35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</row>
    <row r="357" spans="1:21" ht="15.75" customHeight="1" x14ac:dyDescent="0.35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</row>
    <row r="358" spans="1:21" ht="15.75" customHeight="1" x14ac:dyDescent="0.35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</row>
    <row r="359" spans="1:21" ht="15.75" customHeight="1" x14ac:dyDescent="0.35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</row>
    <row r="360" spans="1:21" ht="15.75" customHeight="1" x14ac:dyDescent="0.35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</row>
    <row r="361" spans="1:21" ht="15.75" customHeight="1" x14ac:dyDescent="0.35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</row>
    <row r="362" spans="1:21" ht="15.75" customHeight="1" x14ac:dyDescent="0.35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</row>
    <row r="363" spans="1:21" ht="15.75" customHeight="1" x14ac:dyDescent="0.35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</row>
    <row r="364" spans="1:21" ht="15.75" customHeight="1" x14ac:dyDescent="0.35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</row>
    <row r="365" spans="1:21" ht="15.75" customHeight="1" x14ac:dyDescent="0.3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</row>
    <row r="366" spans="1:21" ht="15.75" customHeight="1" x14ac:dyDescent="0.35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</row>
    <row r="367" spans="1:21" ht="15.75" customHeight="1" x14ac:dyDescent="0.35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</row>
    <row r="368" spans="1:21" ht="15.75" customHeight="1" x14ac:dyDescent="0.35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</row>
    <row r="369" spans="1:21" ht="15.75" customHeight="1" x14ac:dyDescent="0.35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</row>
    <row r="370" spans="1:21" ht="15.75" customHeight="1" x14ac:dyDescent="0.35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</row>
    <row r="371" spans="1:21" ht="15.75" customHeight="1" x14ac:dyDescent="0.35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</row>
    <row r="372" spans="1:21" ht="15.75" customHeight="1" x14ac:dyDescent="0.35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</row>
    <row r="373" spans="1:21" ht="15.75" customHeight="1" x14ac:dyDescent="0.35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</row>
    <row r="374" spans="1:21" ht="15.75" customHeight="1" x14ac:dyDescent="0.35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</row>
    <row r="375" spans="1:21" ht="15.75" customHeight="1" x14ac:dyDescent="0.3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</row>
    <row r="376" spans="1:21" ht="15.75" customHeight="1" x14ac:dyDescent="0.35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</row>
    <row r="377" spans="1:21" ht="15.75" customHeight="1" x14ac:dyDescent="0.35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</row>
    <row r="378" spans="1:21" ht="15.75" customHeight="1" x14ac:dyDescent="0.35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</row>
    <row r="379" spans="1:21" ht="15.75" customHeight="1" x14ac:dyDescent="0.35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</row>
    <row r="380" spans="1:21" ht="15.75" customHeight="1" x14ac:dyDescent="0.35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</row>
    <row r="381" spans="1:21" ht="15.75" customHeight="1" x14ac:dyDescent="0.35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</row>
    <row r="382" spans="1:21" ht="15.75" customHeight="1" x14ac:dyDescent="0.35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</row>
    <row r="383" spans="1:21" ht="15.75" customHeight="1" x14ac:dyDescent="0.35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</row>
    <row r="384" spans="1:21" ht="15.75" customHeight="1" x14ac:dyDescent="0.35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</row>
    <row r="385" spans="1:21" ht="15.75" customHeight="1" x14ac:dyDescent="0.3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</row>
    <row r="386" spans="1:21" ht="15.75" customHeight="1" x14ac:dyDescent="0.35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</row>
    <row r="387" spans="1:21" ht="15.75" customHeight="1" x14ac:dyDescent="0.35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</row>
    <row r="388" spans="1:21" ht="15.75" customHeight="1" x14ac:dyDescent="0.35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</row>
    <row r="389" spans="1:21" ht="15.75" customHeight="1" x14ac:dyDescent="0.35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</row>
    <row r="390" spans="1:21" ht="15.75" customHeight="1" x14ac:dyDescent="0.35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</row>
    <row r="391" spans="1:21" ht="15.75" customHeight="1" x14ac:dyDescent="0.35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</row>
    <row r="392" spans="1:21" ht="15.75" customHeight="1" x14ac:dyDescent="0.35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</row>
    <row r="393" spans="1:21" ht="15.75" customHeight="1" x14ac:dyDescent="0.35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</row>
    <row r="394" spans="1:21" ht="15.75" customHeight="1" x14ac:dyDescent="0.35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</row>
    <row r="395" spans="1:21" ht="15.75" customHeight="1" x14ac:dyDescent="0.3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</row>
    <row r="396" spans="1:21" ht="15.75" customHeight="1" x14ac:dyDescent="0.35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</row>
    <row r="397" spans="1:21" ht="15.75" customHeight="1" x14ac:dyDescent="0.35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</row>
    <row r="398" spans="1:21" ht="15.75" customHeight="1" x14ac:dyDescent="0.35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</row>
    <row r="399" spans="1:21" ht="15.75" customHeight="1" x14ac:dyDescent="0.35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</row>
    <row r="400" spans="1:21" ht="15.75" customHeight="1" x14ac:dyDescent="0.35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</row>
    <row r="401" spans="1:21" ht="15.75" customHeight="1" x14ac:dyDescent="0.35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</row>
    <row r="402" spans="1:21" ht="15.75" customHeight="1" x14ac:dyDescent="0.35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</row>
    <row r="403" spans="1:21" ht="15.75" customHeight="1" x14ac:dyDescent="0.35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</row>
    <row r="404" spans="1:21" ht="15.75" customHeight="1" x14ac:dyDescent="0.35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</row>
    <row r="405" spans="1:21" ht="15.75" customHeight="1" x14ac:dyDescent="0.3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</row>
    <row r="406" spans="1:21" ht="15.75" customHeight="1" x14ac:dyDescent="0.35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</row>
    <row r="407" spans="1:21" ht="15.75" customHeight="1" x14ac:dyDescent="0.35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</row>
    <row r="408" spans="1:21" ht="15.75" customHeight="1" x14ac:dyDescent="0.35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</row>
    <row r="409" spans="1:21" ht="15.75" customHeight="1" x14ac:dyDescent="0.35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</row>
    <row r="410" spans="1:21" ht="15.75" customHeight="1" x14ac:dyDescent="0.35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</row>
    <row r="411" spans="1:21" ht="15.75" customHeight="1" x14ac:dyDescent="0.35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</row>
    <row r="412" spans="1:21" ht="15.75" customHeight="1" x14ac:dyDescent="0.35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</row>
    <row r="413" spans="1:21" ht="15.75" customHeight="1" x14ac:dyDescent="0.35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</row>
    <row r="414" spans="1:21" ht="15.75" customHeight="1" x14ac:dyDescent="0.35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</row>
    <row r="415" spans="1:21" ht="15.75" customHeight="1" x14ac:dyDescent="0.3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</row>
    <row r="416" spans="1:21" ht="15.75" customHeight="1" x14ac:dyDescent="0.35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</row>
    <row r="417" spans="1:21" ht="15.75" customHeight="1" x14ac:dyDescent="0.35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</row>
    <row r="418" spans="1:21" ht="15.75" customHeight="1" x14ac:dyDescent="0.35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</row>
    <row r="419" spans="1:21" ht="15.75" customHeight="1" x14ac:dyDescent="0.35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</row>
    <row r="420" spans="1:21" ht="15.75" customHeight="1" x14ac:dyDescent="0.35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</row>
    <row r="421" spans="1:21" ht="15.75" customHeight="1" x14ac:dyDescent="0.35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</row>
    <row r="422" spans="1:21" ht="15.75" customHeight="1" x14ac:dyDescent="0.35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</row>
    <row r="423" spans="1:21" ht="15.75" customHeight="1" x14ac:dyDescent="0.35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</row>
    <row r="424" spans="1:21" ht="15.75" customHeight="1" x14ac:dyDescent="0.35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</row>
    <row r="425" spans="1:21" ht="15.75" customHeight="1" x14ac:dyDescent="0.3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</row>
    <row r="426" spans="1:21" ht="15.75" customHeight="1" x14ac:dyDescent="0.35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</row>
    <row r="427" spans="1:21" ht="15.75" customHeight="1" x14ac:dyDescent="0.35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</row>
    <row r="428" spans="1:21" ht="15.75" customHeight="1" x14ac:dyDescent="0.35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</row>
    <row r="429" spans="1:21" ht="15.75" customHeight="1" x14ac:dyDescent="0.35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</row>
    <row r="430" spans="1:21" ht="15.75" customHeight="1" x14ac:dyDescent="0.35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</row>
    <row r="431" spans="1:21" ht="15.75" customHeight="1" x14ac:dyDescent="0.35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</row>
    <row r="432" spans="1:21" ht="15.75" customHeight="1" x14ac:dyDescent="0.35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</row>
    <row r="433" spans="1:21" ht="15.75" customHeight="1" x14ac:dyDescent="0.35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</row>
    <row r="434" spans="1:21" ht="15.75" customHeight="1" x14ac:dyDescent="0.35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</row>
    <row r="435" spans="1:21" ht="15.75" customHeight="1" x14ac:dyDescent="0.3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</row>
    <row r="436" spans="1:21" ht="15.75" customHeight="1" x14ac:dyDescent="0.35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</row>
    <row r="437" spans="1:21" ht="15.75" customHeight="1" x14ac:dyDescent="0.35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</row>
    <row r="438" spans="1:21" ht="15.75" customHeight="1" x14ac:dyDescent="0.35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</row>
    <row r="439" spans="1:21" ht="15.75" customHeight="1" x14ac:dyDescent="0.35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</row>
    <row r="440" spans="1:21" ht="15.75" customHeight="1" x14ac:dyDescent="0.35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</row>
    <row r="441" spans="1:21" ht="15.75" customHeight="1" x14ac:dyDescent="0.35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</row>
    <row r="442" spans="1:21" ht="15.75" customHeight="1" x14ac:dyDescent="0.35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</row>
    <row r="443" spans="1:21" ht="15.75" customHeight="1" x14ac:dyDescent="0.35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</row>
    <row r="444" spans="1:21" ht="15.75" customHeight="1" x14ac:dyDescent="0.35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</row>
    <row r="445" spans="1:21" ht="15.75" customHeight="1" x14ac:dyDescent="0.3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</row>
    <row r="446" spans="1:21" ht="15.75" customHeight="1" x14ac:dyDescent="0.35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</row>
    <row r="447" spans="1:21" ht="15.75" customHeight="1" x14ac:dyDescent="0.35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</row>
    <row r="448" spans="1:21" ht="15.75" customHeight="1" x14ac:dyDescent="0.35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</row>
    <row r="449" spans="1:21" ht="15.75" customHeight="1" x14ac:dyDescent="0.35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</row>
    <row r="450" spans="1:21" ht="15.75" customHeight="1" x14ac:dyDescent="0.35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</row>
    <row r="451" spans="1:21" ht="15.75" customHeight="1" x14ac:dyDescent="0.35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</row>
    <row r="452" spans="1:21" ht="15.75" customHeight="1" x14ac:dyDescent="0.35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</row>
    <row r="453" spans="1:21" ht="15.75" customHeight="1" x14ac:dyDescent="0.35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</row>
    <row r="454" spans="1:21" ht="15.75" customHeight="1" x14ac:dyDescent="0.35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</row>
    <row r="455" spans="1:21" ht="15.75" customHeight="1" x14ac:dyDescent="0.3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</row>
    <row r="456" spans="1:21" ht="15.75" customHeight="1" x14ac:dyDescent="0.35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</row>
    <row r="457" spans="1:21" ht="15.75" customHeight="1" x14ac:dyDescent="0.35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</row>
    <row r="458" spans="1:21" ht="15.75" customHeight="1" x14ac:dyDescent="0.35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</row>
    <row r="459" spans="1:21" ht="15.75" customHeight="1" x14ac:dyDescent="0.35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</row>
    <row r="460" spans="1:21" ht="15.75" customHeight="1" x14ac:dyDescent="0.35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</row>
    <row r="461" spans="1:21" ht="15.75" customHeight="1" x14ac:dyDescent="0.35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</row>
    <row r="462" spans="1:21" ht="15.75" customHeight="1" x14ac:dyDescent="0.35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</row>
    <row r="463" spans="1:21" ht="15.75" customHeight="1" x14ac:dyDescent="0.35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</row>
    <row r="464" spans="1:21" ht="15.75" customHeight="1" x14ac:dyDescent="0.35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</row>
    <row r="465" spans="1:21" ht="15.75" customHeight="1" x14ac:dyDescent="0.3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</row>
    <row r="466" spans="1:21" ht="15.75" customHeight="1" x14ac:dyDescent="0.35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</row>
    <row r="467" spans="1:21" ht="15.75" customHeight="1" x14ac:dyDescent="0.35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</row>
    <row r="468" spans="1:21" ht="15.75" customHeight="1" x14ac:dyDescent="0.35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</row>
    <row r="469" spans="1:21" ht="15.75" customHeight="1" x14ac:dyDescent="0.35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</row>
    <row r="470" spans="1:21" ht="15.75" customHeight="1" x14ac:dyDescent="0.35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</row>
    <row r="471" spans="1:21" ht="15.75" customHeight="1" x14ac:dyDescent="0.35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</row>
    <row r="472" spans="1:21" ht="15.75" customHeight="1" x14ac:dyDescent="0.35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</row>
    <row r="473" spans="1:21" ht="15.75" customHeight="1" x14ac:dyDescent="0.35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</row>
    <row r="474" spans="1:21" ht="15.75" customHeight="1" x14ac:dyDescent="0.35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</row>
    <row r="475" spans="1:21" ht="15.75" customHeight="1" x14ac:dyDescent="0.3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</row>
    <row r="476" spans="1:21" ht="15.75" customHeight="1" x14ac:dyDescent="0.35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</row>
    <row r="477" spans="1:21" ht="15.75" customHeight="1" x14ac:dyDescent="0.35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</row>
    <row r="478" spans="1:21" ht="15.75" customHeight="1" x14ac:dyDescent="0.35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</row>
    <row r="479" spans="1:21" ht="15.75" customHeight="1" x14ac:dyDescent="0.35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</row>
    <row r="480" spans="1:21" ht="15.75" customHeight="1" x14ac:dyDescent="0.35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</row>
    <row r="481" spans="1:21" ht="15.75" customHeight="1" x14ac:dyDescent="0.35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</row>
    <row r="482" spans="1:21" ht="15.75" customHeight="1" x14ac:dyDescent="0.35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</row>
    <row r="483" spans="1:21" ht="15.75" customHeight="1" x14ac:dyDescent="0.35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</row>
    <row r="484" spans="1:21" ht="15.75" customHeight="1" x14ac:dyDescent="0.35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</row>
    <row r="485" spans="1:21" ht="15.75" customHeight="1" x14ac:dyDescent="0.3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</row>
    <row r="486" spans="1:21" ht="15.75" customHeight="1" x14ac:dyDescent="0.35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</row>
    <row r="487" spans="1:21" ht="15.75" customHeight="1" x14ac:dyDescent="0.35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</row>
    <row r="488" spans="1:21" ht="15.75" customHeight="1" x14ac:dyDescent="0.35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</row>
    <row r="489" spans="1:21" ht="15.75" customHeight="1" x14ac:dyDescent="0.35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</row>
    <row r="490" spans="1:21" ht="15.75" customHeight="1" x14ac:dyDescent="0.35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</row>
    <row r="491" spans="1:21" ht="15.75" customHeight="1" x14ac:dyDescent="0.35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</row>
    <row r="492" spans="1:21" ht="15.75" customHeight="1" x14ac:dyDescent="0.35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</row>
    <row r="493" spans="1:21" ht="15.75" customHeight="1" x14ac:dyDescent="0.35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</row>
    <row r="494" spans="1:21" ht="15.75" customHeight="1" x14ac:dyDescent="0.35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</row>
    <row r="495" spans="1:21" ht="15.75" customHeight="1" x14ac:dyDescent="0.3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</row>
    <row r="496" spans="1:21" ht="15.75" customHeight="1" x14ac:dyDescent="0.35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</row>
    <row r="497" spans="1:21" ht="15.75" customHeight="1" x14ac:dyDescent="0.35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</row>
    <row r="498" spans="1:21" ht="15.75" customHeight="1" x14ac:dyDescent="0.35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</row>
    <row r="499" spans="1:21" ht="15.75" customHeight="1" x14ac:dyDescent="0.35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</row>
    <row r="500" spans="1:21" ht="15.75" customHeight="1" x14ac:dyDescent="0.35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</row>
    <row r="501" spans="1:21" ht="15.75" customHeight="1" x14ac:dyDescent="0.35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</row>
    <row r="502" spans="1:21" ht="15.75" customHeight="1" x14ac:dyDescent="0.35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</row>
    <row r="503" spans="1:21" ht="15.75" customHeight="1" x14ac:dyDescent="0.35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</row>
    <row r="504" spans="1:21" ht="15.75" customHeight="1" x14ac:dyDescent="0.35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</row>
    <row r="505" spans="1:21" ht="15.75" customHeight="1" x14ac:dyDescent="0.3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</row>
    <row r="506" spans="1:21" ht="15.75" customHeight="1" x14ac:dyDescent="0.35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</row>
    <row r="507" spans="1:21" ht="15.75" customHeight="1" x14ac:dyDescent="0.35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</row>
    <row r="508" spans="1:21" ht="15.75" customHeight="1" x14ac:dyDescent="0.35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</row>
    <row r="509" spans="1:21" ht="15.75" customHeight="1" x14ac:dyDescent="0.35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</row>
    <row r="510" spans="1:21" ht="15.75" customHeight="1" x14ac:dyDescent="0.35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</row>
    <row r="511" spans="1:21" ht="15.75" customHeight="1" x14ac:dyDescent="0.35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</row>
    <row r="512" spans="1:21" ht="15.75" customHeight="1" x14ac:dyDescent="0.35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</row>
    <row r="513" spans="1:21" ht="15.75" customHeight="1" x14ac:dyDescent="0.35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</row>
    <row r="514" spans="1:21" ht="15.75" customHeight="1" x14ac:dyDescent="0.35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</row>
    <row r="515" spans="1:21" ht="15.75" customHeight="1" x14ac:dyDescent="0.3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</row>
    <row r="516" spans="1:21" ht="15.75" customHeight="1" x14ac:dyDescent="0.35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</row>
    <row r="517" spans="1:21" ht="15.75" customHeight="1" x14ac:dyDescent="0.35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</row>
    <row r="518" spans="1:21" ht="15.75" customHeight="1" x14ac:dyDescent="0.35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</row>
    <row r="519" spans="1:21" ht="15.75" customHeight="1" x14ac:dyDescent="0.35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</row>
    <row r="520" spans="1:21" ht="15.75" customHeight="1" x14ac:dyDescent="0.35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</row>
    <row r="521" spans="1:21" ht="15.75" customHeight="1" x14ac:dyDescent="0.35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</row>
    <row r="522" spans="1:21" ht="15.75" customHeight="1" x14ac:dyDescent="0.35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</row>
    <row r="523" spans="1:21" ht="15.75" customHeight="1" x14ac:dyDescent="0.35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</row>
    <row r="524" spans="1:21" ht="15.75" customHeight="1" x14ac:dyDescent="0.35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</row>
    <row r="525" spans="1:21" ht="15.75" customHeight="1" x14ac:dyDescent="0.3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</row>
    <row r="526" spans="1:21" ht="15.75" customHeight="1" x14ac:dyDescent="0.35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</row>
    <row r="527" spans="1:21" ht="15.75" customHeight="1" x14ac:dyDescent="0.35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</row>
    <row r="528" spans="1:21" ht="15.75" customHeight="1" x14ac:dyDescent="0.35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</row>
    <row r="529" spans="1:21" ht="15.75" customHeight="1" x14ac:dyDescent="0.35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</row>
    <row r="530" spans="1:21" ht="15.75" customHeight="1" x14ac:dyDescent="0.35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</row>
    <row r="531" spans="1:21" ht="15.75" customHeight="1" x14ac:dyDescent="0.35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</row>
    <row r="532" spans="1:21" ht="15.75" customHeight="1" x14ac:dyDescent="0.35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</row>
    <row r="533" spans="1:21" ht="15.75" customHeight="1" x14ac:dyDescent="0.35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</row>
    <row r="534" spans="1:21" ht="15.75" customHeight="1" x14ac:dyDescent="0.35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</row>
    <row r="535" spans="1:21" ht="15.75" customHeight="1" x14ac:dyDescent="0.3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</row>
    <row r="536" spans="1:21" ht="15.75" customHeight="1" x14ac:dyDescent="0.35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</row>
    <row r="537" spans="1:21" ht="15.75" customHeight="1" x14ac:dyDescent="0.35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</row>
    <row r="538" spans="1:21" ht="15.75" customHeight="1" x14ac:dyDescent="0.35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</row>
    <row r="539" spans="1:21" ht="15.75" customHeight="1" x14ac:dyDescent="0.35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</row>
    <row r="540" spans="1:21" ht="15.75" customHeight="1" x14ac:dyDescent="0.35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</row>
    <row r="541" spans="1:21" ht="15.75" customHeight="1" x14ac:dyDescent="0.35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</row>
    <row r="542" spans="1:21" ht="15.75" customHeight="1" x14ac:dyDescent="0.35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</row>
    <row r="543" spans="1:21" ht="15.75" customHeight="1" x14ac:dyDescent="0.35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</row>
    <row r="544" spans="1:21" ht="15.75" customHeight="1" x14ac:dyDescent="0.35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</row>
    <row r="545" spans="1:21" ht="15.75" customHeight="1" x14ac:dyDescent="0.3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</row>
    <row r="546" spans="1:21" ht="15.75" customHeight="1" x14ac:dyDescent="0.35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</row>
    <row r="547" spans="1:21" ht="15.75" customHeight="1" x14ac:dyDescent="0.35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</row>
    <row r="548" spans="1:21" ht="15.75" customHeight="1" x14ac:dyDescent="0.35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</row>
    <row r="549" spans="1:21" ht="15.75" customHeight="1" x14ac:dyDescent="0.35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</row>
    <row r="550" spans="1:21" ht="15.75" customHeight="1" x14ac:dyDescent="0.35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</row>
    <row r="551" spans="1:21" ht="15.75" customHeight="1" x14ac:dyDescent="0.35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</row>
    <row r="552" spans="1:21" ht="15.75" customHeight="1" x14ac:dyDescent="0.35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</row>
    <row r="553" spans="1:21" ht="15.75" customHeight="1" x14ac:dyDescent="0.35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</row>
    <row r="554" spans="1:21" ht="15.75" customHeight="1" x14ac:dyDescent="0.35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</row>
    <row r="555" spans="1:21" ht="15.75" customHeight="1" x14ac:dyDescent="0.3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</row>
    <row r="556" spans="1:21" ht="15.75" customHeight="1" x14ac:dyDescent="0.35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</row>
    <row r="557" spans="1:21" ht="15.75" customHeight="1" x14ac:dyDescent="0.35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</row>
    <row r="558" spans="1:21" ht="15.75" customHeight="1" x14ac:dyDescent="0.35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</row>
    <row r="559" spans="1:21" ht="15.75" customHeight="1" x14ac:dyDescent="0.35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</row>
    <row r="560" spans="1:21" ht="15.75" customHeight="1" x14ac:dyDescent="0.35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</row>
    <row r="561" spans="1:21" ht="15.75" customHeight="1" x14ac:dyDescent="0.35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</row>
    <row r="562" spans="1:21" ht="15.75" customHeight="1" x14ac:dyDescent="0.35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</row>
    <row r="563" spans="1:21" ht="15.75" customHeight="1" x14ac:dyDescent="0.35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</row>
    <row r="564" spans="1:21" ht="15.75" customHeight="1" x14ac:dyDescent="0.35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</row>
    <row r="565" spans="1:21" ht="15.75" customHeight="1" x14ac:dyDescent="0.3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</row>
    <row r="566" spans="1:21" ht="15.75" customHeight="1" x14ac:dyDescent="0.35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</row>
    <row r="567" spans="1:21" ht="15.75" customHeight="1" x14ac:dyDescent="0.35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</row>
    <row r="568" spans="1:21" ht="15.75" customHeight="1" x14ac:dyDescent="0.35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</row>
    <row r="569" spans="1:21" ht="15.75" customHeight="1" x14ac:dyDescent="0.35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</row>
    <row r="570" spans="1:21" ht="15.75" customHeight="1" x14ac:dyDescent="0.35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</row>
    <row r="571" spans="1:21" ht="15.75" customHeight="1" x14ac:dyDescent="0.35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</row>
    <row r="572" spans="1:21" ht="15.75" customHeight="1" x14ac:dyDescent="0.35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</row>
    <row r="573" spans="1:21" ht="15.75" customHeight="1" x14ac:dyDescent="0.35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</row>
    <row r="574" spans="1:21" ht="15.75" customHeight="1" x14ac:dyDescent="0.35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</row>
    <row r="575" spans="1:21" ht="15.75" customHeight="1" x14ac:dyDescent="0.3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</row>
    <row r="576" spans="1:21" ht="15.75" customHeight="1" x14ac:dyDescent="0.35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</row>
    <row r="577" spans="1:21" ht="15.75" customHeight="1" x14ac:dyDescent="0.35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</row>
    <row r="578" spans="1:21" ht="15.75" customHeight="1" x14ac:dyDescent="0.35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</row>
    <row r="579" spans="1:21" ht="15.75" customHeight="1" x14ac:dyDescent="0.35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</row>
    <row r="580" spans="1:21" ht="15.75" customHeight="1" x14ac:dyDescent="0.35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</row>
    <row r="581" spans="1:21" ht="15.75" customHeight="1" x14ac:dyDescent="0.35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</row>
    <row r="582" spans="1:21" ht="15.75" customHeight="1" x14ac:dyDescent="0.35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</row>
    <row r="583" spans="1:21" ht="15.75" customHeight="1" x14ac:dyDescent="0.35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</row>
    <row r="584" spans="1:21" ht="15.75" customHeight="1" x14ac:dyDescent="0.35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</row>
    <row r="585" spans="1:21" ht="15.75" customHeight="1" x14ac:dyDescent="0.3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</row>
    <row r="586" spans="1:21" ht="15.75" customHeight="1" x14ac:dyDescent="0.35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</row>
    <row r="587" spans="1:21" ht="15.75" customHeight="1" x14ac:dyDescent="0.35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</row>
    <row r="588" spans="1:21" ht="15.75" customHeight="1" x14ac:dyDescent="0.35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</row>
    <row r="589" spans="1:21" ht="15.75" customHeight="1" x14ac:dyDescent="0.35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</row>
    <row r="590" spans="1:21" ht="15.75" customHeight="1" x14ac:dyDescent="0.35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</row>
    <row r="591" spans="1:21" ht="15.75" customHeight="1" x14ac:dyDescent="0.35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</row>
    <row r="592" spans="1:21" ht="15.75" customHeight="1" x14ac:dyDescent="0.35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</row>
    <row r="593" spans="1:21" ht="15.75" customHeight="1" x14ac:dyDescent="0.35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</row>
    <row r="594" spans="1:21" ht="15.75" customHeight="1" x14ac:dyDescent="0.35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</row>
    <row r="595" spans="1:21" ht="15.75" customHeight="1" x14ac:dyDescent="0.3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</row>
    <row r="596" spans="1:21" ht="15.75" customHeight="1" x14ac:dyDescent="0.35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</row>
    <row r="597" spans="1:21" ht="15.75" customHeight="1" x14ac:dyDescent="0.35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</row>
    <row r="598" spans="1:21" ht="15.75" customHeight="1" x14ac:dyDescent="0.35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</row>
    <row r="599" spans="1:21" ht="15.75" customHeight="1" x14ac:dyDescent="0.35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</row>
    <row r="600" spans="1:21" ht="15.75" customHeight="1" x14ac:dyDescent="0.35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</row>
    <row r="601" spans="1:21" ht="15.75" customHeight="1" x14ac:dyDescent="0.35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</row>
    <row r="602" spans="1:21" ht="15.75" customHeight="1" x14ac:dyDescent="0.35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</row>
    <row r="603" spans="1:21" ht="15.75" customHeight="1" x14ac:dyDescent="0.35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</row>
    <row r="604" spans="1:21" ht="15.75" customHeight="1" x14ac:dyDescent="0.35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</row>
    <row r="605" spans="1:21" ht="15.75" customHeight="1" x14ac:dyDescent="0.3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</row>
    <row r="606" spans="1:21" ht="15.75" customHeight="1" x14ac:dyDescent="0.35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</row>
    <row r="607" spans="1:21" ht="15.75" customHeight="1" x14ac:dyDescent="0.35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</row>
    <row r="608" spans="1:21" ht="15.75" customHeight="1" x14ac:dyDescent="0.35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</row>
    <row r="609" spans="1:21" ht="15.75" customHeight="1" x14ac:dyDescent="0.35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</row>
    <row r="610" spans="1:21" ht="15.75" customHeight="1" x14ac:dyDescent="0.35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</row>
    <row r="611" spans="1:21" ht="15.75" customHeight="1" x14ac:dyDescent="0.35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</row>
    <row r="612" spans="1:21" ht="15.75" customHeight="1" x14ac:dyDescent="0.35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</row>
    <row r="613" spans="1:21" ht="15.75" customHeight="1" x14ac:dyDescent="0.35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</row>
    <row r="614" spans="1:21" ht="15.75" customHeight="1" x14ac:dyDescent="0.35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</row>
    <row r="615" spans="1:21" ht="15.75" customHeight="1" x14ac:dyDescent="0.3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</row>
    <row r="616" spans="1:21" ht="15.75" customHeight="1" x14ac:dyDescent="0.35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</row>
    <row r="617" spans="1:21" ht="15.75" customHeight="1" x14ac:dyDescent="0.35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</row>
    <row r="618" spans="1:21" ht="15.75" customHeight="1" x14ac:dyDescent="0.35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</row>
    <row r="619" spans="1:21" ht="15.75" customHeight="1" x14ac:dyDescent="0.35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</row>
    <row r="620" spans="1:21" ht="15.75" customHeight="1" x14ac:dyDescent="0.35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</row>
    <row r="621" spans="1:21" ht="15.75" customHeight="1" x14ac:dyDescent="0.35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</row>
    <row r="622" spans="1:21" ht="15.75" customHeight="1" x14ac:dyDescent="0.35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</row>
    <row r="623" spans="1:21" ht="15.75" customHeight="1" x14ac:dyDescent="0.35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</row>
    <row r="624" spans="1:21" ht="15.75" customHeight="1" x14ac:dyDescent="0.35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</row>
    <row r="625" spans="1:21" ht="15.75" customHeight="1" x14ac:dyDescent="0.3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</row>
    <row r="626" spans="1:21" ht="15.75" customHeight="1" x14ac:dyDescent="0.35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</row>
    <row r="627" spans="1:21" ht="15.75" customHeight="1" x14ac:dyDescent="0.35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</row>
    <row r="628" spans="1:21" ht="15.75" customHeight="1" x14ac:dyDescent="0.35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</row>
    <row r="629" spans="1:21" ht="15.75" customHeight="1" x14ac:dyDescent="0.35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</row>
    <row r="630" spans="1:21" ht="15.75" customHeight="1" x14ac:dyDescent="0.35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</row>
    <row r="631" spans="1:21" ht="15.75" customHeight="1" x14ac:dyDescent="0.35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</row>
    <row r="632" spans="1:21" ht="15.75" customHeight="1" x14ac:dyDescent="0.35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</row>
    <row r="633" spans="1:21" ht="15.75" customHeight="1" x14ac:dyDescent="0.35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</row>
    <row r="634" spans="1:21" ht="15.75" customHeight="1" x14ac:dyDescent="0.35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</row>
    <row r="635" spans="1:21" ht="15.75" customHeight="1" x14ac:dyDescent="0.3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</row>
    <row r="636" spans="1:21" ht="15.75" customHeight="1" x14ac:dyDescent="0.35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</row>
    <row r="637" spans="1:21" ht="15.75" customHeight="1" x14ac:dyDescent="0.35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</row>
    <row r="638" spans="1:21" ht="15.75" customHeight="1" x14ac:dyDescent="0.35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</row>
    <row r="639" spans="1:21" ht="15.75" customHeight="1" x14ac:dyDescent="0.35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</row>
    <row r="640" spans="1:21" ht="15.75" customHeight="1" x14ac:dyDescent="0.35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</row>
    <row r="641" spans="1:21" ht="15.75" customHeight="1" x14ac:dyDescent="0.35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</row>
    <row r="642" spans="1:21" ht="15.75" customHeight="1" x14ac:dyDescent="0.35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</row>
    <row r="643" spans="1:21" ht="15.75" customHeight="1" x14ac:dyDescent="0.35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</row>
    <row r="644" spans="1:21" ht="15.75" customHeight="1" x14ac:dyDescent="0.35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</row>
    <row r="645" spans="1:21" ht="15.75" customHeight="1" x14ac:dyDescent="0.3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</row>
    <row r="646" spans="1:21" ht="15.75" customHeight="1" x14ac:dyDescent="0.35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</row>
    <row r="647" spans="1:21" ht="15.75" customHeight="1" x14ac:dyDescent="0.35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</row>
    <row r="648" spans="1:21" ht="15.75" customHeight="1" x14ac:dyDescent="0.35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</row>
    <row r="649" spans="1:21" ht="15.75" customHeight="1" x14ac:dyDescent="0.35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</row>
    <row r="650" spans="1:21" ht="15.75" customHeight="1" x14ac:dyDescent="0.35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</row>
    <row r="651" spans="1:21" ht="15.75" customHeight="1" x14ac:dyDescent="0.35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</row>
    <row r="652" spans="1:21" ht="15.75" customHeight="1" x14ac:dyDescent="0.35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</row>
    <row r="653" spans="1:21" ht="15.75" customHeight="1" x14ac:dyDescent="0.35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</row>
    <row r="654" spans="1:21" ht="15.75" customHeight="1" x14ac:dyDescent="0.35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</row>
    <row r="655" spans="1:21" ht="15.75" customHeight="1" x14ac:dyDescent="0.3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</row>
    <row r="656" spans="1:21" ht="15.75" customHeight="1" x14ac:dyDescent="0.35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</row>
    <row r="657" spans="1:21" ht="15.75" customHeight="1" x14ac:dyDescent="0.35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</row>
    <row r="658" spans="1:21" ht="15.75" customHeight="1" x14ac:dyDescent="0.35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</row>
    <row r="659" spans="1:21" ht="15.75" customHeight="1" x14ac:dyDescent="0.35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</row>
    <row r="660" spans="1:21" ht="15.75" customHeight="1" x14ac:dyDescent="0.35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</row>
    <row r="661" spans="1:21" ht="15.75" customHeight="1" x14ac:dyDescent="0.35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</row>
    <row r="662" spans="1:21" ht="15.75" customHeight="1" x14ac:dyDescent="0.35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</row>
    <row r="663" spans="1:21" ht="15.75" customHeight="1" x14ac:dyDescent="0.35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</row>
    <row r="664" spans="1:21" ht="15.75" customHeight="1" x14ac:dyDescent="0.35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</row>
    <row r="665" spans="1:21" ht="15.75" customHeight="1" x14ac:dyDescent="0.3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</row>
    <row r="666" spans="1:21" ht="15.75" customHeight="1" x14ac:dyDescent="0.35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</row>
    <row r="667" spans="1:21" ht="15.75" customHeight="1" x14ac:dyDescent="0.35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</row>
    <row r="668" spans="1:21" ht="15.75" customHeight="1" x14ac:dyDescent="0.35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</row>
    <row r="669" spans="1:21" ht="15.75" customHeight="1" x14ac:dyDescent="0.35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</row>
    <row r="670" spans="1:21" ht="15.75" customHeight="1" x14ac:dyDescent="0.35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</row>
    <row r="671" spans="1:21" ht="15.75" customHeight="1" x14ac:dyDescent="0.35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</row>
    <row r="672" spans="1:21" ht="15.75" customHeight="1" x14ac:dyDescent="0.35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</row>
    <row r="673" spans="1:21" ht="15.75" customHeight="1" x14ac:dyDescent="0.35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</row>
    <row r="674" spans="1:21" ht="15.75" customHeight="1" x14ac:dyDescent="0.35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</row>
    <row r="675" spans="1:21" ht="15.75" customHeight="1" x14ac:dyDescent="0.3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</row>
    <row r="676" spans="1:21" ht="15.75" customHeight="1" x14ac:dyDescent="0.35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</row>
    <row r="677" spans="1:21" ht="15.75" customHeight="1" x14ac:dyDescent="0.35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</row>
    <row r="678" spans="1:21" ht="15.75" customHeight="1" x14ac:dyDescent="0.35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</row>
    <row r="679" spans="1:21" ht="15.75" customHeight="1" x14ac:dyDescent="0.35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</row>
    <row r="680" spans="1:21" ht="15.75" customHeight="1" x14ac:dyDescent="0.35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</row>
    <row r="681" spans="1:21" ht="15.75" customHeight="1" x14ac:dyDescent="0.35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</row>
    <row r="682" spans="1:21" ht="15.75" customHeight="1" x14ac:dyDescent="0.35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</row>
    <row r="683" spans="1:21" ht="15.75" customHeight="1" x14ac:dyDescent="0.35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</row>
    <row r="684" spans="1:21" ht="15.75" customHeight="1" x14ac:dyDescent="0.35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</row>
    <row r="685" spans="1:21" ht="15.75" customHeight="1" x14ac:dyDescent="0.3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</row>
    <row r="686" spans="1:21" ht="15.75" customHeight="1" x14ac:dyDescent="0.35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</row>
    <row r="687" spans="1:21" ht="15.75" customHeight="1" x14ac:dyDescent="0.35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</row>
    <row r="688" spans="1:21" ht="15.75" customHeight="1" x14ac:dyDescent="0.35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</row>
    <row r="689" spans="1:21" ht="15.75" customHeight="1" x14ac:dyDescent="0.35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</row>
    <row r="690" spans="1:21" ht="15.75" customHeight="1" x14ac:dyDescent="0.35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</row>
    <row r="691" spans="1:21" ht="15.75" customHeight="1" x14ac:dyDescent="0.35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</row>
    <row r="692" spans="1:21" ht="15.75" customHeight="1" x14ac:dyDescent="0.35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</row>
    <row r="693" spans="1:21" ht="15.75" customHeight="1" x14ac:dyDescent="0.35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</row>
    <row r="694" spans="1:21" ht="15.75" customHeight="1" x14ac:dyDescent="0.35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</row>
    <row r="695" spans="1:21" ht="15.75" customHeight="1" x14ac:dyDescent="0.3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</row>
    <row r="696" spans="1:21" ht="15.75" customHeight="1" x14ac:dyDescent="0.35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</row>
    <row r="697" spans="1:21" ht="15.75" customHeight="1" x14ac:dyDescent="0.35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</row>
    <row r="698" spans="1:21" ht="15.75" customHeight="1" x14ac:dyDescent="0.35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</row>
    <row r="699" spans="1:21" ht="15.75" customHeight="1" x14ac:dyDescent="0.35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</row>
    <row r="700" spans="1:21" ht="15.75" customHeight="1" x14ac:dyDescent="0.35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</row>
    <row r="701" spans="1:21" ht="15.75" customHeight="1" x14ac:dyDescent="0.35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</row>
    <row r="702" spans="1:21" ht="15.75" customHeight="1" x14ac:dyDescent="0.35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</row>
    <row r="703" spans="1:21" ht="15.75" customHeight="1" x14ac:dyDescent="0.35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</row>
    <row r="704" spans="1:21" ht="15.75" customHeight="1" x14ac:dyDescent="0.35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</row>
    <row r="705" spans="1:21" ht="15.75" customHeight="1" x14ac:dyDescent="0.3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</row>
    <row r="706" spans="1:21" ht="15.75" customHeight="1" x14ac:dyDescent="0.35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</row>
    <row r="707" spans="1:21" ht="15.75" customHeight="1" x14ac:dyDescent="0.35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</row>
    <row r="708" spans="1:21" ht="15.75" customHeight="1" x14ac:dyDescent="0.35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</row>
    <row r="709" spans="1:21" ht="15.75" customHeight="1" x14ac:dyDescent="0.35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</row>
    <row r="710" spans="1:21" ht="15.75" customHeight="1" x14ac:dyDescent="0.35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</row>
    <row r="711" spans="1:21" ht="15.75" customHeight="1" x14ac:dyDescent="0.35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</row>
    <row r="712" spans="1:21" ht="15.75" customHeight="1" x14ac:dyDescent="0.35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</row>
    <row r="713" spans="1:21" ht="15.75" customHeight="1" x14ac:dyDescent="0.35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</row>
    <row r="714" spans="1:21" ht="15.75" customHeight="1" x14ac:dyDescent="0.35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</row>
    <row r="715" spans="1:21" ht="15.75" customHeight="1" x14ac:dyDescent="0.3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</row>
    <row r="716" spans="1:21" ht="15.75" customHeight="1" x14ac:dyDescent="0.35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</row>
    <row r="717" spans="1:21" ht="15.75" customHeight="1" x14ac:dyDescent="0.35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</row>
    <row r="718" spans="1:21" ht="15.75" customHeight="1" x14ac:dyDescent="0.35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</row>
    <row r="719" spans="1:21" ht="15.75" customHeight="1" x14ac:dyDescent="0.35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</row>
    <row r="720" spans="1:21" ht="15.75" customHeight="1" x14ac:dyDescent="0.35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</row>
    <row r="721" spans="1:21" ht="15.75" customHeight="1" x14ac:dyDescent="0.35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</row>
    <row r="722" spans="1:21" ht="15.75" customHeight="1" x14ac:dyDescent="0.35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</row>
    <row r="723" spans="1:21" ht="15.75" customHeight="1" x14ac:dyDescent="0.35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</row>
    <row r="724" spans="1:21" ht="15.75" customHeight="1" x14ac:dyDescent="0.35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</row>
    <row r="725" spans="1:21" ht="15.75" customHeight="1" x14ac:dyDescent="0.3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</row>
    <row r="726" spans="1:21" ht="15.75" customHeight="1" x14ac:dyDescent="0.35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</row>
    <row r="727" spans="1:21" ht="15.75" customHeight="1" x14ac:dyDescent="0.35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</row>
    <row r="728" spans="1:21" ht="15.75" customHeight="1" x14ac:dyDescent="0.35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</row>
    <row r="729" spans="1:21" ht="15.75" customHeight="1" x14ac:dyDescent="0.35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</row>
    <row r="730" spans="1:21" ht="15.75" customHeight="1" x14ac:dyDescent="0.35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</row>
    <row r="731" spans="1:21" ht="15.75" customHeight="1" x14ac:dyDescent="0.35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</row>
    <row r="732" spans="1:21" ht="15.75" customHeight="1" x14ac:dyDescent="0.35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</row>
    <row r="733" spans="1:21" ht="15.75" customHeight="1" x14ac:dyDescent="0.35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</row>
    <row r="734" spans="1:21" ht="15.75" customHeight="1" x14ac:dyDescent="0.35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</row>
    <row r="735" spans="1:21" ht="15.75" customHeight="1" x14ac:dyDescent="0.3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</row>
    <row r="736" spans="1:21" ht="15.75" customHeight="1" x14ac:dyDescent="0.35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</row>
    <row r="737" spans="1:21" ht="15.75" customHeight="1" x14ac:dyDescent="0.35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</row>
    <row r="738" spans="1:21" ht="15.75" customHeight="1" x14ac:dyDescent="0.35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</row>
    <row r="739" spans="1:21" ht="15.75" customHeight="1" x14ac:dyDescent="0.35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</row>
    <row r="740" spans="1:21" ht="15.75" customHeight="1" x14ac:dyDescent="0.35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</row>
    <row r="741" spans="1:21" ht="15.75" customHeight="1" x14ac:dyDescent="0.35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</row>
    <row r="742" spans="1:21" ht="15.75" customHeight="1" x14ac:dyDescent="0.35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</row>
    <row r="743" spans="1:21" ht="15.75" customHeight="1" x14ac:dyDescent="0.35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</row>
    <row r="744" spans="1:21" ht="15.75" customHeight="1" x14ac:dyDescent="0.35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</row>
    <row r="745" spans="1:21" ht="15.75" customHeight="1" x14ac:dyDescent="0.3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</row>
    <row r="746" spans="1:21" ht="15.75" customHeight="1" x14ac:dyDescent="0.35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</row>
    <row r="747" spans="1:21" ht="15.75" customHeight="1" x14ac:dyDescent="0.35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</row>
    <row r="748" spans="1:21" ht="15.75" customHeight="1" x14ac:dyDescent="0.35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</row>
    <row r="749" spans="1:21" ht="15.75" customHeight="1" x14ac:dyDescent="0.35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</row>
    <row r="750" spans="1:21" ht="15.75" customHeight="1" x14ac:dyDescent="0.35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</row>
    <row r="751" spans="1:21" ht="15.75" customHeight="1" x14ac:dyDescent="0.35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</row>
    <row r="752" spans="1:21" ht="15.75" customHeight="1" x14ac:dyDescent="0.35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</row>
    <row r="753" spans="1:21" ht="15.75" customHeight="1" x14ac:dyDescent="0.35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</row>
    <row r="754" spans="1:21" ht="15.75" customHeight="1" x14ac:dyDescent="0.35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</row>
    <row r="755" spans="1:21" ht="15.75" customHeight="1" x14ac:dyDescent="0.3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</row>
    <row r="756" spans="1:21" ht="15.75" customHeight="1" x14ac:dyDescent="0.35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</row>
    <row r="757" spans="1:21" ht="15.75" customHeight="1" x14ac:dyDescent="0.35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</row>
    <row r="758" spans="1:21" ht="15.75" customHeight="1" x14ac:dyDescent="0.35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</row>
    <row r="759" spans="1:21" ht="15.75" customHeight="1" x14ac:dyDescent="0.35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</row>
    <row r="760" spans="1:21" ht="15.75" customHeight="1" x14ac:dyDescent="0.35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</row>
    <row r="761" spans="1:21" ht="15.75" customHeight="1" x14ac:dyDescent="0.35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</row>
    <row r="762" spans="1:21" ht="15.75" customHeight="1" x14ac:dyDescent="0.35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</row>
    <row r="763" spans="1:21" ht="15.75" customHeight="1" x14ac:dyDescent="0.35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</row>
    <row r="764" spans="1:21" ht="15.75" customHeight="1" x14ac:dyDescent="0.35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</row>
    <row r="765" spans="1:21" ht="15.75" customHeight="1" x14ac:dyDescent="0.3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</row>
    <row r="766" spans="1:21" ht="15.75" customHeight="1" x14ac:dyDescent="0.35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</row>
    <row r="767" spans="1:21" ht="15.75" customHeight="1" x14ac:dyDescent="0.35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</row>
    <row r="768" spans="1:21" ht="15.75" customHeight="1" x14ac:dyDescent="0.35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</row>
    <row r="769" spans="1:21" ht="15.75" customHeight="1" x14ac:dyDescent="0.35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</row>
    <row r="770" spans="1:21" ht="15.75" customHeight="1" x14ac:dyDescent="0.35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</row>
    <row r="771" spans="1:21" ht="15.75" customHeight="1" x14ac:dyDescent="0.35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</row>
    <row r="772" spans="1:21" ht="15.75" customHeight="1" x14ac:dyDescent="0.35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</row>
    <row r="773" spans="1:21" ht="15.75" customHeight="1" x14ac:dyDescent="0.35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</row>
    <row r="774" spans="1:21" ht="15.75" customHeight="1" x14ac:dyDescent="0.35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</row>
    <row r="775" spans="1:21" ht="15.75" customHeight="1" x14ac:dyDescent="0.3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</row>
    <row r="776" spans="1:21" ht="15.75" customHeight="1" x14ac:dyDescent="0.35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</row>
    <row r="777" spans="1:21" ht="15.75" customHeight="1" x14ac:dyDescent="0.35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</row>
    <row r="778" spans="1:21" ht="15.75" customHeight="1" x14ac:dyDescent="0.35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</row>
    <row r="779" spans="1:21" ht="15.75" customHeight="1" x14ac:dyDescent="0.35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</row>
    <row r="780" spans="1:21" ht="15.75" customHeight="1" x14ac:dyDescent="0.35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</row>
    <row r="781" spans="1:21" ht="15.75" customHeight="1" x14ac:dyDescent="0.35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</row>
    <row r="782" spans="1:21" ht="15.75" customHeight="1" x14ac:dyDescent="0.35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</row>
    <row r="783" spans="1:21" ht="15.75" customHeight="1" x14ac:dyDescent="0.35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</row>
    <row r="784" spans="1:21" ht="15.75" customHeight="1" x14ac:dyDescent="0.35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</row>
    <row r="785" spans="1:21" ht="15.75" customHeight="1" x14ac:dyDescent="0.3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</row>
    <row r="786" spans="1:21" ht="15.75" customHeight="1" x14ac:dyDescent="0.35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</row>
    <row r="787" spans="1:21" ht="15.75" customHeight="1" x14ac:dyDescent="0.35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</row>
    <row r="788" spans="1:21" ht="15.75" customHeight="1" x14ac:dyDescent="0.35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</row>
    <row r="789" spans="1:21" ht="15.75" customHeight="1" x14ac:dyDescent="0.35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</row>
    <row r="790" spans="1:21" ht="15.75" customHeight="1" x14ac:dyDescent="0.35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</row>
    <row r="791" spans="1:21" ht="15.75" customHeight="1" x14ac:dyDescent="0.35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</row>
    <row r="792" spans="1:21" ht="15.75" customHeight="1" x14ac:dyDescent="0.35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</row>
    <row r="793" spans="1:21" ht="15.75" customHeight="1" x14ac:dyDescent="0.35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</row>
    <row r="794" spans="1:21" ht="15.75" customHeight="1" x14ac:dyDescent="0.35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</row>
    <row r="795" spans="1:21" ht="15.75" customHeight="1" x14ac:dyDescent="0.3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</row>
    <row r="796" spans="1:21" ht="15.75" customHeight="1" x14ac:dyDescent="0.35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</row>
    <row r="797" spans="1:21" ht="15.75" customHeight="1" x14ac:dyDescent="0.35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</row>
    <row r="798" spans="1:21" ht="15.75" customHeight="1" x14ac:dyDescent="0.35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</row>
    <row r="799" spans="1:21" ht="15.75" customHeight="1" x14ac:dyDescent="0.35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</row>
    <row r="800" spans="1:21" ht="15.75" customHeight="1" x14ac:dyDescent="0.35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</row>
    <row r="801" spans="1:21" ht="15.75" customHeight="1" x14ac:dyDescent="0.35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</row>
    <row r="802" spans="1:21" ht="15.75" customHeight="1" x14ac:dyDescent="0.35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</row>
    <row r="803" spans="1:21" ht="15.75" customHeight="1" x14ac:dyDescent="0.35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</row>
    <row r="804" spans="1:21" ht="15.75" customHeight="1" x14ac:dyDescent="0.35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</row>
    <row r="805" spans="1:21" ht="15.75" customHeight="1" x14ac:dyDescent="0.3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</row>
    <row r="806" spans="1:21" ht="15.75" customHeight="1" x14ac:dyDescent="0.35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</row>
    <row r="807" spans="1:21" ht="15.75" customHeight="1" x14ac:dyDescent="0.35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</row>
    <row r="808" spans="1:21" ht="15.75" customHeight="1" x14ac:dyDescent="0.35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</row>
    <row r="809" spans="1:21" ht="15.75" customHeight="1" x14ac:dyDescent="0.35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</row>
    <row r="810" spans="1:21" ht="15.75" customHeight="1" x14ac:dyDescent="0.35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</row>
    <row r="811" spans="1:21" ht="15.75" customHeight="1" x14ac:dyDescent="0.35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</row>
    <row r="812" spans="1:21" ht="15.75" customHeight="1" x14ac:dyDescent="0.35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</row>
    <row r="813" spans="1:21" ht="15.75" customHeight="1" x14ac:dyDescent="0.35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</row>
    <row r="814" spans="1:21" ht="15.75" customHeight="1" x14ac:dyDescent="0.35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</row>
    <row r="815" spans="1:21" ht="15.75" customHeight="1" x14ac:dyDescent="0.3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</row>
    <row r="816" spans="1:21" ht="15.75" customHeight="1" x14ac:dyDescent="0.35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</row>
    <row r="817" spans="1:21" ht="15.75" customHeight="1" x14ac:dyDescent="0.35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</row>
    <row r="818" spans="1:21" ht="15.75" customHeight="1" x14ac:dyDescent="0.35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</row>
    <row r="819" spans="1:21" ht="15.75" customHeight="1" x14ac:dyDescent="0.35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</row>
    <row r="820" spans="1:21" ht="15.75" customHeight="1" x14ac:dyDescent="0.35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</row>
    <row r="821" spans="1:21" ht="15.75" customHeight="1" x14ac:dyDescent="0.35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</row>
    <row r="822" spans="1:21" ht="15.75" customHeight="1" x14ac:dyDescent="0.35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</row>
    <row r="823" spans="1:21" ht="15.75" customHeight="1" x14ac:dyDescent="0.35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</row>
    <row r="824" spans="1:21" ht="15.75" customHeight="1" x14ac:dyDescent="0.35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</row>
    <row r="825" spans="1:21" ht="15.75" customHeight="1" x14ac:dyDescent="0.3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</row>
    <row r="826" spans="1:21" ht="15.75" customHeight="1" x14ac:dyDescent="0.35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</row>
    <row r="827" spans="1:21" ht="15.75" customHeight="1" x14ac:dyDescent="0.35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</row>
    <row r="828" spans="1:21" ht="15.75" customHeight="1" x14ac:dyDescent="0.35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</row>
    <row r="829" spans="1:21" ht="15.75" customHeight="1" x14ac:dyDescent="0.35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</row>
    <row r="830" spans="1:21" ht="15.75" customHeight="1" x14ac:dyDescent="0.35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</row>
    <row r="831" spans="1:21" ht="15.75" customHeight="1" x14ac:dyDescent="0.35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</row>
    <row r="832" spans="1:21" ht="15.75" customHeight="1" x14ac:dyDescent="0.35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</row>
    <row r="833" spans="1:21" ht="15.75" customHeight="1" x14ac:dyDescent="0.35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</row>
    <row r="834" spans="1:21" ht="15.75" customHeight="1" x14ac:dyDescent="0.35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</row>
    <row r="835" spans="1:21" ht="15.75" customHeight="1" x14ac:dyDescent="0.3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</row>
    <row r="836" spans="1:21" ht="15.75" customHeight="1" x14ac:dyDescent="0.35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</row>
    <row r="837" spans="1:21" ht="15.75" customHeight="1" x14ac:dyDescent="0.35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</row>
    <row r="838" spans="1:21" ht="15.75" customHeight="1" x14ac:dyDescent="0.35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</row>
    <row r="839" spans="1:21" ht="15.75" customHeight="1" x14ac:dyDescent="0.35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</row>
    <row r="840" spans="1:21" ht="15.75" customHeight="1" x14ac:dyDescent="0.35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</row>
    <row r="841" spans="1:21" ht="15.75" customHeight="1" x14ac:dyDescent="0.35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</row>
    <row r="842" spans="1:21" ht="15.75" customHeight="1" x14ac:dyDescent="0.35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</row>
    <row r="843" spans="1:21" ht="15.75" customHeight="1" x14ac:dyDescent="0.35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</row>
    <row r="844" spans="1:21" ht="15.75" customHeight="1" x14ac:dyDescent="0.35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</row>
    <row r="845" spans="1:21" ht="15.75" customHeight="1" x14ac:dyDescent="0.3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</row>
    <row r="846" spans="1:21" ht="15.75" customHeight="1" x14ac:dyDescent="0.35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</row>
    <row r="847" spans="1:21" ht="15.75" customHeight="1" x14ac:dyDescent="0.35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</row>
    <row r="848" spans="1:21" ht="15.75" customHeight="1" x14ac:dyDescent="0.35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</row>
    <row r="849" spans="1:21" ht="15.75" customHeight="1" x14ac:dyDescent="0.35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</row>
    <row r="850" spans="1:21" ht="15.75" customHeight="1" x14ac:dyDescent="0.35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</row>
    <row r="851" spans="1:21" ht="15.75" customHeight="1" x14ac:dyDescent="0.35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</row>
    <row r="852" spans="1:21" ht="15.75" customHeight="1" x14ac:dyDescent="0.35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</row>
    <row r="853" spans="1:21" ht="15.75" customHeight="1" x14ac:dyDescent="0.35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</row>
    <row r="854" spans="1:21" ht="15.75" customHeight="1" x14ac:dyDescent="0.35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</row>
    <row r="855" spans="1:21" ht="15.75" customHeight="1" x14ac:dyDescent="0.3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</row>
    <row r="856" spans="1:21" ht="15.75" customHeight="1" x14ac:dyDescent="0.35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</row>
    <row r="857" spans="1:21" ht="15.75" customHeight="1" x14ac:dyDescent="0.35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</row>
    <row r="858" spans="1:21" ht="15.75" customHeight="1" x14ac:dyDescent="0.35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</row>
    <row r="859" spans="1:21" ht="15.75" customHeight="1" x14ac:dyDescent="0.35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</row>
    <row r="860" spans="1:21" ht="15.75" customHeight="1" x14ac:dyDescent="0.35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</row>
    <row r="861" spans="1:21" ht="15.75" customHeight="1" x14ac:dyDescent="0.35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</row>
    <row r="862" spans="1:21" ht="15.75" customHeight="1" x14ac:dyDescent="0.35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</row>
    <row r="863" spans="1:21" ht="15.75" customHeight="1" x14ac:dyDescent="0.35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</row>
    <row r="864" spans="1:21" ht="15.75" customHeight="1" x14ac:dyDescent="0.35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</row>
    <row r="865" spans="1:21" ht="15.75" customHeight="1" x14ac:dyDescent="0.3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</row>
    <row r="866" spans="1:21" ht="15.75" customHeight="1" x14ac:dyDescent="0.35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</row>
    <row r="867" spans="1:21" ht="15.75" customHeight="1" x14ac:dyDescent="0.35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</row>
    <row r="868" spans="1:21" ht="15.75" customHeight="1" x14ac:dyDescent="0.35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</row>
    <row r="869" spans="1:21" ht="15.75" customHeight="1" x14ac:dyDescent="0.35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</row>
    <row r="870" spans="1:21" ht="15.75" customHeight="1" x14ac:dyDescent="0.35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</row>
    <row r="871" spans="1:21" ht="15.75" customHeight="1" x14ac:dyDescent="0.35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</row>
    <row r="872" spans="1:21" ht="15.75" customHeight="1" x14ac:dyDescent="0.35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</row>
    <row r="873" spans="1:21" ht="15.75" customHeight="1" x14ac:dyDescent="0.35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</row>
    <row r="874" spans="1:21" ht="15.75" customHeight="1" x14ac:dyDescent="0.35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</row>
    <row r="875" spans="1:21" ht="15.75" customHeight="1" x14ac:dyDescent="0.3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</row>
    <row r="876" spans="1:21" ht="15.75" customHeight="1" x14ac:dyDescent="0.35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</row>
    <row r="877" spans="1:21" ht="15.75" customHeight="1" x14ac:dyDescent="0.35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</row>
    <row r="878" spans="1:21" ht="15.75" customHeight="1" x14ac:dyDescent="0.35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</row>
    <row r="879" spans="1:21" ht="15.75" customHeight="1" x14ac:dyDescent="0.35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</row>
    <row r="880" spans="1:21" ht="15.75" customHeight="1" x14ac:dyDescent="0.35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</row>
    <row r="881" spans="1:21" ht="15.75" customHeight="1" x14ac:dyDescent="0.35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</row>
    <row r="882" spans="1:21" ht="15.75" customHeight="1" x14ac:dyDescent="0.35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</row>
    <row r="883" spans="1:21" ht="15.75" customHeight="1" x14ac:dyDescent="0.35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</row>
    <row r="884" spans="1:21" ht="15.75" customHeight="1" x14ac:dyDescent="0.35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</row>
    <row r="885" spans="1:21" ht="15.75" customHeight="1" x14ac:dyDescent="0.3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</row>
    <row r="886" spans="1:21" ht="15.75" customHeight="1" x14ac:dyDescent="0.35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</row>
    <row r="887" spans="1:21" ht="15.75" customHeight="1" x14ac:dyDescent="0.35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</row>
    <row r="888" spans="1:21" ht="15.75" customHeight="1" x14ac:dyDescent="0.35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</row>
    <row r="889" spans="1:21" ht="15.75" customHeight="1" x14ac:dyDescent="0.35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</row>
    <row r="890" spans="1:21" ht="15.75" customHeight="1" x14ac:dyDescent="0.35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</row>
    <row r="891" spans="1:21" ht="15.75" customHeight="1" x14ac:dyDescent="0.35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</row>
    <row r="892" spans="1:21" ht="15.75" customHeight="1" x14ac:dyDescent="0.35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</row>
    <row r="893" spans="1:21" ht="15.75" customHeight="1" x14ac:dyDescent="0.35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</row>
    <row r="894" spans="1:21" ht="15.75" customHeight="1" x14ac:dyDescent="0.35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</row>
    <row r="895" spans="1:21" ht="15.75" customHeight="1" x14ac:dyDescent="0.3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</row>
    <row r="896" spans="1:21" ht="15.75" customHeight="1" x14ac:dyDescent="0.35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</row>
    <row r="897" spans="1:21" ht="15.75" customHeight="1" x14ac:dyDescent="0.35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</row>
    <row r="898" spans="1:21" ht="15.75" customHeight="1" x14ac:dyDescent="0.35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</row>
    <row r="899" spans="1:21" ht="15.75" customHeight="1" x14ac:dyDescent="0.35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</row>
    <row r="900" spans="1:21" ht="15.75" customHeight="1" x14ac:dyDescent="0.35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</row>
    <row r="901" spans="1:21" ht="15.75" customHeight="1" x14ac:dyDescent="0.35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</row>
    <row r="902" spans="1:21" ht="15.75" customHeight="1" x14ac:dyDescent="0.35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</row>
    <row r="903" spans="1:21" ht="15.75" customHeight="1" x14ac:dyDescent="0.35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</row>
    <row r="904" spans="1:21" ht="15.75" customHeight="1" x14ac:dyDescent="0.35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</row>
    <row r="905" spans="1:21" ht="15.75" customHeight="1" x14ac:dyDescent="0.3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</row>
    <row r="906" spans="1:21" ht="15.75" customHeight="1" x14ac:dyDescent="0.35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</row>
    <row r="907" spans="1:21" ht="15.75" customHeight="1" x14ac:dyDescent="0.35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</row>
    <row r="908" spans="1:21" ht="15.75" customHeight="1" x14ac:dyDescent="0.35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</row>
    <row r="909" spans="1:21" ht="15.75" customHeight="1" x14ac:dyDescent="0.35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</row>
    <row r="910" spans="1:21" ht="15.75" customHeight="1" x14ac:dyDescent="0.35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</row>
    <row r="911" spans="1:21" ht="15.75" customHeight="1" x14ac:dyDescent="0.35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</row>
    <row r="912" spans="1:21" ht="15.75" customHeight="1" x14ac:dyDescent="0.35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</row>
    <row r="913" spans="1:21" ht="15.75" customHeight="1" x14ac:dyDescent="0.35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</row>
    <row r="914" spans="1:21" ht="15.75" customHeight="1" x14ac:dyDescent="0.35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</row>
    <row r="915" spans="1:21" ht="15.75" customHeight="1" x14ac:dyDescent="0.3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</row>
    <row r="916" spans="1:21" ht="15.75" customHeight="1" x14ac:dyDescent="0.35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</row>
    <row r="917" spans="1:21" ht="15.75" customHeight="1" x14ac:dyDescent="0.35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</row>
    <row r="918" spans="1:21" ht="15.75" customHeight="1" x14ac:dyDescent="0.35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</row>
    <row r="919" spans="1:21" ht="15.75" customHeight="1" x14ac:dyDescent="0.35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</row>
    <row r="920" spans="1:21" ht="15.75" customHeight="1" x14ac:dyDescent="0.35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</row>
    <row r="921" spans="1:21" ht="15.75" customHeight="1" x14ac:dyDescent="0.35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</row>
    <row r="922" spans="1:21" ht="15.75" customHeight="1" x14ac:dyDescent="0.35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</row>
    <row r="923" spans="1:21" ht="15.75" customHeight="1" x14ac:dyDescent="0.35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</row>
    <row r="924" spans="1:21" ht="15.75" customHeight="1" x14ac:dyDescent="0.35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</row>
    <row r="925" spans="1:21" ht="15.75" customHeight="1" x14ac:dyDescent="0.3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</row>
    <row r="926" spans="1:21" ht="15.75" customHeight="1" x14ac:dyDescent="0.35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</row>
    <row r="927" spans="1:21" ht="15.75" customHeight="1" x14ac:dyDescent="0.35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</row>
    <row r="928" spans="1:21" ht="15.75" customHeight="1" x14ac:dyDescent="0.35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</row>
    <row r="929" spans="1:21" ht="15.75" customHeight="1" x14ac:dyDescent="0.35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</row>
    <row r="930" spans="1:21" ht="15.75" customHeight="1" x14ac:dyDescent="0.35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</row>
    <row r="931" spans="1:21" ht="15.75" customHeight="1" x14ac:dyDescent="0.35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</row>
    <row r="932" spans="1:21" ht="15.75" customHeight="1" x14ac:dyDescent="0.35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</row>
    <row r="933" spans="1:21" ht="15.75" customHeight="1" x14ac:dyDescent="0.35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</row>
    <row r="934" spans="1:21" ht="15.75" customHeight="1" x14ac:dyDescent="0.35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</row>
    <row r="935" spans="1:21" ht="15.75" customHeight="1" x14ac:dyDescent="0.3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</row>
    <row r="936" spans="1:21" ht="15.75" customHeight="1" x14ac:dyDescent="0.35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</row>
    <row r="937" spans="1:21" ht="15.75" customHeight="1" x14ac:dyDescent="0.35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</row>
    <row r="938" spans="1:21" ht="15.75" customHeight="1" x14ac:dyDescent="0.35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</row>
    <row r="939" spans="1:21" ht="15.75" customHeight="1" x14ac:dyDescent="0.35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</row>
    <row r="940" spans="1:21" ht="15.75" customHeight="1" x14ac:dyDescent="0.35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</row>
    <row r="941" spans="1:21" ht="15.75" customHeight="1" x14ac:dyDescent="0.35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</row>
    <row r="942" spans="1:21" ht="15.75" customHeight="1" x14ac:dyDescent="0.35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</row>
    <row r="943" spans="1:21" ht="15.75" customHeight="1" x14ac:dyDescent="0.35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</row>
    <row r="944" spans="1:21" ht="15.75" customHeight="1" x14ac:dyDescent="0.35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</row>
    <row r="945" spans="1:21" ht="15.75" customHeight="1" x14ac:dyDescent="0.3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</row>
    <row r="946" spans="1:21" ht="15.75" customHeight="1" x14ac:dyDescent="0.35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</row>
    <row r="947" spans="1:21" ht="15.75" customHeight="1" x14ac:dyDescent="0.35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</row>
    <row r="948" spans="1:21" ht="15.75" customHeight="1" x14ac:dyDescent="0.35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</row>
    <row r="949" spans="1:21" ht="15.75" customHeight="1" x14ac:dyDescent="0.35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</row>
    <row r="950" spans="1:21" ht="15.75" customHeight="1" x14ac:dyDescent="0.35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</row>
    <row r="951" spans="1:21" ht="15.75" customHeight="1" x14ac:dyDescent="0.35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</row>
    <row r="952" spans="1:21" ht="15.75" customHeight="1" x14ac:dyDescent="0.35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</row>
    <row r="953" spans="1:21" ht="15.75" customHeight="1" x14ac:dyDescent="0.35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</row>
    <row r="954" spans="1:21" ht="15.75" customHeight="1" x14ac:dyDescent="0.35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</row>
    <row r="955" spans="1:21" ht="15.75" customHeight="1" x14ac:dyDescent="0.3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</row>
    <row r="956" spans="1:21" ht="15.75" customHeight="1" x14ac:dyDescent="0.35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</row>
    <row r="957" spans="1:21" ht="15.75" customHeight="1" x14ac:dyDescent="0.35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</row>
    <row r="958" spans="1:21" ht="15.75" customHeight="1" x14ac:dyDescent="0.35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</row>
    <row r="959" spans="1:21" ht="15.75" customHeight="1" x14ac:dyDescent="0.35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</row>
    <row r="960" spans="1:21" ht="15.75" customHeight="1" x14ac:dyDescent="0.35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</row>
    <row r="961" spans="1:21" ht="15.75" customHeight="1" x14ac:dyDescent="0.35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</row>
    <row r="962" spans="1:21" ht="15.75" customHeight="1" x14ac:dyDescent="0.35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</row>
    <row r="963" spans="1:21" ht="15.75" customHeight="1" x14ac:dyDescent="0.35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</row>
    <row r="964" spans="1:21" ht="15.75" customHeight="1" x14ac:dyDescent="0.35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</row>
    <row r="965" spans="1:21" ht="15.75" customHeight="1" x14ac:dyDescent="0.3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</row>
    <row r="966" spans="1:21" ht="15.75" customHeight="1" x14ac:dyDescent="0.35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</row>
    <row r="967" spans="1:21" ht="15.75" customHeight="1" x14ac:dyDescent="0.35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</row>
    <row r="968" spans="1:21" ht="15.75" customHeight="1" x14ac:dyDescent="0.35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</row>
    <row r="969" spans="1:21" ht="15.75" customHeight="1" x14ac:dyDescent="0.35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</row>
    <row r="970" spans="1:21" ht="15.75" customHeight="1" x14ac:dyDescent="0.35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</row>
    <row r="971" spans="1:21" ht="15.75" customHeight="1" x14ac:dyDescent="0.35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</row>
    <row r="972" spans="1:21" ht="15.75" customHeight="1" x14ac:dyDescent="0.35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</row>
    <row r="973" spans="1:21" ht="15.75" customHeight="1" x14ac:dyDescent="0.35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</row>
    <row r="974" spans="1:21" ht="15.75" customHeight="1" x14ac:dyDescent="0.35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</row>
    <row r="975" spans="1:21" ht="15.75" customHeight="1" x14ac:dyDescent="0.35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</row>
    <row r="976" spans="1:21" ht="15.75" customHeight="1" x14ac:dyDescent="0.35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</row>
    <row r="977" spans="1:21" ht="15.75" customHeight="1" x14ac:dyDescent="0.35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</row>
    <row r="978" spans="1:21" ht="15.75" customHeight="1" x14ac:dyDescent="0.35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</row>
    <row r="979" spans="1:21" ht="15.75" customHeight="1" x14ac:dyDescent="0.35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</row>
    <row r="980" spans="1:21" ht="15.75" customHeight="1" x14ac:dyDescent="0.35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</row>
    <row r="981" spans="1:21" ht="15.75" customHeight="1" x14ac:dyDescent="0.35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</row>
    <row r="982" spans="1:21" ht="15.75" customHeight="1" x14ac:dyDescent="0.35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</row>
    <row r="983" spans="1:21" ht="15.75" customHeight="1" x14ac:dyDescent="0.35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</row>
    <row r="984" spans="1:21" ht="15.75" customHeight="1" x14ac:dyDescent="0.35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</row>
    <row r="985" spans="1:21" ht="15.75" customHeight="1" x14ac:dyDescent="0.35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</row>
    <row r="986" spans="1:21" ht="15.75" customHeight="1" x14ac:dyDescent="0.35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</row>
    <row r="987" spans="1:21" ht="15.75" customHeight="1" x14ac:dyDescent="0.35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</row>
    <row r="988" spans="1:21" ht="15.75" customHeight="1" x14ac:dyDescent="0.35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</row>
    <row r="989" spans="1:21" ht="15.75" customHeight="1" x14ac:dyDescent="0.35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</row>
    <row r="990" spans="1:21" ht="15.75" customHeight="1" x14ac:dyDescent="0.35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</row>
    <row r="991" spans="1:21" ht="15.75" customHeight="1" x14ac:dyDescent="0.35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</row>
    <row r="992" spans="1:21" ht="15.75" customHeight="1" x14ac:dyDescent="0.35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</row>
    <row r="993" spans="1:21" ht="15.75" customHeight="1" x14ac:dyDescent="0.35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</row>
    <row r="994" spans="1:21" ht="15.75" customHeight="1" x14ac:dyDescent="0.35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</row>
    <row r="995" spans="1:21" ht="15.75" customHeight="1" x14ac:dyDescent="0.35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</row>
    <row r="996" spans="1:21" ht="15.75" customHeight="1" x14ac:dyDescent="0.35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</row>
    <row r="997" spans="1:21" ht="15.75" customHeight="1" x14ac:dyDescent="0.35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</row>
    <row r="998" spans="1:21" ht="15.75" customHeight="1" x14ac:dyDescent="0.35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</row>
    <row r="999" spans="1:21" ht="15.75" customHeight="1" x14ac:dyDescent="0.35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</row>
    <row r="1000" spans="1:21" ht="15.75" customHeight="1" x14ac:dyDescent="0.35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</row>
    <row r="1001" spans="1:21" ht="15.75" customHeight="1" x14ac:dyDescent="0.35">
      <c r="A1001" s="69"/>
      <c r="B1001" s="69"/>
      <c r="C1001" s="69"/>
      <c r="D1001" s="69"/>
      <c r="E1001" s="69"/>
      <c r="F1001" s="69"/>
      <c r="G1001" s="69"/>
      <c r="H1001" s="69"/>
      <c r="I1001" s="69"/>
      <c r="J1001" s="69"/>
      <c r="K1001" s="69"/>
      <c r="L1001" s="69"/>
      <c r="M1001" s="69"/>
      <c r="N1001" s="69"/>
      <c r="O1001" s="69"/>
      <c r="P1001" s="69"/>
      <c r="Q1001" s="69"/>
      <c r="R1001" s="69"/>
      <c r="S1001" s="69"/>
      <c r="T1001" s="69"/>
      <c r="U1001" s="69"/>
    </row>
  </sheetData>
  <pageMargins left="0.25" right="0.25" top="0.75" bottom="0.75" header="0.3" footer="0.3"/>
  <pageSetup scale="6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61"/>
  <sheetViews>
    <sheetView topLeftCell="B1" zoomScale="70" zoomScaleNormal="70" workbookViewId="0">
      <selection activeCell="D58" sqref="D58"/>
    </sheetView>
  </sheetViews>
  <sheetFormatPr defaultRowHeight="14.5" x14ac:dyDescent="0.35"/>
  <cols>
    <col min="1" max="1" width="8.7265625" style="95"/>
    <col min="2" max="2" width="24.453125" customWidth="1"/>
    <col min="3" max="3" width="18.36328125" customWidth="1"/>
    <col min="4" max="4" width="16.26953125" style="95" bestFit="1" customWidth="1"/>
    <col min="5" max="5" width="18.90625" style="95" bestFit="1" customWidth="1"/>
    <col min="6" max="6" width="11.81640625" style="95" bestFit="1" customWidth="1"/>
    <col min="7" max="7" width="15.1796875" style="95" bestFit="1" customWidth="1"/>
    <col min="8" max="8" width="14.81640625" style="95" bestFit="1" customWidth="1"/>
    <col min="9" max="9" width="19.453125" style="95" customWidth="1"/>
    <col min="10" max="11" width="17.90625" style="95" bestFit="1" customWidth="1"/>
    <col min="12" max="12" width="17" customWidth="1"/>
    <col min="13" max="13" width="17.81640625" customWidth="1"/>
    <col min="14" max="14" width="17.90625" customWidth="1"/>
    <col min="15" max="15" width="18.26953125" customWidth="1"/>
  </cols>
  <sheetData>
    <row r="2" spans="2:15" s="95" customFormat="1" x14ac:dyDescent="0.35"/>
    <row r="3" spans="2:15" s="95" customFormat="1" ht="25" x14ac:dyDescent="0.35">
      <c r="B3" s="96" t="s">
        <v>186</v>
      </c>
      <c r="C3" s="201" t="s">
        <v>33</v>
      </c>
      <c r="D3" s="201" t="s">
        <v>34</v>
      </c>
      <c r="E3" s="201" t="s">
        <v>35</v>
      </c>
      <c r="F3" s="201" t="s">
        <v>36</v>
      </c>
      <c r="G3" s="201" t="s">
        <v>37</v>
      </c>
      <c r="H3" s="201" t="s">
        <v>38</v>
      </c>
      <c r="I3" s="201" t="s">
        <v>39</v>
      </c>
      <c r="J3" s="201" t="s">
        <v>40</v>
      </c>
      <c r="K3" s="201" t="s">
        <v>41</v>
      </c>
      <c r="L3" s="201" t="s">
        <v>42</v>
      </c>
      <c r="M3" s="201" t="s">
        <v>43</v>
      </c>
      <c r="N3" s="201" t="s">
        <v>44</v>
      </c>
      <c r="O3" s="201" t="s">
        <v>181</v>
      </c>
    </row>
    <row r="4" spans="2:15" s="95" customFormat="1" x14ac:dyDescent="0.35">
      <c r="B4" s="200" t="s">
        <v>231</v>
      </c>
      <c r="C4" s="207">
        <f>G13</f>
        <v>11160000</v>
      </c>
      <c r="D4" s="207">
        <f>N13</f>
        <v>10080000</v>
      </c>
      <c r="E4" s="207">
        <f>G22</f>
        <v>11160000</v>
      </c>
      <c r="F4" s="207">
        <f>N22</f>
        <v>10800000</v>
      </c>
      <c r="G4" s="207">
        <f>G30</f>
        <v>11160000</v>
      </c>
      <c r="H4" s="207">
        <f>N30</f>
        <v>10800000</v>
      </c>
      <c r="I4" s="207">
        <f>G39</f>
        <v>11160000</v>
      </c>
      <c r="J4" s="207">
        <f>N39</f>
        <v>11160000</v>
      </c>
      <c r="K4" s="207">
        <f>G48</f>
        <v>10800000</v>
      </c>
      <c r="L4" s="207">
        <f>N48</f>
        <v>11160000</v>
      </c>
      <c r="M4" s="207">
        <f>G57</f>
        <v>10800000</v>
      </c>
      <c r="N4" s="207">
        <f>N57</f>
        <v>11160000</v>
      </c>
      <c r="O4" s="74">
        <f>SUM(C4:N4)</f>
        <v>131400000</v>
      </c>
    </row>
    <row r="5" spans="2:15" s="95" customFormat="1" x14ac:dyDescent="0.35">
      <c r="B5" s="205" t="s">
        <v>187</v>
      </c>
      <c r="C5" s="267">
        <f>G14</f>
        <v>0</v>
      </c>
      <c r="D5" s="267">
        <f>N14</f>
        <v>0</v>
      </c>
      <c r="E5" s="267">
        <f>G23</f>
        <v>0</v>
      </c>
      <c r="F5" s="267">
        <f>N23</f>
        <v>0</v>
      </c>
      <c r="G5" s="267">
        <f>G31</f>
        <v>0</v>
      </c>
      <c r="H5" s="267">
        <f>N31</f>
        <v>0</v>
      </c>
      <c r="I5" s="267">
        <f>G40</f>
        <v>0</v>
      </c>
      <c r="J5" s="267">
        <f>N40</f>
        <v>0</v>
      </c>
      <c r="K5" s="267">
        <f>G49</f>
        <v>0</v>
      </c>
      <c r="L5" s="267">
        <f>N49</f>
        <v>0</v>
      </c>
      <c r="M5" s="267">
        <f>G58</f>
        <v>0</v>
      </c>
      <c r="N5" s="267">
        <f>N58</f>
        <v>0</v>
      </c>
      <c r="O5" s="268">
        <f>SUM(C5:N5)</f>
        <v>0</v>
      </c>
    </row>
    <row r="6" spans="2:15" s="95" customFormat="1" x14ac:dyDescent="0.35">
      <c r="B6" s="78"/>
      <c r="C6" s="198"/>
      <c r="D6" s="198"/>
      <c r="E6" s="198"/>
      <c r="F6" s="198"/>
      <c r="G6" s="198"/>
      <c r="H6" s="198"/>
      <c r="I6" s="198"/>
      <c r="J6" s="198"/>
      <c r="K6" s="198"/>
      <c r="L6" s="198"/>
      <c r="M6" s="198"/>
      <c r="N6" s="198"/>
      <c r="O6" s="74">
        <v>0</v>
      </c>
    </row>
    <row r="7" spans="2:15" s="95" customFormat="1" x14ac:dyDescent="0.35">
      <c r="B7" s="7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74">
        <v>0</v>
      </c>
    </row>
    <row r="8" spans="2:15" s="95" customFormat="1" x14ac:dyDescent="0.35">
      <c r="B8" s="295"/>
      <c r="C8" s="316"/>
      <c r="D8" s="316"/>
      <c r="E8" s="316"/>
      <c r="F8" s="316"/>
      <c r="G8" s="316"/>
      <c r="H8" s="316"/>
      <c r="I8" s="316"/>
      <c r="J8" s="316"/>
      <c r="K8" s="316"/>
      <c r="L8" s="316"/>
      <c r="M8" s="316"/>
      <c r="N8" s="296"/>
      <c r="O8" s="197">
        <f>SUM(O4:O6)</f>
        <v>131400000</v>
      </c>
    </row>
    <row r="9" spans="2:15" s="95" customFormat="1" x14ac:dyDescent="0.35"/>
    <row r="10" spans="2:15" x14ac:dyDescent="0.35">
      <c r="B10" s="95"/>
      <c r="C10" s="284">
        <f>AVERAGE(C4:N4)</f>
        <v>10950000</v>
      </c>
      <c r="D10" s="284">
        <f>C10*12</f>
        <v>131400000</v>
      </c>
      <c r="F10" s="95">
        <f>1208*50</f>
        <v>60400</v>
      </c>
      <c r="G10" s="287">
        <f>F10*30</f>
        <v>1812000</v>
      </c>
      <c r="H10" s="204">
        <f>C4-G10</f>
        <v>9348000</v>
      </c>
      <c r="K10"/>
    </row>
    <row r="11" spans="2:15" x14ac:dyDescent="0.35">
      <c r="B11" s="199" t="s">
        <v>33</v>
      </c>
      <c r="C11" s="95"/>
      <c r="H11" s="204"/>
      <c r="I11" s="199" t="s">
        <v>34</v>
      </c>
      <c r="J11" s="238"/>
      <c r="K11" s="238"/>
      <c r="L11" s="238"/>
      <c r="M11" s="238"/>
      <c r="N11" s="238"/>
    </row>
    <row r="12" spans="2:15" ht="51" customHeight="1" x14ac:dyDescent="0.35">
      <c r="B12" s="96" t="s">
        <v>186</v>
      </c>
      <c r="C12" s="199" t="s">
        <v>233</v>
      </c>
      <c r="D12" s="199" t="s">
        <v>234</v>
      </c>
      <c r="E12" s="201" t="s">
        <v>180</v>
      </c>
      <c r="F12" s="201" t="s">
        <v>184</v>
      </c>
      <c r="G12" s="201" t="s">
        <v>185</v>
      </c>
      <c r="H12"/>
      <c r="I12" s="254" t="s">
        <v>186</v>
      </c>
      <c r="J12" s="199" t="s">
        <v>233</v>
      </c>
      <c r="K12" s="199" t="s">
        <v>234</v>
      </c>
      <c r="L12" s="201" t="s">
        <v>180</v>
      </c>
      <c r="M12" s="201" t="s">
        <v>184</v>
      </c>
      <c r="N12" s="201" t="str">
        <f>G12</f>
        <v xml:space="preserve">Projected Monthly Revenue </v>
      </c>
    </row>
    <row r="13" spans="2:15" x14ac:dyDescent="0.35">
      <c r="B13" s="200" t="s">
        <v>231</v>
      </c>
      <c r="C13" s="208">
        <v>6000</v>
      </c>
      <c r="D13" s="206">
        <v>60</v>
      </c>
      <c r="E13" s="207">
        <f>C13*D13</f>
        <v>360000</v>
      </c>
      <c r="F13" s="206">
        <v>31</v>
      </c>
      <c r="G13" s="74">
        <f>F13*E13</f>
        <v>11160000</v>
      </c>
      <c r="H13"/>
      <c r="I13" s="200" t="s">
        <v>231</v>
      </c>
      <c r="J13" s="208">
        <v>6000</v>
      </c>
      <c r="K13" s="206">
        <f>D13-D14</f>
        <v>60</v>
      </c>
      <c r="L13" s="207">
        <f>J13*K13</f>
        <v>360000</v>
      </c>
      <c r="M13" s="206">
        <v>28</v>
      </c>
      <c r="N13" s="74">
        <f>M13*L13</f>
        <v>10080000</v>
      </c>
    </row>
    <row r="14" spans="2:15" x14ac:dyDescent="0.35">
      <c r="B14" s="205" t="s">
        <v>232</v>
      </c>
      <c r="C14" s="208">
        <v>1300000</v>
      </c>
      <c r="D14" s="206">
        <v>0</v>
      </c>
      <c r="E14" s="267">
        <f>C14*D14</f>
        <v>0</v>
      </c>
      <c r="F14" s="198"/>
      <c r="G14" s="74">
        <f>F14*E14</f>
        <v>0</v>
      </c>
      <c r="H14"/>
      <c r="I14" s="205" t="s">
        <v>232</v>
      </c>
      <c r="J14" s="208">
        <v>1300000</v>
      </c>
      <c r="K14" s="206">
        <v>0</v>
      </c>
      <c r="L14" s="267">
        <f>J14*K14</f>
        <v>0</v>
      </c>
      <c r="M14" s="198"/>
      <c r="N14" s="74">
        <f>M14*L14</f>
        <v>0</v>
      </c>
    </row>
    <row r="15" spans="2:15" x14ac:dyDescent="0.35">
      <c r="B15" s="78"/>
      <c r="C15" s="198"/>
      <c r="D15" s="198"/>
      <c r="E15" s="198"/>
      <c r="F15" s="198"/>
      <c r="G15" s="74">
        <v>0</v>
      </c>
      <c r="H15"/>
      <c r="I15" s="78"/>
      <c r="J15" s="198"/>
      <c r="K15" s="198"/>
      <c r="L15" s="198"/>
      <c r="M15" s="198"/>
      <c r="N15" s="74">
        <v>0</v>
      </c>
    </row>
    <row r="16" spans="2:15" x14ac:dyDescent="0.35">
      <c r="B16" s="78"/>
      <c r="C16" s="198"/>
      <c r="D16" s="198"/>
      <c r="E16" s="198"/>
      <c r="F16" s="198"/>
      <c r="G16" s="74">
        <v>0</v>
      </c>
      <c r="H16"/>
      <c r="I16" s="78"/>
      <c r="J16" s="198"/>
      <c r="K16" s="198"/>
      <c r="L16" s="198"/>
      <c r="M16" s="198"/>
      <c r="N16" s="74">
        <v>0</v>
      </c>
    </row>
    <row r="17" spans="2:14" x14ac:dyDescent="0.35">
      <c r="B17" s="202"/>
      <c r="C17" s="203"/>
      <c r="D17" s="203"/>
      <c r="E17" s="203"/>
      <c r="F17" s="203"/>
      <c r="G17" s="197">
        <f>SUM(G13:G15)</f>
        <v>11160000</v>
      </c>
      <c r="H17"/>
      <c r="I17" s="202"/>
      <c r="J17" s="203"/>
      <c r="K17" s="203"/>
      <c r="L17" s="203"/>
      <c r="M17" s="203"/>
      <c r="N17" s="197">
        <f>SUM(N13:N15)</f>
        <v>10080000</v>
      </c>
    </row>
    <row r="18" spans="2:14" x14ac:dyDescent="0.35">
      <c r="C18" s="95"/>
    </row>
    <row r="20" spans="2:14" x14ac:dyDescent="0.35">
      <c r="B20" s="199" t="s">
        <v>35</v>
      </c>
      <c r="C20" s="238"/>
      <c r="D20" s="238"/>
      <c r="E20" s="238"/>
      <c r="F20" s="238"/>
      <c r="G20" s="238"/>
      <c r="I20" s="199" t="s">
        <v>36</v>
      </c>
      <c r="J20" s="238"/>
      <c r="K20" s="238"/>
      <c r="L20" s="238"/>
      <c r="M20" s="238"/>
      <c r="N20" s="238"/>
    </row>
    <row r="21" spans="2:14" ht="37.5" x14ac:dyDescent="0.35">
      <c r="B21" s="254" t="s">
        <v>186</v>
      </c>
      <c r="C21" s="199" t="s">
        <v>233</v>
      </c>
      <c r="D21" s="199" t="s">
        <v>234</v>
      </c>
      <c r="E21" s="201" t="s">
        <v>180</v>
      </c>
      <c r="F21" s="201" t="s">
        <v>184</v>
      </c>
      <c r="G21" s="201" t="str">
        <f>N21</f>
        <v xml:space="preserve">Projected Monthly Revenue </v>
      </c>
      <c r="I21" s="254" t="s">
        <v>186</v>
      </c>
      <c r="J21" s="199" t="s">
        <v>233</v>
      </c>
      <c r="K21" s="199" t="s">
        <v>234</v>
      </c>
      <c r="L21" s="201" t="s">
        <v>180</v>
      </c>
      <c r="M21" s="201" t="s">
        <v>184</v>
      </c>
      <c r="N21" s="201" t="str">
        <f>N12</f>
        <v xml:space="preserve">Projected Monthly Revenue </v>
      </c>
    </row>
    <row r="22" spans="2:14" x14ac:dyDescent="0.35">
      <c r="B22" s="200" t="s">
        <v>231</v>
      </c>
      <c r="C22" s="208">
        <v>6000</v>
      </c>
      <c r="D22" s="206">
        <f>K13-K14</f>
        <v>60</v>
      </c>
      <c r="E22" s="207">
        <f>C22*D22</f>
        <v>360000</v>
      </c>
      <c r="F22" s="206">
        <v>31</v>
      </c>
      <c r="G22" s="74">
        <f>F22*E22</f>
        <v>11160000</v>
      </c>
      <c r="I22" s="200" t="s">
        <v>231</v>
      </c>
      <c r="J22" s="208">
        <v>6000</v>
      </c>
      <c r="K22" s="206">
        <f>D22-D23</f>
        <v>60</v>
      </c>
      <c r="L22" s="207">
        <f>J22*K22</f>
        <v>360000</v>
      </c>
      <c r="M22" s="206">
        <v>30</v>
      </c>
      <c r="N22" s="74">
        <f>M22*L22</f>
        <v>10800000</v>
      </c>
    </row>
    <row r="23" spans="2:14" x14ac:dyDescent="0.35">
      <c r="B23" s="205" t="s">
        <v>232</v>
      </c>
      <c r="C23" s="208">
        <v>1300000</v>
      </c>
      <c r="D23" s="206">
        <v>0</v>
      </c>
      <c r="E23" s="267">
        <f>C23*D23</f>
        <v>0</v>
      </c>
      <c r="F23" s="198"/>
      <c r="G23" s="74">
        <f>F23*E23</f>
        <v>0</v>
      </c>
      <c r="I23" s="205" t="s">
        <v>232</v>
      </c>
      <c r="J23" s="208">
        <v>1300000</v>
      </c>
      <c r="K23" s="206">
        <v>0</v>
      </c>
      <c r="L23" s="267">
        <f>J23*K23</f>
        <v>0</v>
      </c>
      <c r="M23" s="198"/>
      <c r="N23" s="74">
        <f>M23*L23</f>
        <v>0</v>
      </c>
    </row>
    <row r="24" spans="2:14" x14ac:dyDescent="0.35">
      <c r="B24" s="78"/>
      <c r="C24" s="198"/>
      <c r="D24" s="198"/>
      <c r="E24" s="198"/>
      <c r="F24" s="198"/>
      <c r="G24" s="74">
        <v>0</v>
      </c>
      <c r="I24" s="78"/>
      <c r="J24" s="198"/>
      <c r="K24" s="198"/>
      <c r="L24" s="198"/>
      <c r="M24" s="198"/>
      <c r="N24" s="74">
        <v>0</v>
      </c>
    </row>
    <row r="25" spans="2:14" x14ac:dyDescent="0.35">
      <c r="B25" s="78"/>
      <c r="C25" s="198"/>
      <c r="D25" s="198"/>
      <c r="E25" s="198"/>
      <c r="F25" s="198"/>
      <c r="G25" s="74">
        <v>0</v>
      </c>
      <c r="I25" s="78"/>
      <c r="J25" s="198"/>
      <c r="K25" s="198"/>
      <c r="L25" s="198"/>
      <c r="M25" s="198"/>
      <c r="N25" s="74">
        <v>0</v>
      </c>
    </row>
    <row r="26" spans="2:14" x14ac:dyDescent="0.35">
      <c r="B26" s="202"/>
      <c r="C26" s="203"/>
      <c r="D26" s="203"/>
      <c r="E26" s="203"/>
      <c r="F26" s="203"/>
      <c r="G26" s="197">
        <f>SUM(G22:G24)</f>
        <v>11160000</v>
      </c>
      <c r="I26" s="202"/>
      <c r="J26" s="203"/>
      <c r="K26" s="203"/>
      <c r="L26" s="203"/>
      <c r="M26" s="203"/>
      <c r="N26" s="197">
        <f>SUM(N22:N24)</f>
        <v>10800000</v>
      </c>
    </row>
    <row r="28" spans="2:14" x14ac:dyDescent="0.35">
      <c r="B28" s="199" t="s">
        <v>37</v>
      </c>
      <c r="C28" s="238"/>
      <c r="D28" s="238"/>
      <c r="E28" s="238"/>
      <c r="F28" s="238"/>
      <c r="G28" s="238"/>
      <c r="I28" s="199" t="s">
        <v>38</v>
      </c>
      <c r="J28" s="238"/>
      <c r="K28" s="238"/>
      <c r="L28" s="238"/>
      <c r="M28" s="238"/>
      <c r="N28" s="238"/>
    </row>
    <row r="29" spans="2:14" ht="37.5" x14ac:dyDescent="0.35">
      <c r="B29" s="254" t="s">
        <v>186</v>
      </c>
      <c r="C29" s="199" t="s">
        <v>233</v>
      </c>
      <c r="D29" s="199" t="s">
        <v>234</v>
      </c>
      <c r="E29" s="201" t="s">
        <v>180</v>
      </c>
      <c r="F29" s="201" t="s">
        <v>184</v>
      </c>
      <c r="G29" s="201" t="str">
        <f>G21</f>
        <v xml:space="preserve">Projected Monthly Revenue </v>
      </c>
      <c r="I29" s="254" t="s">
        <v>186</v>
      </c>
      <c r="J29" s="199" t="s">
        <v>233</v>
      </c>
      <c r="K29" s="199" t="s">
        <v>234</v>
      </c>
      <c r="L29" s="201" t="s">
        <v>180</v>
      </c>
      <c r="M29" s="201" t="s">
        <v>184</v>
      </c>
      <c r="N29" s="201" t="str">
        <f>G29</f>
        <v xml:space="preserve">Projected Monthly Revenue </v>
      </c>
    </row>
    <row r="30" spans="2:14" x14ac:dyDescent="0.35">
      <c r="B30" s="200" t="s">
        <v>231</v>
      </c>
      <c r="C30" s="208">
        <v>6000</v>
      </c>
      <c r="D30" s="206">
        <f>K22-K23</f>
        <v>60</v>
      </c>
      <c r="E30" s="207">
        <f>C30*D30</f>
        <v>360000</v>
      </c>
      <c r="F30" s="206">
        <v>31</v>
      </c>
      <c r="G30" s="74">
        <f>F30*E30</f>
        <v>11160000</v>
      </c>
      <c r="I30" s="200" t="s">
        <v>231</v>
      </c>
      <c r="J30" s="208">
        <v>6000</v>
      </c>
      <c r="K30" s="206">
        <f>D30-D31</f>
        <v>60</v>
      </c>
      <c r="L30" s="207">
        <f>J30*K30</f>
        <v>360000</v>
      </c>
      <c r="M30" s="206">
        <v>30</v>
      </c>
      <c r="N30" s="74">
        <f>M30*L30</f>
        <v>10800000</v>
      </c>
    </row>
    <row r="31" spans="2:14" x14ac:dyDescent="0.35">
      <c r="B31" s="205" t="s">
        <v>232</v>
      </c>
      <c r="C31" s="208">
        <v>1300000</v>
      </c>
      <c r="D31" s="206">
        <v>0</v>
      </c>
      <c r="E31" s="267">
        <f>C31*D31</f>
        <v>0</v>
      </c>
      <c r="F31" s="198"/>
      <c r="G31" s="74">
        <f>F31*E31</f>
        <v>0</v>
      </c>
      <c r="I31" s="205" t="s">
        <v>232</v>
      </c>
      <c r="J31" s="208">
        <v>1300000</v>
      </c>
      <c r="K31" s="206">
        <v>0</v>
      </c>
      <c r="L31" s="267">
        <f>J31*K31</f>
        <v>0</v>
      </c>
      <c r="M31" s="198"/>
      <c r="N31" s="74">
        <f>M31*L31</f>
        <v>0</v>
      </c>
    </row>
    <row r="32" spans="2:14" x14ac:dyDescent="0.35">
      <c r="B32" s="78"/>
      <c r="C32" s="198"/>
      <c r="D32" s="198"/>
      <c r="E32" s="198"/>
      <c r="F32" s="198"/>
      <c r="G32" s="74">
        <v>0</v>
      </c>
      <c r="I32" s="78"/>
      <c r="J32" s="198"/>
      <c r="K32" s="198"/>
      <c r="L32" s="198"/>
      <c r="M32" s="198"/>
      <c r="N32" s="74">
        <v>0</v>
      </c>
    </row>
    <row r="33" spans="2:14" x14ac:dyDescent="0.35">
      <c r="B33" s="78"/>
      <c r="C33" s="198"/>
      <c r="D33" s="198"/>
      <c r="E33" s="198"/>
      <c r="F33" s="198"/>
      <c r="G33" s="74">
        <v>0</v>
      </c>
      <c r="I33" s="78"/>
      <c r="J33" s="198"/>
      <c r="K33" s="198"/>
      <c r="L33" s="198"/>
      <c r="M33" s="198"/>
      <c r="N33" s="74">
        <v>0</v>
      </c>
    </row>
    <row r="34" spans="2:14" x14ac:dyDescent="0.35">
      <c r="B34" s="202"/>
      <c r="C34" s="203"/>
      <c r="D34" s="203"/>
      <c r="E34" s="203"/>
      <c r="F34" s="203"/>
      <c r="G34" s="197">
        <f>SUM(G30:G32)</f>
        <v>11160000</v>
      </c>
      <c r="I34" s="202"/>
      <c r="J34" s="203"/>
      <c r="K34" s="203"/>
      <c r="L34" s="203"/>
      <c r="M34" s="203"/>
      <c r="N34" s="197">
        <f>SUM(N30:N32)</f>
        <v>10800000</v>
      </c>
    </row>
    <row r="35" spans="2:14" s="238" customFormat="1" x14ac:dyDescent="0.35"/>
    <row r="37" spans="2:14" x14ac:dyDescent="0.35">
      <c r="B37" s="199" t="s">
        <v>39</v>
      </c>
      <c r="C37" s="238"/>
      <c r="D37" s="238"/>
      <c r="E37" s="238"/>
      <c r="F37" s="238"/>
      <c r="G37" s="238"/>
      <c r="I37" s="199" t="s">
        <v>40</v>
      </c>
      <c r="J37" s="238"/>
      <c r="K37" s="238"/>
      <c r="L37" s="238"/>
      <c r="M37" s="238"/>
      <c r="N37" s="238"/>
    </row>
    <row r="38" spans="2:14" ht="37.5" x14ac:dyDescent="0.35">
      <c r="B38" s="254" t="s">
        <v>186</v>
      </c>
      <c r="C38" s="199" t="s">
        <v>233</v>
      </c>
      <c r="D38" s="199" t="s">
        <v>234</v>
      </c>
      <c r="E38" s="201" t="s">
        <v>180</v>
      </c>
      <c r="F38" s="201" t="s">
        <v>184</v>
      </c>
      <c r="G38" s="201" t="str">
        <f>N38</f>
        <v xml:space="preserve">Projected Monthly Revenue </v>
      </c>
      <c r="I38" s="254" t="s">
        <v>186</v>
      </c>
      <c r="J38" s="199" t="s">
        <v>233</v>
      </c>
      <c r="K38" s="199" t="s">
        <v>234</v>
      </c>
      <c r="L38" s="201" t="s">
        <v>180</v>
      </c>
      <c r="M38" s="201" t="s">
        <v>184</v>
      </c>
      <c r="N38" s="201" t="str">
        <f>N29</f>
        <v xml:space="preserve">Projected Monthly Revenue </v>
      </c>
    </row>
    <row r="39" spans="2:14" x14ac:dyDescent="0.35">
      <c r="B39" s="200" t="s">
        <v>231</v>
      </c>
      <c r="C39" s="208">
        <v>6000</v>
      </c>
      <c r="D39" s="206">
        <f>K30-K31</f>
        <v>60</v>
      </c>
      <c r="E39" s="207">
        <f>C39*D39</f>
        <v>360000</v>
      </c>
      <c r="F39" s="206">
        <v>31</v>
      </c>
      <c r="G39" s="74">
        <f>F39*E39</f>
        <v>11160000</v>
      </c>
      <c r="I39" s="200" t="s">
        <v>231</v>
      </c>
      <c r="J39" s="208">
        <v>6000</v>
      </c>
      <c r="K39" s="206">
        <f>D39-D40</f>
        <v>60</v>
      </c>
      <c r="L39" s="207">
        <f>J39*K39</f>
        <v>360000</v>
      </c>
      <c r="M39" s="206">
        <v>31</v>
      </c>
      <c r="N39" s="74">
        <f>M39*L39</f>
        <v>11160000</v>
      </c>
    </row>
    <row r="40" spans="2:14" x14ac:dyDescent="0.35">
      <c r="B40" s="205" t="s">
        <v>232</v>
      </c>
      <c r="C40" s="208">
        <v>1300000</v>
      </c>
      <c r="D40" s="206">
        <v>0</v>
      </c>
      <c r="E40" s="267">
        <f>C40*D40</f>
        <v>0</v>
      </c>
      <c r="F40" s="198"/>
      <c r="G40" s="74">
        <f>F40*E40</f>
        <v>0</v>
      </c>
      <c r="I40" s="205" t="s">
        <v>232</v>
      </c>
      <c r="J40" s="208">
        <v>1300000</v>
      </c>
      <c r="K40" s="206">
        <v>0</v>
      </c>
      <c r="L40" s="267">
        <f>J40*K40</f>
        <v>0</v>
      </c>
      <c r="M40" s="198"/>
      <c r="N40" s="74">
        <f>M40*L40</f>
        <v>0</v>
      </c>
    </row>
    <row r="41" spans="2:14" x14ac:dyDescent="0.35">
      <c r="B41" s="78"/>
      <c r="C41" s="198"/>
      <c r="D41" s="198"/>
      <c r="E41" s="198"/>
      <c r="F41" s="198"/>
      <c r="G41" s="74">
        <v>0</v>
      </c>
      <c r="I41" s="78"/>
      <c r="J41" s="198"/>
      <c r="K41" s="198"/>
      <c r="L41" s="198"/>
      <c r="M41" s="198"/>
      <c r="N41" s="74">
        <v>0</v>
      </c>
    </row>
    <row r="42" spans="2:14" x14ac:dyDescent="0.35">
      <c r="B42" s="78"/>
      <c r="C42" s="198"/>
      <c r="D42" s="198"/>
      <c r="E42" s="198"/>
      <c r="F42" s="198"/>
      <c r="G42" s="74">
        <v>0</v>
      </c>
      <c r="I42" s="78"/>
      <c r="J42" s="198"/>
      <c r="K42" s="198"/>
      <c r="L42" s="198"/>
      <c r="M42" s="198"/>
      <c r="N42" s="74">
        <v>0</v>
      </c>
    </row>
    <row r="43" spans="2:14" x14ac:dyDescent="0.35">
      <c r="B43" s="202"/>
      <c r="C43" s="203"/>
      <c r="D43" s="203"/>
      <c r="E43" s="203"/>
      <c r="F43" s="203"/>
      <c r="G43" s="197">
        <f>SUM(G39:G41)</f>
        <v>11160000</v>
      </c>
      <c r="I43" s="202"/>
      <c r="J43" s="203"/>
      <c r="K43" s="203"/>
      <c r="L43" s="203"/>
      <c r="M43" s="203"/>
      <c r="N43" s="197">
        <f>SUM(N39:N41)</f>
        <v>11160000</v>
      </c>
    </row>
    <row r="46" spans="2:14" x14ac:dyDescent="0.35">
      <c r="B46" s="199" t="s">
        <v>41</v>
      </c>
      <c r="C46" s="238"/>
      <c r="D46" s="238"/>
      <c r="E46" s="238"/>
      <c r="F46" s="238"/>
      <c r="G46" s="238"/>
      <c r="I46" s="199" t="s">
        <v>42</v>
      </c>
      <c r="J46" s="238"/>
      <c r="K46" s="238"/>
      <c r="L46" s="238"/>
      <c r="M46" s="238"/>
      <c r="N46" s="238"/>
    </row>
    <row r="47" spans="2:14" ht="37.5" x14ac:dyDescent="0.35">
      <c r="B47" s="254" t="s">
        <v>186</v>
      </c>
      <c r="C47" s="199" t="s">
        <v>233</v>
      </c>
      <c r="D47" s="199" t="s">
        <v>234</v>
      </c>
      <c r="E47" s="201" t="s">
        <v>180</v>
      </c>
      <c r="F47" s="201" t="s">
        <v>184</v>
      </c>
      <c r="G47" s="201" t="str">
        <f>N47</f>
        <v xml:space="preserve">Projected Monthly Revenue </v>
      </c>
      <c r="I47" s="254" t="s">
        <v>186</v>
      </c>
      <c r="J47" s="199" t="s">
        <v>233</v>
      </c>
      <c r="K47" s="199" t="s">
        <v>234</v>
      </c>
      <c r="L47" s="201" t="s">
        <v>180</v>
      </c>
      <c r="M47" s="201" t="s">
        <v>184</v>
      </c>
      <c r="N47" s="201" t="str">
        <f>N38</f>
        <v xml:space="preserve">Projected Monthly Revenue </v>
      </c>
    </row>
    <row r="48" spans="2:14" x14ac:dyDescent="0.35">
      <c r="B48" s="200" t="s">
        <v>231</v>
      </c>
      <c r="C48" s="208">
        <v>6000</v>
      </c>
      <c r="D48" s="206">
        <f>K39-K40</f>
        <v>60</v>
      </c>
      <c r="E48" s="207">
        <f>C48*D48</f>
        <v>360000</v>
      </c>
      <c r="F48" s="206">
        <v>30</v>
      </c>
      <c r="G48" s="74">
        <f>F48*E48</f>
        <v>10800000</v>
      </c>
      <c r="I48" s="200" t="s">
        <v>231</v>
      </c>
      <c r="J48" s="208">
        <v>6000</v>
      </c>
      <c r="K48" s="206">
        <f>D48-D49</f>
        <v>60</v>
      </c>
      <c r="L48" s="207">
        <f>J48*K48</f>
        <v>360000</v>
      </c>
      <c r="M48" s="206">
        <v>31</v>
      </c>
      <c r="N48" s="74">
        <f>M48*L48</f>
        <v>11160000</v>
      </c>
    </row>
    <row r="49" spans="2:14" x14ac:dyDescent="0.35">
      <c r="B49" s="205" t="s">
        <v>232</v>
      </c>
      <c r="C49" s="208">
        <v>1300000</v>
      </c>
      <c r="D49" s="206">
        <v>0</v>
      </c>
      <c r="E49" s="267">
        <f>C49*D49</f>
        <v>0</v>
      </c>
      <c r="F49" s="198"/>
      <c r="G49" s="74">
        <f>F49*E49</f>
        <v>0</v>
      </c>
      <c r="I49" s="205" t="s">
        <v>232</v>
      </c>
      <c r="J49" s="208">
        <v>1300000</v>
      </c>
      <c r="K49" s="206">
        <v>0</v>
      </c>
      <c r="L49" s="267">
        <f>J49*K49</f>
        <v>0</v>
      </c>
      <c r="M49" s="198"/>
      <c r="N49" s="74">
        <f>M49*L49</f>
        <v>0</v>
      </c>
    </row>
    <row r="50" spans="2:14" x14ac:dyDescent="0.35">
      <c r="B50" s="78"/>
      <c r="C50" s="198"/>
      <c r="D50" s="198"/>
      <c r="E50" s="198"/>
      <c r="F50" s="198"/>
      <c r="G50" s="74">
        <v>0</v>
      </c>
      <c r="I50" s="78"/>
      <c r="J50" s="198"/>
      <c r="K50" s="198"/>
      <c r="L50" s="198"/>
      <c r="M50" s="198"/>
      <c r="N50" s="74">
        <v>0</v>
      </c>
    </row>
    <row r="51" spans="2:14" x14ac:dyDescent="0.35">
      <c r="B51" s="78"/>
      <c r="C51" s="198"/>
      <c r="D51" s="198"/>
      <c r="E51" s="198"/>
      <c r="F51" s="198"/>
      <c r="G51" s="74">
        <v>0</v>
      </c>
      <c r="I51" s="78"/>
      <c r="J51" s="198"/>
      <c r="K51" s="198"/>
      <c r="L51" s="198"/>
      <c r="M51" s="198"/>
      <c r="N51" s="74">
        <v>0</v>
      </c>
    </row>
    <row r="52" spans="2:14" x14ac:dyDescent="0.35">
      <c r="B52" s="202"/>
      <c r="C52" s="203"/>
      <c r="D52" s="203"/>
      <c r="E52" s="203"/>
      <c r="F52" s="203"/>
      <c r="G52" s="197">
        <f>SUM(G48:G50)</f>
        <v>10800000</v>
      </c>
      <c r="I52" s="202"/>
      <c r="J52" s="203"/>
      <c r="K52" s="203"/>
      <c r="L52" s="203"/>
      <c r="M52" s="203"/>
      <c r="N52" s="197">
        <f>SUM(N48:N50)</f>
        <v>11160000</v>
      </c>
    </row>
    <row r="55" spans="2:14" x14ac:dyDescent="0.35">
      <c r="B55" s="199" t="s">
        <v>43</v>
      </c>
      <c r="C55" s="238"/>
      <c r="D55" s="238"/>
      <c r="E55" s="238"/>
      <c r="F55" s="238"/>
      <c r="G55" s="238"/>
      <c r="I55" s="199" t="s">
        <v>44</v>
      </c>
      <c r="J55" s="238"/>
      <c r="K55" s="238"/>
      <c r="L55" s="238"/>
      <c r="M55" s="238"/>
      <c r="N55" s="238"/>
    </row>
    <row r="56" spans="2:14" ht="37.5" x14ac:dyDescent="0.35">
      <c r="B56" s="254" t="s">
        <v>186</v>
      </c>
      <c r="C56" s="199" t="s">
        <v>233</v>
      </c>
      <c r="D56" s="199" t="s">
        <v>234</v>
      </c>
      <c r="E56" s="201" t="s">
        <v>180</v>
      </c>
      <c r="F56" s="201" t="s">
        <v>184</v>
      </c>
      <c r="G56" s="201" t="str">
        <f>G47</f>
        <v xml:space="preserve">Projected Monthly Revenue </v>
      </c>
      <c r="I56" s="254" t="s">
        <v>186</v>
      </c>
      <c r="J56" s="199" t="s">
        <v>233</v>
      </c>
      <c r="K56" s="199" t="s">
        <v>234</v>
      </c>
      <c r="L56" s="201" t="s">
        <v>180</v>
      </c>
      <c r="M56" s="201" t="s">
        <v>184</v>
      </c>
      <c r="N56" s="201" t="str">
        <f>G56</f>
        <v xml:space="preserve">Projected Monthly Revenue </v>
      </c>
    </row>
    <row r="57" spans="2:14" x14ac:dyDescent="0.35">
      <c r="B57" s="200" t="s">
        <v>231</v>
      </c>
      <c r="C57" s="208">
        <v>6000</v>
      </c>
      <c r="D57" s="206">
        <f>K48-K49</f>
        <v>60</v>
      </c>
      <c r="E57" s="207">
        <f>C57*D57</f>
        <v>360000</v>
      </c>
      <c r="F57" s="206">
        <v>30</v>
      </c>
      <c r="G57" s="74">
        <f>F57*E57</f>
        <v>10800000</v>
      </c>
      <c r="I57" s="200" t="s">
        <v>231</v>
      </c>
      <c r="J57" s="208">
        <v>6000</v>
      </c>
      <c r="K57" s="206">
        <f>D57-D58</f>
        <v>60</v>
      </c>
      <c r="L57" s="207">
        <f>J57*K57</f>
        <v>360000</v>
      </c>
      <c r="M57" s="206">
        <v>31</v>
      </c>
      <c r="N57" s="74">
        <f>M57*L57</f>
        <v>11160000</v>
      </c>
    </row>
    <row r="58" spans="2:14" x14ac:dyDescent="0.35">
      <c r="B58" s="205" t="s">
        <v>232</v>
      </c>
      <c r="C58" s="208">
        <v>1300000</v>
      </c>
      <c r="D58" s="206">
        <v>0</v>
      </c>
      <c r="E58" s="267">
        <f>C58*D58</f>
        <v>0</v>
      </c>
      <c r="F58" s="198"/>
      <c r="G58" s="74">
        <f>F58*E58</f>
        <v>0</v>
      </c>
      <c r="I58" s="205" t="s">
        <v>232</v>
      </c>
      <c r="J58" s="208">
        <v>1300000</v>
      </c>
      <c r="K58" s="206">
        <v>0</v>
      </c>
      <c r="L58" s="267">
        <f>J58*K58</f>
        <v>0</v>
      </c>
      <c r="M58" s="198"/>
      <c r="N58" s="74">
        <f>M58*L58</f>
        <v>0</v>
      </c>
    </row>
    <row r="59" spans="2:14" x14ac:dyDescent="0.35">
      <c r="B59" s="78"/>
      <c r="C59" s="198"/>
      <c r="D59" s="198"/>
      <c r="E59" s="198"/>
      <c r="F59" s="198"/>
      <c r="G59" s="74">
        <v>0</v>
      </c>
      <c r="I59" s="78"/>
      <c r="J59" s="198"/>
      <c r="K59" s="198"/>
      <c r="L59" s="198"/>
      <c r="M59" s="198"/>
      <c r="N59" s="74">
        <v>0</v>
      </c>
    </row>
    <row r="60" spans="2:14" x14ac:dyDescent="0.35">
      <c r="B60" s="78"/>
      <c r="C60" s="198"/>
      <c r="D60" s="198"/>
      <c r="E60" s="198"/>
      <c r="F60" s="198"/>
      <c r="G60" s="74">
        <v>0</v>
      </c>
      <c r="I60" s="78"/>
      <c r="J60" s="198"/>
      <c r="K60" s="198"/>
      <c r="L60" s="198"/>
      <c r="M60" s="198"/>
      <c r="N60" s="74">
        <v>0</v>
      </c>
    </row>
    <row r="61" spans="2:14" x14ac:dyDescent="0.35">
      <c r="B61" s="202"/>
      <c r="C61" s="203"/>
      <c r="D61" s="203"/>
      <c r="E61" s="203"/>
      <c r="F61" s="203"/>
      <c r="G61" s="197">
        <f>SUM(G57:G59)</f>
        <v>10800000</v>
      </c>
      <c r="I61" s="202"/>
      <c r="J61" s="203"/>
      <c r="K61" s="203"/>
      <c r="L61" s="203"/>
      <c r="M61" s="203"/>
      <c r="N61" s="197">
        <f>SUM(N57:N59)</f>
        <v>11160000</v>
      </c>
    </row>
  </sheetData>
  <mergeCells count="1">
    <mergeCell ref="B8:N8"/>
  </mergeCells>
  <pageMargins left="0.25" right="0.25" top="0.75" bottom="0.75" header="0.3" footer="0.3"/>
  <pageSetup scale="4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I9"/>
  <sheetViews>
    <sheetView workbookViewId="0">
      <selection activeCell="D7" sqref="D7"/>
    </sheetView>
  </sheetViews>
  <sheetFormatPr defaultRowHeight="14.5" x14ac:dyDescent="0.35"/>
  <sheetData>
    <row r="2" spans="3:9" x14ac:dyDescent="0.35">
      <c r="C2" s="190" t="s">
        <v>192</v>
      </c>
    </row>
    <row r="3" spans="3:9" ht="15" thickBot="1" x14ac:dyDescent="0.4"/>
    <row r="4" spans="3:9" ht="15" thickBot="1" x14ac:dyDescent="0.4">
      <c r="C4" s="209" t="s">
        <v>191</v>
      </c>
      <c r="D4" s="210" t="s">
        <v>131</v>
      </c>
      <c r="E4" s="211" t="s">
        <v>132</v>
      </c>
      <c r="F4" s="211" t="s">
        <v>133</v>
      </c>
      <c r="G4" s="211" t="s">
        <v>134</v>
      </c>
      <c r="H4" s="211" t="s">
        <v>135</v>
      </c>
      <c r="I4" s="209" t="s">
        <v>141</v>
      </c>
    </row>
    <row r="5" spans="3:9" ht="15" thickBot="1" x14ac:dyDescent="0.4">
      <c r="C5" s="212"/>
      <c r="D5" s="213" t="s">
        <v>156</v>
      </c>
      <c r="E5" s="214" t="s">
        <v>156</v>
      </c>
      <c r="F5" s="214" t="s">
        <v>156</v>
      </c>
      <c r="G5" s="214" t="s">
        <v>156</v>
      </c>
      <c r="H5" s="214" t="s">
        <v>156</v>
      </c>
      <c r="I5" s="215" t="s">
        <v>156</v>
      </c>
    </row>
    <row r="6" spans="3:9" x14ac:dyDescent="0.35">
      <c r="C6" s="216" t="s">
        <v>143</v>
      </c>
      <c r="D6" s="217"/>
      <c r="E6" s="218">
        <f>D9</f>
        <v>60</v>
      </c>
      <c r="F6" s="218">
        <f t="shared" ref="F6:H6" si="0">E9</f>
        <v>60</v>
      </c>
      <c r="G6" s="218">
        <f t="shared" si="0"/>
        <v>60</v>
      </c>
      <c r="H6" s="218">
        <f t="shared" si="0"/>
        <v>60</v>
      </c>
      <c r="I6" s="219">
        <f>D6</f>
        <v>0</v>
      </c>
    </row>
    <row r="7" spans="3:9" x14ac:dyDescent="0.35">
      <c r="C7" s="220" t="s">
        <v>190</v>
      </c>
      <c r="D7" s="221">
        <v>60</v>
      </c>
      <c r="E7" s="174">
        <f>'[1]Facility Repayment Plan'!I12</f>
        <v>0</v>
      </c>
      <c r="F7" s="174">
        <f>'[1]Facility Repayment Plan'!N12</f>
        <v>0</v>
      </c>
      <c r="G7" s="174">
        <f>'[1]Facility Repayment Plan'!S12</f>
        <v>0</v>
      </c>
      <c r="H7" s="174">
        <f>'[1]Facility Repayment Plan'!X12</f>
        <v>0</v>
      </c>
      <c r="I7" s="222">
        <f>SUM(D7:H7)</f>
        <v>60</v>
      </c>
    </row>
    <row r="8" spans="3:9" ht="15" thickBot="1" x14ac:dyDescent="0.4">
      <c r="C8" s="223" t="s">
        <v>145</v>
      </c>
      <c r="D8" s="224"/>
      <c r="E8" s="225"/>
      <c r="F8" s="225"/>
      <c r="G8" s="225"/>
      <c r="H8" s="225"/>
      <c r="I8" s="226">
        <f>SUM(D8:H8)</f>
        <v>0</v>
      </c>
    </row>
    <row r="9" spans="3:9" ht="15" thickBot="1" x14ac:dyDescent="0.4">
      <c r="C9" s="227" t="s">
        <v>153</v>
      </c>
      <c r="D9" s="228">
        <f>D6+D7-D8</f>
        <v>60</v>
      </c>
      <c r="E9" s="229">
        <f t="shared" ref="E9:H9" si="1">E6+E7-E8</f>
        <v>60</v>
      </c>
      <c r="F9" s="229">
        <f t="shared" si="1"/>
        <v>60</v>
      </c>
      <c r="G9" s="229">
        <f t="shared" si="1"/>
        <v>60</v>
      </c>
      <c r="H9" s="229">
        <f t="shared" si="1"/>
        <v>60</v>
      </c>
      <c r="I9" s="230">
        <f>H9</f>
        <v>60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85"/>
  <sheetViews>
    <sheetView tabSelected="1" zoomScale="80" zoomScaleNormal="80" workbookViewId="0">
      <selection activeCell="G56" sqref="G56"/>
    </sheetView>
  </sheetViews>
  <sheetFormatPr defaultRowHeight="14.5" x14ac:dyDescent="0.35"/>
  <cols>
    <col min="3" max="3" width="42.81640625" customWidth="1"/>
    <col min="4" max="4" width="9.90625" bestFit="1" customWidth="1"/>
    <col min="5" max="5" width="12.81640625" bestFit="1" customWidth="1"/>
    <col min="6" max="6" width="17" bestFit="1" customWidth="1"/>
    <col min="7" max="7" width="15" bestFit="1" customWidth="1"/>
    <col min="8" max="9" width="9.90625" bestFit="1" customWidth="1"/>
    <col min="11" max="11" width="14" bestFit="1" customWidth="1"/>
  </cols>
  <sheetData>
    <row r="1" spans="3:9" s="95" customFormat="1" x14ac:dyDescent="0.35"/>
    <row r="2" spans="3:9" s="95" customFormat="1" x14ac:dyDescent="0.35"/>
    <row r="3" spans="3:9" s="238" customFormat="1" ht="15" thickBot="1" x14ac:dyDescent="0.4">
      <c r="C3" s="108" t="s">
        <v>237</v>
      </c>
      <c r="D3" s="107"/>
      <c r="E3" s="107"/>
      <c r="F3" s="107"/>
      <c r="G3" s="107"/>
      <c r="H3" s="107"/>
      <c r="I3" s="107"/>
    </row>
    <row r="4" spans="3:9" s="238" customFormat="1" ht="15" thickBot="1" x14ac:dyDescent="0.4">
      <c r="C4" s="109"/>
      <c r="D4" s="110" t="s">
        <v>131</v>
      </c>
      <c r="E4" s="111" t="s">
        <v>132</v>
      </c>
      <c r="F4" s="111" t="s">
        <v>133</v>
      </c>
      <c r="G4" s="111" t="s">
        <v>134</v>
      </c>
      <c r="H4" s="111" t="s">
        <v>135</v>
      </c>
      <c r="I4" s="112" t="s">
        <v>141</v>
      </c>
    </row>
    <row r="5" spans="3:9" s="238" customFormat="1" ht="15" thickBot="1" x14ac:dyDescent="0.4">
      <c r="C5" s="113" t="s">
        <v>142</v>
      </c>
      <c r="D5" s="114" t="s">
        <v>128</v>
      </c>
      <c r="E5" s="115" t="s">
        <v>128</v>
      </c>
      <c r="F5" s="115" t="s">
        <v>128</v>
      </c>
      <c r="G5" s="115" t="s">
        <v>128</v>
      </c>
      <c r="H5" s="115" t="s">
        <v>128</v>
      </c>
      <c r="I5" s="116" t="s">
        <v>128</v>
      </c>
    </row>
    <row r="6" spans="3:9" s="238" customFormat="1" x14ac:dyDescent="0.35">
      <c r="C6" s="117" t="s">
        <v>143</v>
      </c>
      <c r="D6" s="118"/>
      <c r="E6" s="119">
        <f>D9</f>
        <v>68647500</v>
      </c>
      <c r="F6" s="119">
        <f>E9</f>
        <v>68647500</v>
      </c>
      <c r="G6" s="119">
        <f>F9</f>
        <v>68647500</v>
      </c>
      <c r="H6" s="119">
        <f>G9</f>
        <v>68647500</v>
      </c>
      <c r="I6" s="120">
        <f>D6</f>
        <v>0</v>
      </c>
    </row>
    <row r="7" spans="3:9" s="238" customFormat="1" x14ac:dyDescent="0.35">
      <c r="C7" s="121" t="s">
        <v>144</v>
      </c>
      <c r="D7" s="118">
        <f>'FLEET INVENTORY'!D7*1144125</f>
        <v>68647500</v>
      </c>
      <c r="E7" s="118">
        <v>0</v>
      </c>
      <c r="F7" s="118">
        <f>E7</f>
        <v>0</v>
      </c>
      <c r="G7" s="118">
        <f>F7</f>
        <v>0</v>
      </c>
      <c r="H7" s="118">
        <f>G7</f>
        <v>0</v>
      </c>
      <c r="I7" s="122">
        <f>SUM(D7:H7)</f>
        <v>68647500</v>
      </c>
    </row>
    <row r="8" spans="3:9" s="238" customFormat="1" ht="15" thickBot="1" x14ac:dyDescent="0.4">
      <c r="C8" s="121" t="s">
        <v>145</v>
      </c>
      <c r="D8" s="123">
        <v>0</v>
      </c>
      <c r="E8" s="123">
        <v>0</v>
      </c>
      <c r="F8" s="123">
        <v>0</v>
      </c>
      <c r="G8" s="123">
        <v>0</v>
      </c>
      <c r="H8" s="123">
        <v>0</v>
      </c>
      <c r="I8" s="124">
        <f>SUM(D8:H8)</f>
        <v>0</v>
      </c>
    </row>
    <row r="9" spans="3:9" s="238" customFormat="1" ht="15" thickBot="1" x14ac:dyDescent="0.4">
      <c r="C9" s="125" t="s">
        <v>146</v>
      </c>
      <c r="D9" s="126">
        <f>D6+D7-D8</f>
        <v>68647500</v>
      </c>
      <c r="E9" s="127">
        <f t="shared" ref="E9:G9" si="0">E6+E7-E8</f>
        <v>68647500</v>
      </c>
      <c r="F9" s="127">
        <f t="shared" si="0"/>
        <v>68647500</v>
      </c>
      <c r="G9" s="127">
        <f t="shared" si="0"/>
        <v>68647500</v>
      </c>
      <c r="H9" s="127">
        <f>H6+H7-H8</f>
        <v>68647500</v>
      </c>
      <c r="I9" s="128">
        <f>H9</f>
        <v>68647500</v>
      </c>
    </row>
    <row r="10" spans="3:9" s="238" customFormat="1" x14ac:dyDescent="0.35"/>
    <row r="11" spans="3:9" s="238" customFormat="1" x14ac:dyDescent="0.35"/>
    <row r="12" spans="3:9" s="238" customFormat="1" x14ac:dyDescent="0.35">
      <c r="E12" s="318" t="s">
        <v>240</v>
      </c>
      <c r="F12" s="318"/>
      <c r="G12" s="318"/>
    </row>
    <row r="13" spans="3:9" s="238" customFormat="1" x14ac:dyDescent="0.35">
      <c r="E13" s="270">
        <f>'FLEET INVENTORY'!D7</f>
        <v>60</v>
      </c>
      <c r="F13" s="271">
        <v>7000</v>
      </c>
      <c r="G13" s="271">
        <f>F13*E13</f>
        <v>420000</v>
      </c>
    </row>
    <row r="14" spans="3:9" s="238" customFormat="1" x14ac:dyDescent="0.35"/>
    <row r="15" spans="3:9" s="95" customFormat="1" x14ac:dyDescent="0.35"/>
    <row r="16" spans="3:9" ht="15" thickBot="1" x14ac:dyDescent="0.4">
      <c r="C16" s="108" t="s">
        <v>23</v>
      </c>
      <c r="D16" s="107"/>
      <c r="E16" s="107"/>
      <c r="F16" s="107"/>
      <c r="G16" s="107"/>
      <c r="H16" s="107"/>
      <c r="I16" s="107"/>
    </row>
    <row r="17" spans="3:9" ht="15" thickBot="1" x14ac:dyDescent="0.4">
      <c r="C17" s="109"/>
      <c r="D17" s="110" t="s">
        <v>131</v>
      </c>
      <c r="E17" s="111" t="s">
        <v>132</v>
      </c>
      <c r="F17" s="111" t="s">
        <v>133</v>
      </c>
      <c r="G17" s="111" t="s">
        <v>134</v>
      </c>
      <c r="H17" s="111" t="s">
        <v>135</v>
      </c>
      <c r="I17" s="112" t="s">
        <v>141</v>
      </c>
    </row>
    <row r="18" spans="3:9" ht="15" thickBot="1" x14ac:dyDescent="0.4">
      <c r="C18" s="113" t="s">
        <v>142</v>
      </c>
      <c r="D18" s="114" t="s">
        <v>128</v>
      </c>
      <c r="E18" s="115" t="s">
        <v>128</v>
      </c>
      <c r="F18" s="115" t="s">
        <v>128</v>
      </c>
      <c r="G18" s="115" t="s">
        <v>128</v>
      </c>
      <c r="H18" s="115" t="s">
        <v>128</v>
      </c>
      <c r="I18" s="116" t="s">
        <v>128</v>
      </c>
    </row>
    <row r="19" spans="3:9" s="95" customFormat="1" x14ac:dyDescent="0.35">
      <c r="C19" s="117" t="s">
        <v>143</v>
      </c>
      <c r="D19" s="118"/>
      <c r="E19" s="119">
        <f>D22</f>
        <v>1000000</v>
      </c>
      <c r="F19" s="119">
        <f>E22</f>
        <v>2000000</v>
      </c>
      <c r="G19" s="119">
        <f>F22</f>
        <v>3000000</v>
      </c>
      <c r="H19" s="119">
        <f>G22</f>
        <v>4000000</v>
      </c>
      <c r="I19" s="120">
        <f>D19</f>
        <v>0</v>
      </c>
    </row>
    <row r="20" spans="3:9" s="95" customFormat="1" x14ac:dyDescent="0.35">
      <c r="C20" s="121" t="s">
        <v>144</v>
      </c>
      <c r="D20" s="118">
        <v>1000000</v>
      </c>
      <c r="E20" s="118">
        <f>D20</f>
        <v>1000000</v>
      </c>
      <c r="F20" s="118">
        <f>E20</f>
        <v>1000000</v>
      </c>
      <c r="G20" s="118">
        <f>F20</f>
        <v>1000000</v>
      </c>
      <c r="H20" s="118">
        <f>G20</f>
        <v>1000000</v>
      </c>
      <c r="I20" s="122">
        <f>SUM(D20:H20)</f>
        <v>5000000</v>
      </c>
    </row>
    <row r="21" spans="3:9" s="95" customFormat="1" ht="15" thickBot="1" x14ac:dyDescent="0.4">
      <c r="C21" s="121" t="s">
        <v>145</v>
      </c>
      <c r="D21" s="123">
        <f>'[1]Facility Repayment Plan'!D25</f>
        <v>0</v>
      </c>
      <c r="E21" s="123">
        <f>'[1]Facility Repayment Plan'!E25</f>
        <v>0</v>
      </c>
      <c r="F21" s="123">
        <f>'[1]Facility Repayment Plan'!F25</f>
        <v>0</v>
      </c>
      <c r="G21" s="123">
        <f>'[1]Facility Repayment Plan'!G25</f>
        <v>0</v>
      </c>
      <c r="H21" s="123">
        <f>'[1]Facility Repayment Plan'!H25</f>
        <v>0</v>
      </c>
      <c r="I21" s="124">
        <f>SUM(D21:H21)</f>
        <v>0</v>
      </c>
    </row>
    <row r="22" spans="3:9" s="95" customFormat="1" ht="15" thickBot="1" x14ac:dyDescent="0.4">
      <c r="C22" s="125" t="s">
        <v>146</v>
      </c>
      <c r="D22" s="126">
        <f>D19+D20-D21</f>
        <v>1000000</v>
      </c>
      <c r="E22" s="127">
        <f t="shared" ref="E22:G22" si="1">E19+E20-E21</f>
        <v>2000000</v>
      </c>
      <c r="F22" s="127">
        <f t="shared" si="1"/>
        <v>3000000</v>
      </c>
      <c r="G22" s="127">
        <f t="shared" si="1"/>
        <v>4000000</v>
      </c>
      <c r="H22" s="127">
        <f>H19+H20-H21</f>
        <v>5000000</v>
      </c>
      <c r="I22" s="128">
        <f>H22</f>
        <v>5000000</v>
      </c>
    </row>
    <row r="23" spans="3:9" s="238" customFormat="1" x14ac:dyDescent="0.35">
      <c r="C23" s="188"/>
      <c r="D23" s="189"/>
      <c r="E23" s="189"/>
      <c r="F23" s="189"/>
      <c r="G23" s="189"/>
      <c r="H23" s="189"/>
      <c r="I23" s="189"/>
    </row>
    <row r="24" spans="3:9" s="238" customFormat="1" x14ac:dyDescent="0.35">
      <c r="C24" s="188"/>
      <c r="D24" s="189"/>
      <c r="E24" s="189"/>
      <c r="F24" s="189"/>
      <c r="G24" s="189"/>
      <c r="H24" s="189"/>
      <c r="I24" s="189"/>
    </row>
    <row r="25" spans="3:9" s="238" customFormat="1" ht="15" thickBot="1" x14ac:dyDescent="0.4">
      <c r="C25" s="108" t="s">
        <v>218</v>
      </c>
      <c r="D25" s="107"/>
      <c r="E25" s="107"/>
      <c r="F25" s="107"/>
      <c r="G25" s="107"/>
      <c r="H25" s="107"/>
      <c r="I25" s="107"/>
    </row>
    <row r="26" spans="3:9" s="238" customFormat="1" ht="15" thickBot="1" x14ac:dyDescent="0.4">
      <c r="C26" s="109"/>
      <c r="D26" s="110" t="s">
        <v>131</v>
      </c>
      <c r="E26" s="111" t="s">
        <v>132</v>
      </c>
      <c r="F26" s="111" t="s">
        <v>133</v>
      </c>
      <c r="G26" s="111" t="s">
        <v>134</v>
      </c>
      <c r="H26" s="111" t="s">
        <v>135</v>
      </c>
      <c r="I26" s="112" t="s">
        <v>141</v>
      </c>
    </row>
    <row r="27" spans="3:9" s="238" customFormat="1" ht="15" thickBot="1" x14ac:dyDescent="0.4">
      <c r="C27" s="113" t="s">
        <v>142</v>
      </c>
      <c r="D27" s="114" t="s">
        <v>128</v>
      </c>
      <c r="E27" s="115" t="s">
        <v>128</v>
      </c>
      <c r="F27" s="115" t="s">
        <v>128</v>
      </c>
      <c r="G27" s="115" t="s">
        <v>128</v>
      </c>
      <c r="H27" s="115" t="s">
        <v>128</v>
      </c>
      <c r="I27" s="116" t="s">
        <v>128</v>
      </c>
    </row>
    <row r="28" spans="3:9" s="238" customFormat="1" x14ac:dyDescent="0.35">
      <c r="C28" s="117" t="s">
        <v>143</v>
      </c>
      <c r="D28" s="118"/>
      <c r="E28" s="119">
        <f>D31</f>
        <v>6000000</v>
      </c>
      <c r="F28" s="119">
        <f>E31</f>
        <v>6000000</v>
      </c>
      <c r="G28" s="119">
        <f>F31</f>
        <v>6000000</v>
      </c>
      <c r="H28" s="119">
        <f>G31</f>
        <v>6000000</v>
      </c>
      <c r="I28" s="120">
        <f>D28</f>
        <v>0</v>
      </c>
    </row>
    <row r="29" spans="3:9" s="238" customFormat="1" x14ac:dyDescent="0.35">
      <c r="C29" s="121" t="s">
        <v>144</v>
      </c>
      <c r="D29" s="118">
        <v>6000000</v>
      </c>
      <c r="E29" s="118">
        <v>0</v>
      </c>
      <c r="F29" s="118">
        <f>E29</f>
        <v>0</v>
      </c>
      <c r="G29" s="118">
        <f>F29</f>
        <v>0</v>
      </c>
      <c r="H29" s="118">
        <f>G29</f>
        <v>0</v>
      </c>
      <c r="I29" s="122">
        <f>SUM(D29:H29)</f>
        <v>6000000</v>
      </c>
    </row>
    <row r="30" spans="3:9" s="238" customFormat="1" ht="15" thickBot="1" x14ac:dyDescent="0.4">
      <c r="C30" s="121" t="s">
        <v>145</v>
      </c>
      <c r="D30" s="123">
        <f>'[1]Facility Repayment Plan'!D34</f>
        <v>0</v>
      </c>
      <c r="E30" s="123">
        <f>'[1]Facility Repayment Plan'!E34</f>
        <v>0</v>
      </c>
      <c r="F30" s="123">
        <f>'[1]Facility Repayment Plan'!F34</f>
        <v>0</v>
      </c>
      <c r="G30" s="123">
        <f>'[1]Facility Repayment Plan'!G34</f>
        <v>0</v>
      </c>
      <c r="H30" s="123">
        <f>'[1]Facility Repayment Plan'!H34</f>
        <v>0</v>
      </c>
      <c r="I30" s="124">
        <f>SUM(D30:H30)</f>
        <v>0</v>
      </c>
    </row>
    <row r="31" spans="3:9" s="238" customFormat="1" ht="15" thickBot="1" x14ac:dyDescent="0.4">
      <c r="C31" s="125" t="s">
        <v>146</v>
      </c>
      <c r="D31" s="126">
        <f>D28+D29-D30</f>
        <v>6000000</v>
      </c>
      <c r="E31" s="127">
        <f t="shared" ref="E31:G31" si="2">E28+E29-E30</f>
        <v>6000000</v>
      </c>
      <c r="F31" s="127">
        <f t="shared" si="2"/>
        <v>6000000</v>
      </c>
      <c r="G31" s="127">
        <f t="shared" si="2"/>
        <v>6000000</v>
      </c>
      <c r="H31" s="127">
        <f>H28+H29-H30</f>
        <v>6000000</v>
      </c>
      <c r="I31" s="128">
        <f>H31</f>
        <v>6000000</v>
      </c>
    </row>
    <row r="32" spans="3:9" s="238" customFormat="1" x14ac:dyDescent="0.35">
      <c r="C32" s="188"/>
      <c r="D32" s="189"/>
      <c r="E32" s="189"/>
      <c r="F32" s="189"/>
      <c r="G32" s="189"/>
      <c r="H32" s="189"/>
      <c r="I32" s="189"/>
    </row>
    <row r="33" spans="2:11" s="95" customFormat="1" x14ac:dyDescent="0.35">
      <c r="C33" s="188"/>
      <c r="D33" s="189"/>
      <c r="E33" s="189"/>
      <c r="F33" s="189"/>
      <c r="G33" s="189"/>
      <c r="H33" s="189"/>
      <c r="I33" s="189"/>
    </row>
    <row r="34" spans="2:11" x14ac:dyDescent="0.35">
      <c r="B34" s="238"/>
      <c r="C34" s="317" t="s">
        <v>265</v>
      </c>
      <c r="D34" s="317"/>
      <c r="E34" s="317"/>
      <c r="F34" s="317"/>
      <c r="G34" s="238"/>
      <c r="H34" s="238"/>
      <c r="I34" s="238"/>
      <c r="J34" s="238"/>
      <c r="K34" s="238"/>
    </row>
    <row r="35" spans="2:11" s="95" customFormat="1" x14ac:dyDescent="0.35">
      <c r="B35" s="238"/>
      <c r="C35" s="263" t="s">
        <v>247</v>
      </c>
      <c r="D35" s="263">
        <v>184</v>
      </c>
      <c r="E35" s="264">
        <v>592911</v>
      </c>
      <c r="F35" s="264">
        <f>D35*E35</f>
        <v>109095624</v>
      </c>
      <c r="G35" s="238"/>
      <c r="H35" s="238"/>
      <c r="I35" s="238"/>
      <c r="J35" s="238"/>
      <c r="K35" s="238"/>
    </row>
    <row r="36" spans="2:11" s="95" customFormat="1" ht="32.5" customHeight="1" x14ac:dyDescent="0.35">
      <c r="B36" s="238"/>
      <c r="C36" s="289" t="s">
        <v>264</v>
      </c>
      <c r="D36" s="263">
        <v>8</v>
      </c>
      <c r="E36" s="264">
        <v>5793510</v>
      </c>
      <c r="F36" s="264">
        <f>D36*E36</f>
        <v>46348080</v>
      </c>
      <c r="G36" s="238"/>
      <c r="H36" s="238"/>
      <c r="I36" s="238"/>
      <c r="J36" s="238"/>
      <c r="K36" s="238"/>
    </row>
    <row r="37" spans="2:11" s="238" customFormat="1" x14ac:dyDescent="0.35">
      <c r="C37" s="263" t="s">
        <v>248</v>
      </c>
      <c r="D37" s="263">
        <v>8</v>
      </c>
      <c r="E37" s="264">
        <v>242554.5</v>
      </c>
      <c r="F37" s="264">
        <f t="shared" ref="F37:F52" si="3">D37*E37</f>
        <v>1940436</v>
      </c>
    </row>
    <row r="38" spans="2:11" s="238" customFormat="1" x14ac:dyDescent="0.35">
      <c r="C38" s="263" t="s">
        <v>249</v>
      </c>
      <c r="D38" s="263">
        <v>10</v>
      </c>
      <c r="E38" s="264">
        <v>80936.25</v>
      </c>
      <c r="F38" s="264">
        <f t="shared" si="3"/>
        <v>809362.5</v>
      </c>
    </row>
    <row r="39" spans="2:11" s="238" customFormat="1" x14ac:dyDescent="0.35">
      <c r="C39" s="263" t="s">
        <v>250</v>
      </c>
      <c r="D39" s="263">
        <v>60</v>
      </c>
      <c r="E39" s="264">
        <v>83733</v>
      </c>
      <c r="F39" s="264">
        <f t="shared" si="3"/>
        <v>5023980</v>
      </c>
    </row>
    <row r="40" spans="2:11" s="238" customFormat="1" x14ac:dyDescent="0.35">
      <c r="C40" s="263" t="s">
        <v>251</v>
      </c>
      <c r="D40" s="263">
        <v>60</v>
      </c>
      <c r="E40" s="264">
        <v>1695</v>
      </c>
      <c r="F40" s="264">
        <f t="shared" si="3"/>
        <v>101700</v>
      </c>
    </row>
    <row r="41" spans="2:11" s="238" customFormat="1" x14ac:dyDescent="0.35">
      <c r="C41" s="263" t="s">
        <v>252</v>
      </c>
      <c r="D41" s="263">
        <v>8</v>
      </c>
      <c r="E41" s="264">
        <v>19763.7</v>
      </c>
      <c r="F41" s="264">
        <f t="shared" si="3"/>
        <v>158109.6</v>
      </c>
    </row>
    <row r="42" spans="2:11" s="238" customFormat="1" x14ac:dyDescent="0.35">
      <c r="C42" s="263" t="s">
        <v>253</v>
      </c>
      <c r="D42" s="263">
        <v>8</v>
      </c>
      <c r="E42" s="264">
        <v>12051.45</v>
      </c>
      <c r="F42" s="264">
        <f t="shared" si="3"/>
        <v>96411.6</v>
      </c>
    </row>
    <row r="43" spans="2:11" s="238" customFormat="1" x14ac:dyDescent="0.35">
      <c r="C43" s="263" t="s">
        <v>254</v>
      </c>
      <c r="D43" s="263">
        <v>8</v>
      </c>
      <c r="E43" s="264">
        <v>10661.55</v>
      </c>
      <c r="F43" s="264">
        <f t="shared" si="3"/>
        <v>85292.4</v>
      </c>
    </row>
    <row r="44" spans="2:11" s="238" customFormat="1" x14ac:dyDescent="0.35">
      <c r="C44" s="263" t="s">
        <v>255</v>
      </c>
      <c r="D44" s="263">
        <v>1</v>
      </c>
      <c r="E44" s="264">
        <v>245775</v>
      </c>
      <c r="F44" s="264">
        <f t="shared" si="3"/>
        <v>245775</v>
      </c>
    </row>
    <row r="45" spans="2:11" s="238" customFormat="1" x14ac:dyDescent="0.35">
      <c r="C45" s="263" t="s">
        <v>256</v>
      </c>
      <c r="D45" s="263">
        <v>10</v>
      </c>
      <c r="E45" s="264">
        <v>210000</v>
      </c>
      <c r="F45" s="264">
        <f t="shared" si="3"/>
        <v>2100000</v>
      </c>
      <c r="G45" s="293"/>
    </row>
    <row r="46" spans="2:11" s="238" customFormat="1" x14ac:dyDescent="0.35">
      <c r="C46" s="263" t="s">
        <v>257</v>
      </c>
      <c r="D46" s="263">
        <v>5</v>
      </c>
      <c r="E46" s="264">
        <v>75000</v>
      </c>
      <c r="F46" s="264">
        <f t="shared" si="3"/>
        <v>375000</v>
      </c>
    </row>
    <row r="47" spans="2:11" s="238" customFormat="1" x14ac:dyDescent="0.35">
      <c r="C47" s="263" t="s">
        <v>258</v>
      </c>
      <c r="D47" s="263">
        <v>10</v>
      </c>
      <c r="E47" s="264">
        <v>8000</v>
      </c>
      <c r="F47" s="264">
        <f t="shared" si="3"/>
        <v>80000</v>
      </c>
    </row>
    <row r="48" spans="2:11" s="238" customFormat="1" x14ac:dyDescent="0.35">
      <c r="C48" s="263" t="s">
        <v>259</v>
      </c>
      <c r="D48" s="263">
        <v>5</v>
      </c>
      <c r="E48" s="264">
        <v>12000</v>
      </c>
      <c r="F48" s="264">
        <f t="shared" si="3"/>
        <v>60000</v>
      </c>
    </row>
    <row r="49" spans="2:11" s="238" customFormat="1" x14ac:dyDescent="0.35">
      <c r="C49" s="263" t="s">
        <v>260</v>
      </c>
      <c r="D49" s="263">
        <v>50</v>
      </c>
      <c r="E49" s="264">
        <v>4500</v>
      </c>
      <c r="F49" s="264">
        <f t="shared" si="3"/>
        <v>225000</v>
      </c>
    </row>
    <row r="50" spans="2:11" s="238" customFormat="1" x14ac:dyDescent="0.35">
      <c r="C50" s="263" t="s">
        <v>261</v>
      </c>
      <c r="D50" s="263">
        <v>10</v>
      </c>
      <c r="E50" s="264">
        <v>4000</v>
      </c>
      <c r="F50" s="264">
        <f t="shared" si="3"/>
        <v>40000</v>
      </c>
    </row>
    <row r="51" spans="2:11" s="238" customFormat="1" x14ac:dyDescent="0.35">
      <c r="C51" s="263" t="s">
        <v>262</v>
      </c>
      <c r="D51" s="263">
        <v>1</v>
      </c>
      <c r="E51" s="264">
        <v>20000</v>
      </c>
      <c r="F51" s="264">
        <f t="shared" si="3"/>
        <v>20000</v>
      </c>
    </row>
    <row r="52" spans="2:11" s="238" customFormat="1" x14ac:dyDescent="0.35">
      <c r="C52" s="263" t="s">
        <v>263</v>
      </c>
      <c r="D52" s="263">
        <v>5</v>
      </c>
      <c r="E52" s="264">
        <v>20000</v>
      </c>
      <c r="F52" s="264">
        <f t="shared" si="3"/>
        <v>100000</v>
      </c>
    </row>
    <row r="53" spans="2:11" s="238" customFormat="1" x14ac:dyDescent="0.35">
      <c r="C53" s="263"/>
      <c r="D53" s="290"/>
      <c r="E53" s="291">
        <v>0</v>
      </c>
      <c r="F53" s="264"/>
    </row>
    <row r="54" spans="2:11" s="238" customFormat="1" x14ac:dyDescent="0.35">
      <c r="C54" s="263"/>
      <c r="D54" s="263"/>
      <c r="E54" s="264"/>
      <c r="F54" s="264"/>
    </row>
    <row r="55" spans="2:11" s="95" customFormat="1" x14ac:dyDescent="0.35">
      <c r="B55" s="238"/>
      <c r="C55" s="317" t="s">
        <v>266</v>
      </c>
      <c r="D55" s="317"/>
      <c r="E55" s="317"/>
      <c r="F55" s="265">
        <f>SUM(F35:F54)</f>
        <v>166904771.09999999</v>
      </c>
      <c r="G55" s="288"/>
      <c r="H55" s="238"/>
      <c r="I55" s="238"/>
      <c r="J55" s="238"/>
      <c r="K55" s="238"/>
    </row>
    <row r="56" spans="2:11" s="95" customFormat="1" x14ac:dyDescent="0.35">
      <c r="B56" s="238"/>
      <c r="C56" s="238"/>
      <c r="D56" s="238"/>
      <c r="E56" s="238"/>
      <c r="F56" s="238"/>
      <c r="G56" s="107"/>
      <c r="H56" s="238"/>
      <c r="I56" s="238"/>
      <c r="J56" s="238"/>
      <c r="K56" s="238"/>
    </row>
    <row r="57" spans="2:11" s="95" customFormat="1" x14ac:dyDescent="0.35">
      <c r="G57" s="107"/>
    </row>
    <row r="59" spans="2:11" ht="15" thickBot="1" x14ac:dyDescent="0.4">
      <c r="C59" s="292" t="s">
        <v>267</v>
      </c>
    </row>
    <row r="60" spans="2:11" ht="15" thickBot="1" x14ac:dyDescent="0.4">
      <c r="C60" s="109"/>
      <c r="D60" s="110" t="s">
        <v>131</v>
      </c>
      <c r="E60" s="111" t="s">
        <v>132</v>
      </c>
      <c r="F60" s="111" t="s">
        <v>133</v>
      </c>
      <c r="G60" s="111" t="s">
        <v>134</v>
      </c>
      <c r="H60" s="111" t="s">
        <v>135</v>
      </c>
      <c r="I60" s="112" t="s">
        <v>141</v>
      </c>
    </row>
    <row r="61" spans="2:11" ht="15" thickBot="1" x14ac:dyDescent="0.4">
      <c r="C61" s="113" t="s">
        <v>142</v>
      </c>
      <c r="D61" s="114" t="s">
        <v>128</v>
      </c>
      <c r="E61" s="115" t="s">
        <v>128</v>
      </c>
      <c r="F61" s="115" t="s">
        <v>128</v>
      </c>
      <c r="G61" s="115" t="s">
        <v>128</v>
      </c>
      <c r="H61" s="115" t="s">
        <v>128</v>
      </c>
      <c r="I61" s="116" t="s">
        <v>128</v>
      </c>
    </row>
    <row r="62" spans="2:11" x14ac:dyDescent="0.35">
      <c r="C62" s="117" t="s">
        <v>143</v>
      </c>
      <c r="D62" s="118"/>
      <c r="E62" s="119">
        <f>D65</f>
        <v>166904771.09999999</v>
      </c>
      <c r="F62" s="119">
        <f>E65</f>
        <v>166904771.09999999</v>
      </c>
      <c r="G62" s="119">
        <f>F65</f>
        <v>166904771.09999999</v>
      </c>
      <c r="H62" s="119">
        <f>G65</f>
        <v>166904771.09999999</v>
      </c>
      <c r="I62" s="120">
        <f>D62</f>
        <v>0</v>
      </c>
    </row>
    <row r="63" spans="2:11" x14ac:dyDescent="0.35">
      <c r="C63" s="121" t="s">
        <v>144</v>
      </c>
      <c r="D63" s="118">
        <f>SUM(F35:F52)</f>
        <v>166904771.09999999</v>
      </c>
      <c r="E63" s="118">
        <v>0</v>
      </c>
      <c r="F63" s="118">
        <v>0</v>
      </c>
      <c r="G63" s="118">
        <v>0</v>
      </c>
      <c r="H63" s="118">
        <v>0</v>
      </c>
      <c r="I63" s="122">
        <f>SUM(D63:H63)</f>
        <v>166904771.09999999</v>
      </c>
    </row>
    <row r="64" spans="2:11" ht="15" thickBot="1" x14ac:dyDescent="0.4">
      <c r="C64" s="121" t="s">
        <v>145</v>
      </c>
      <c r="D64" s="123">
        <f>'[1]Facility Repayment Plan'!D54</f>
        <v>0</v>
      </c>
      <c r="E64" s="123">
        <f>'[1]Facility Repayment Plan'!E54</f>
        <v>0</v>
      </c>
      <c r="F64" s="123">
        <v>0</v>
      </c>
      <c r="G64" s="123">
        <f>'[1]Facility Repayment Plan'!G54</f>
        <v>0</v>
      </c>
      <c r="H64" s="123">
        <f>F63</f>
        <v>0</v>
      </c>
      <c r="I64" s="124">
        <f>SUM(D64:H64)</f>
        <v>0</v>
      </c>
    </row>
    <row r="65" spans="3:9" ht="15" thickBot="1" x14ac:dyDescent="0.4">
      <c r="C65" s="125" t="s">
        <v>146</v>
      </c>
      <c r="D65" s="126">
        <f>D62+D63-D64</f>
        <v>166904771.09999999</v>
      </c>
      <c r="E65" s="127">
        <f t="shared" ref="E65:G65" si="4">E62+E63-E64</f>
        <v>166904771.09999999</v>
      </c>
      <c r="F65" s="127">
        <f t="shared" si="4"/>
        <v>166904771.09999999</v>
      </c>
      <c r="G65" s="127">
        <f t="shared" si="4"/>
        <v>166904771.09999999</v>
      </c>
      <c r="H65" s="127">
        <f>H62+H63-H64</f>
        <v>166904771.09999999</v>
      </c>
      <c r="I65" s="128">
        <f>H65</f>
        <v>166904771.09999999</v>
      </c>
    </row>
    <row r="66" spans="3:9" x14ac:dyDescent="0.35">
      <c r="C66" s="108"/>
      <c r="D66" s="107"/>
      <c r="E66" s="107"/>
      <c r="F66" s="107"/>
      <c r="G66" s="107"/>
      <c r="H66" s="107"/>
      <c r="I66" s="107"/>
    </row>
    <row r="67" spans="3:9" ht="16.5" x14ac:dyDescent="0.55000000000000004">
      <c r="C67" s="129" t="s">
        <v>147</v>
      </c>
      <c r="D67" s="130"/>
      <c r="E67" s="130"/>
      <c r="F67" s="130"/>
      <c r="G67" s="130"/>
      <c r="H67" s="130"/>
      <c r="I67" s="131"/>
    </row>
    <row r="68" spans="3:9" x14ac:dyDescent="0.35">
      <c r="C68" s="132" t="s">
        <v>127</v>
      </c>
      <c r="D68" s="133">
        <v>0.1</v>
      </c>
      <c r="E68" s="133">
        <f>D68</f>
        <v>0.1</v>
      </c>
      <c r="F68" s="133">
        <f t="shared" ref="F68" si="5">E68</f>
        <v>0.1</v>
      </c>
      <c r="G68" s="133">
        <f t="shared" ref="G68" si="6">F68</f>
        <v>0.1</v>
      </c>
      <c r="H68" s="133">
        <f t="shared" ref="H68" si="7">G68</f>
        <v>0.1</v>
      </c>
      <c r="I68" s="131"/>
    </row>
    <row r="69" spans="3:9" x14ac:dyDescent="0.35">
      <c r="C69" s="132"/>
      <c r="D69" s="134" t="s">
        <v>128</v>
      </c>
      <c r="E69" s="134" t="s">
        <v>128</v>
      </c>
      <c r="F69" s="134" t="s">
        <v>128</v>
      </c>
      <c r="G69" s="134" t="s">
        <v>128</v>
      </c>
      <c r="H69" s="134" t="s">
        <v>128</v>
      </c>
      <c r="I69" s="131"/>
    </row>
    <row r="70" spans="3:9" x14ac:dyDescent="0.35">
      <c r="C70" s="135" t="s">
        <v>148</v>
      </c>
      <c r="D70" s="136"/>
      <c r="E70" s="136">
        <f>D73</f>
        <v>16690477.109999999</v>
      </c>
      <c r="F70" s="136">
        <f t="shared" ref="F70" si="8">E73</f>
        <v>33380954.219999999</v>
      </c>
      <c r="G70" s="136">
        <f t="shared" ref="G70" si="9">F73</f>
        <v>50071431.329999998</v>
      </c>
      <c r="H70" s="136">
        <f t="shared" ref="H70" si="10">G73</f>
        <v>66761908.439999998</v>
      </c>
      <c r="I70" s="136">
        <f>D70</f>
        <v>0</v>
      </c>
    </row>
    <row r="71" spans="3:9" x14ac:dyDescent="0.35">
      <c r="C71" s="135" t="s">
        <v>149</v>
      </c>
      <c r="D71" s="136">
        <f>D68*D65</f>
        <v>16690477.109999999</v>
      </c>
      <c r="E71" s="136">
        <f t="shared" ref="E71:H71" si="11">E68*E65</f>
        <v>16690477.109999999</v>
      </c>
      <c r="F71" s="136">
        <f>F68*F65</f>
        <v>16690477.109999999</v>
      </c>
      <c r="G71" s="136">
        <f t="shared" si="11"/>
        <v>16690477.109999999</v>
      </c>
      <c r="H71" s="136">
        <f t="shared" si="11"/>
        <v>16690477.109999999</v>
      </c>
      <c r="I71" s="136">
        <f>SUM(D71:H71)</f>
        <v>83452385.549999997</v>
      </c>
    </row>
    <row r="72" spans="3:9" x14ac:dyDescent="0.35">
      <c r="C72" s="135" t="s">
        <v>145</v>
      </c>
      <c r="D72" s="136"/>
      <c r="E72" s="136"/>
      <c r="F72" s="136"/>
      <c r="G72" s="136"/>
      <c r="H72" s="136"/>
      <c r="I72" s="136">
        <f>SUM(D72:H72)</f>
        <v>0</v>
      </c>
    </row>
    <row r="73" spans="3:9" x14ac:dyDescent="0.35">
      <c r="C73" s="135" t="s">
        <v>150</v>
      </c>
      <c r="D73" s="136">
        <f>D70+D71-D72</f>
        <v>16690477.109999999</v>
      </c>
      <c r="E73" s="136">
        <f>E70+E71-E72</f>
        <v>33380954.219999999</v>
      </c>
      <c r="F73" s="136">
        <f t="shared" ref="F73" si="12">F70+F71-F72</f>
        <v>50071431.329999998</v>
      </c>
      <c r="G73" s="136">
        <f>G70+G71-G72</f>
        <v>66761908.439999998</v>
      </c>
      <c r="H73" s="136">
        <f t="shared" ref="H73" si="13">H70+H71-H72</f>
        <v>83452385.549999997</v>
      </c>
      <c r="I73" s="136">
        <f>H73</f>
        <v>83452385.549999997</v>
      </c>
    </row>
    <row r="74" spans="3:9" x14ac:dyDescent="0.35">
      <c r="C74" s="108"/>
      <c r="D74" s="137"/>
      <c r="E74" s="137"/>
      <c r="F74" s="137"/>
      <c r="G74" s="137"/>
      <c r="H74" s="137"/>
      <c r="I74" s="107"/>
    </row>
    <row r="75" spans="3:9" x14ac:dyDescent="0.35">
      <c r="C75" s="132" t="s">
        <v>151</v>
      </c>
      <c r="D75" s="134" t="s">
        <v>128</v>
      </c>
      <c r="E75" s="134" t="s">
        <v>128</v>
      </c>
      <c r="F75" s="134" t="s">
        <v>128</v>
      </c>
      <c r="G75" s="134" t="s">
        <v>128</v>
      </c>
      <c r="H75" s="134" t="s">
        <v>128</v>
      </c>
      <c r="I75" s="131"/>
    </row>
    <row r="76" spans="3:9" x14ac:dyDescent="0.35">
      <c r="C76" s="135" t="s">
        <v>152</v>
      </c>
      <c r="D76" s="138">
        <f>D62-D70</f>
        <v>0</v>
      </c>
      <c r="E76" s="138">
        <f>E62-E70</f>
        <v>150214293.99000001</v>
      </c>
      <c r="F76" s="138">
        <f t="shared" ref="F76:H76" si="14">F62-F70</f>
        <v>133523816.88</v>
      </c>
      <c r="G76" s="138">
        <f t="shared" si="14"/>
        <v>116833339.77</v>
      </c>
      <c r="H76" s="138">
        <f t="shared" si="14"/>
        <v>100142862.66</v>
      </c>
      <c r="I76" s="138"/>
    </row>
    <row r="77" spans="3:9" x14ac:dyDescent="0.35">
      <c r="C77" s="135" t="s">
        <v>153</v>
      </c>
      <c r="D77" s="139">
        <f>D65-D73</f>
        <v>150214293.99000001</v>
      </c>
      <c r="E77" s="139">
        <f>E65-E73</f>
        <v>133523816.88</v>
      </c>
      <c r="F77" s="139">
        <f t="shared" ref="F77:H77" si="15">F65-F73</f>
        <v>116833339.77</v>
      </c>
      <c r="G77" s="139">
        <f t="shared" si="15"/>
        <v>100142862.66</v>
      </c>
      <c r="H77" s="139">
        <f t="shared" si="15"/>
        <v>83452385.549999997</v>
      </c>
      <c r="I77" s="140"/>
    </row>
    <row r="79" spans="3:9" ht="15" thickBot="1" x14ac:dyDescent="0.4">
      <c r="C79" t="s">
        <v>271</v>
      </c>
    </row>
    <row r="80" spans="3:9" ht="15" thickBot="1" x14ac:dyDescent="0.4">
      <c r="C80" s="109"/>
      <c r="D80" s="110" t="s">
        <v>131</v>
      </c>
      <c r="E80" s="111" t="s">
        <v>132</v>
      </c>
      <c r="F80" s="111" t="s">
        <v>133</v>
      </c>
      <c r="G80" s="111" t="s">
        <v>134</v>
      </c>
      <c r="H80" s="111" t="s">
        <v>135</v>
      </c>
      <c r="I80" s="112" t="s">
        <v>141</v>
      </c>
    </row>
    <row r="81" spans="3:9" ht="15" thickBot="1" x14ac:dyDescent="0.4">
      <c r="C81" s="113" t="s">
        <v>142</v>
      </c>
      <c r="D81" s="114" t="s">
        <v>128</v>
      </c>
      <c r="E81" s="115" t="s">
        <v>128</v>
      </c>
      <c r="F81" s="115" t="s">
        <v>128</v>
      </c>
      <c r="G81" s="115" t="s">
        <v>128</v>
      </c>
      <c r="H81" s="115" t="s">
        <v>128</v>
      </c>
      <c r="I81" s="116" t="s">
        <v>128</v>
      </c>
    </row>
    <row r="82" spans="3:9" x14ac:dyDescent="0.35">
      <c r="C82" s="117" t="s">
        <v>143</v>
      </c>
      <c r="D82" s="118"/>
      <c r="E82" s="119">
        <f>D85</f>
        <v>2600000</v>
      </c>
      <c r="F82" s="119">
        <f>E85</f>
        <v>2600000</v>
      </c>
      <c r="G82" s="119">
        <f>F85</f>
        <v>2600000</v>
      </c>
      <c r="H82" s="119">
        <f>G85</f>
        <v>2600000</v>
      </c>
      <c r="I82" s="120">
        <f>D82</f>
        <v>0</v>
      </c>
    </row>
    <row r="83" spans="3:9" x14ac:dyDescent="0.35">
      <c r="C83" s="121" t="s">
        <v>144</v>
      </c>
      <c r="D83" s="118">
        <f>1300000+1300000</f>
        <v>2600000</v>
      </c>
      <c r="E83" s="118">
        <v>0</v>
      </c>
      <c r="F83" s="118">
        <v>0</v>
      </c>
      <c r="G83" s="118">
        <v>0</v>
      </c>
      <c r="H83" s="118">
        <v>0</v>
      </c>
      <c r="I83" s="122">
        <f>SUM(D83:H83)</f>
        <v>2600000</v>
      </c>
    </row>
    <row r="84" spans="3:9" ht="15" thickBot="1" x14ac:dyDescent="0.4">
      <c r="C84" s="121" t="s">
        <v>145</v>
      </c>
      <c r="D84" s="123">
        <f>'[1]Facility Repayment Plan'!D74</f>
        <v>0</v>
      </c>
      <c r="E84" s="123">
        <f>'[1]Facility Repayment Plan'!E74</f>
        <v>0</v>
      </c>
      <c r="F84" s="123">
        <v>0</v>
      </c>
      <c r="G84" s="123">
        <f>'[1]Facility Repayment Plan'!G74</f>
        <v>0</v>
      </c>
      <c r="H84" s="123">
        <f>F83</f>
        <v>0</v>
      </c>
      <c r="I84" s="124">
        <f>SUM(D84:H84)</f>
        <v>0</v>
      </c>
    </row>
    <row r="85" spans="3:9" ht="15" thickBot="1" x14ac:dyDescent="0.4">
      <c r="C85" s="125" t="s">
        <v>146</v>
      </c>
      <c r="D85" s="126">
        <f>D82+D83-D84</f>
        <v>2600000</v>
      </c>
      <c r="E85" s="127">
        <f t="shared" ref="E85:G85" si="16">E82+E83-E84</f>
        <v>2600000</v>
      </c>
      <c r="F85" s="127">
        <f t="shared" si="16"/>
        <v>2600000</v>
      </c>
      <c r="G85" s="127">
        <f t="shared" si="16"/>
        <v>2600000</v>
      </c>
      <c r="H85" s="127">
        <f>H82+H83-H84</f>
        <v>2600000</v>
      </c>
      <c r="I85" s="128">
        <f>H85</f>
        <v>2600000</v>
      </c>
    </row>
  </sheetData>
  <mergeCells count="3">
    <mergeCell ref="C34:F34"/>
    <mergeCell ref="C55:E55"/>
    <mergeCell ref="E12:G12"/>
  </mergeCells>
  <pageMargins left="0.25" right="0.25" top="0.75" bottom="0.75" header="0.3" footer="0.3"/>
  <pageSetup scale="5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59"/>
  <sheetViews>
    <sheetView zoomScale="50" zoomScaleNormal="50" workbookViewId="0">
      <selection activeCell="G52" sqref="G52"/>
    </sheetView>
  </sheetViews>
  <sheetFormatPr defaultRowHeight="12" x14ac:dyDescent="0.3"/>
  <cols>
    <col min="1" max="1" width="8.7265625" style="144"/>
    <col min="2" max="2" width="75.90625" style="144" bestFit="1" customWidth="1"/>
    <col min="3" max="3" width="7.1796875" style="144" bestFit="1" customWidth="1"/>
    <col min="4" max="4" width="19.90625" style="144" bestFit="1" customWidth="1"/>
    <col min="5" max="5" width="21.36328125" style="144" bestFit="1" customWidth="1"/>
    <col min="6" max="6" width="19.36328125" style="144" bestFit="1" customWidth="1"/>
    <col min="7" max="7" width="24.26953125" style="144" bestFit="1" customWidth="1"/>
    <col min="8" max="8" width="21.54296875" style="144" bestFit="1" customWidth="1"/>
    <col min="9" max="9" width="20.81640625" style="144" bestFit="1" customWidth="1"/>
    <col min="10" max="10" width="17.54296875" style="144" bestFit="1" customWidth="1"/>
    <col min="11" max="16384" width="8.7265625" style="144"/>
  </cols>
  <sheetData>
    <row r="2" spans="1:11" x14ac:dyDescent="0.3">
      <c r="A2" s="141"/>
      <c r="B2" s="142" t="s">
        <v>154</v>
      </c>
      <c r="C2" s="142"/>
      <c r="D2" s="141"/>
      <c r="E2" s="141"/>
      <c r="F2" s="141"/>
      <c r="G2" s="141"/>
      <c r="H2" s="141"/>
      <c r="I2" s="141"/>
      <c r="J2" s="143"/>
      <c r="K2" s="141"/>
    </row>
    <row r="3" spans="1:11" x14ac:dyDescent="0.3">
      <c r="A3" s="143"/>
      <c r="B3" s="145" t="s">
        <v>155</v>
      </c>
      <c r="C3" s="145"/>
      <c r="D3" s="146" t="s">
        <v>156</v>
      </c>
      <c r="E3" s="146" t="s">
        <v>157</v>
      </c>
      <c r="F3" s="146" t="s">
        <v>158</v>
      </c>
      <c r="G3" s="146" t="s">
        <v>159</v>
      </c>
      <c r="H3" s="146" t="s">
        <v>160</v>
      </c>
      <c r="I3" s="146" t="s">
        <v>161</v>
      </c>
      <c r="J3" s="143"/>
      <c r="K3" s="143"/>
    </row>
    <row r="4" spans="1:11" x14ac:dyDescent="0.3">
      <c r="A4" s="141"/>
      <c r="B4" s="145"/>
      <c r="C4" s="145"/>
      <c r="D4" s="147"/>
      <c r="E4" s="147"/>
      <c r="F4" s="147"/>
      <c r="G4" s="147" t="s">
        <v>128</v>
      </c>
      <c r="H4" s="147" t="s">
        <v>128</v>
      </c>
      <c r="I4" s="147" t="s">
        <v>128</v>
      </c>
      <c r="J4" s="143"/>
      <c r="K4" s="141"/>
    </row>
    <row r="5" spans="1:11" x14ac:dyDescent="0.3">
      <c r="A5" s="141"/>
      <c r="B5" s="145"/>
      <c r="C5" s="145"/>
      <c r="D5" s="147"/>
      <c r="E5" s="147"/>
      <c r="F5" s="147"/>
      <c r="G5" s="147"/>
      <c r="H5" s="147"/>
      <c r="I5" s="147"/>
      <c r="J5" s="143"/>
      <c r="K5" s="141"/>
    </row>
    <row r="6" spans="1:11" x14ac:dyDescent="0.3">
      <c r="A6" s="141"/>
      <c r="B6" s="145"/>
      <c r="C6" s="145"/>
      <c r="D6" s="147"/>
      <c r="E6" s="147"/>
      <c r="F6" s="147"/>
      <c r="G6" s="147"/>
      <c r="H6" s="147"/>
      <c r="I6" s="147"/>
      <c r="J6" s="143"/>
      <c r="K6" s="141"/>
    </row>
    <row r="7" spans="1:11" x14ac:dyDescent="0.3">
      <c r="A7" s="141"/>
      <c r="B7" s="145"/>
      <c r="C7" s="145"/>
      <c r="D7" s="147"/>
      <c r="E7" s="147"/>
      <c r="F7" s="147"/>
      <c r="G7" s="147"/>
      <c r="H7" s="147"/>
      <c r="I7" s="147"/>
      <c r="J7" s="143"/>
      <c r="K7" s="141"/>
    </row>
    <row r="8" spans="1:11" x14ac:dyDescent="0.3">
      <c r="A8" s="141"/>
      <c r="B8" s="145" t="s">
        <v>229</v>
      </c>
      <c r="C8" s="145"/>
      <c r="D8" s="147"/>
      <c r="E8" s="147"/>
      <c r="F8" s="147"/>
      <c r="G8" s="147"/>
      <c r="H8" s="147"/>
      <c r="I8" s="147"/>
      <c r="J8" s="143"/>
      <c r="K8" s="141"/>
    </row>
    <row r="9" spans="1:11" ht="12.5" thickBot="1" x14ac:dyDescent="0.35">
      <c r="A9" s="141"/>
      <c r="B9" s="148" t="s">
        <v>162</v>
      </c>
      <c r="C9" s="148"/>
      <c r="D9" s="149">
        <v>0</v>
      </c>
      <c r="E9" s="149">
        <v>0</v>
      </c>
      <c r="F9" s="149">
        <f>D9*E9</f>
        <v>0</v>
      </c>
      <c r="G9" s="150">
        <v>0</v>
      </c>
      <c r="H9" s="150">
        <f>G9*F9</f>
        <v>0</v>
      </c>
      <c r="I9" s="149">
        <f>H9*12</f>
        <v>0</v>
      </c>
      <c r="J9" s="143"/>
      <c r="K9" s="141"/>
    </row>
    <row r="10" spans="1:11" s="159" customFormat="1" ht="12.5" thickBot="1" x14ac:dyDescent="0.35">
      <c r="A10" s="151"/>
      <c r="B10" s="152" t="s">
        <v>163</v>
      </c>
      <c r="C10" s="153"/>
      <c r="D10" s="154"/>
      <c r="E10" s="154"/>
      <c r="F10" s="154"/>
      <c r="G10" s="155"/>
      <c r="H10" s="156"/>
      <c r="I10" s="157">
        <f>SUM(I9:I9)</f>
        <v>0</v>
      </c>
      <c r="J10" s="158"/>
      <c r="K10" s="151"/>
    </row>
    <row r="11" spans="1:11" x14ac:dyDescent="0.3">
      <c r="A11" s="141"/>
      <c r="B11" s="160"/>
      <c r="C11" s="160"/>
      <c r="D11" s="161"/>
      <c r="E11" s="161"/>
      <c r="F11" s="161"/>
      <c r="G11" s="162"/>
      <c r="H11" s="162"/>
      <c r="I11" s="161"/>
      <c r="J11" s="143"/>
      <c r="K11" s="141"/>
    </row>
    <row r="12" spans="1:11" x14ac:dyDescent="0.3">
      <c r="A12" s="141"/>
      <c r="B12" s="266" t="s">
        <v>224</v>
      </c>
      <c r="C12" s="160"/>
      <c r="D12" s="161">
        <v>1</v>
      </c>
      <c r="E12" s="149">
        <v>1</v>
      </c>
      <c r="F12" s="149">
        <f>D12*E12</f>
        <v>1</v>
      </c>
      <c r="G12" s="150">
        <v>120000</v>
      </c>
      <c r="H12" s="150">
        <f>G12*F12</f>
        <v>120000</v>
      </c>
      <c r="I12" s="149">
        <f>H12*12</f>
        <v>1440000</v>
      </c>
      <c r="J12" s="143"/>
      <c r="K12" s="141"/>
    </row>
    <row r="13" spans="1:11" x14ac:dyDescent="0.3">
      <c r="A13" s="141"/>
      <c r="B13" s="266" t="s">
        <v>225</v>
      </c>
      <c r="C13" s="160"/>
      <c r="D13" s="161">
        <v>1</v>
      </c>
      <c r="E13" s="149">
        <v>1</v>
      </c>
      <c r="F13" s="149">
        <f t="shared" ref="F13:F16" si="0">D13*E13</f>
        <v>1</v>
      </c>
      <c r="G13" s="150">
        <v>100000</v>
      </c>
      <c r="H13" s="150">
        <f t="shared" ref="H13:H15" si="1">G13*F13</f>
        <v>100000</v>
      </c>
      <c r="I13" s="149">
        <f t="shared" ref="I13:I15" si="2">H13*12</f>
        <v>1200000</v>
      </c>
      <c r="J13" s="143"/>
      <c r="K13" s="141"/>
    </row>
    <row r="14" spans="1:11" x14ac:dyDescent="0.3">
      <c r="A14" s="141"/>
      <c r="B14" s="266" t="s">
        <v>226</v>
      </c>
      <c r="C14" s="160"/>
      <c r="D14" s="161">
        <v>1</v>
      </c>
      <c r="E14" s="149">
        <v>1</v>
      </c>
      <c r="F14" s="149">
        <f t="shared" si="0"/>
        <v>1</v>
      </c>
      <c r="G14" s="150">
        <v>120000</v>
      </c>
      <c r="H14" s="150">
        <f t="shared" si="1"/>
        <v>120000</v>
      </c>
      <c r="I14" s="149">
        <f t="shared" si="2"/>
        <v>1440000</v>
      </c>
      <c r="J14" s="143"/>
      <c r="K14" s="141" t="s">
        <v>189</v>
      </c>
    </row>
    <row r="15" spans="1:11" x14ac:dyDescent="0.3">
      <c r="A15" s="141"/>
      <c r="B15" s="266" t="s">
        <v>227</v>
      </c>
      <c r="C15" s="160"/>
      <c r="D15" s="161">
        <v>8</v>
      </c>
      <c r="E15" s="149">
        <v>1</v>
      </c>
      <c r="F15" s="149">
        <f t="shared" si="0"/>
        <v>8</v>
      </c>
      <c r="G15" s="150">
        <v>35000</v>
      </c>
      <c r="H15" s="150">
        <f t="shared" si="1"/>
        <v>280000</v>
      </c>
      <c r="I15" s="149">
        <f t="shared" si="2"/>
        <v>3360000</v>
      </c>
      <c r="J15" s="143"/>
      <c r="K15" s="141"/>
    </row>
    <row r="16" spans="1:11" x14ac:dyDescent="0.3">
      <c r="A16" s="141"/>
      <c r="B16" s="266" t="s">
        <v>228</v>
      </c>
      <c r="C16" s="160"/>
      <c r="D16" s="161">
        <v>1</v>
      </c>
      <c r="E16" s="149">
        <v>1</v>
      </c>
      <c r="F16" s="149">
        <f t="shared" si="0"/>
        <v>1</v>
      </c>
      <c r="G16" s="150">
        <v>180000</v>
      </c>
      <c r="H16" s="150">
        <f t="shared" ref="H16:H21" si="3">G16*F16</f>
        <v>180000</v>
      </c>
      <c r="I16" s="149">
        <f t="shared" ref="I16:I21" si="4">H16*12</f>
        <v>2160000</v>
      </c>
      <c r="J16" s="143"/>
      <c r="K16" s="141"/>
    </row>
    <row r="17" spans="1:11" x14ac:dyDescent="0.3">
      <c r="A17" s="141"/>
      <c r="B17" s="160"/>
      <c r="C17" s="160"/>
      <c r="D17" s="161"/>
      <c r="E17" s="161"/>
      <c r="F17" s="161"/>
      <c r="G17" s="162"/>
      <c r="H17" s="150">
        <f t="shared" si="3"/>
        <v>0</v>
      </c>
      <c r="I17" s="149">
        <f t="shared" si="4"/>
        <v>0</v>
      </c>
      <c r="J17" s="282">
        <f>AVERAGE(G12:G16)</f>
        <v>111000</v>
      </c>
      <c r="K17" s="282">
        <f>AVERAGE(H12:H16)</f>
        <v>160000</v>
      </c>
    </row>
    <row r="18" spans="1:11" x14ac:dyDescent="0.3">
      <c r="A18" s="141"/>
      <c r="B18" s="160" t="s">
        <v>269</v>
      </c>
      <c r="C18" s="160"/>
      <c r="D18" s="161">
        <v>1</v>
      </c>
      <c r="E18" s="161">
        <v>1</v>
      </c>
      <c r="F18" s="161">
        <v>2</v>
      </c>
      <c r="G18" s="162">
        <f>G15</f>
        <v>35000</v>
      </c>
      <c r="H18" s="150">
        <f t="shared" si="3"/>
        <v>70000</v>
      </c>
      <c r="I18" s="149">
        <f t="shared" si="4"/>
        <v>840000</v>
      </c>
      <c r="J18" s="143"/>
      <c r="K18" s="141"/>
    </row>
    <row r="19" spans="1:11" x14ac:dyDescent="0.3">
      <c r="A19" s="141"/>
      <c r="B19" s="160" t="s">
        <v>270</v>
      </c>
      <c r="C19" s="160"/>
      <c r="D19" s="161">
        <v>1</v>
      </c>
      <c r="E19" s="161">
        <v>1</v>
      </c>
      <c r="F19" s="161">
        <v>2</v>
      </c>
      <c r="G19" s="162">
        <f>G16</f>
        <v>180000</v>
      </c>
      <c r="H19" s="150">
        <f t="shared" si="3"/>
        <v>360000</v>
      </c>
      <c r="I19" s="149">
        <f t="shared" si="4"/>
        <v>4320000</v>
      </c>
      <c r="J19" s="143"/>
      <c r="K19" s="141"/>
    </row>
    <row r="20" spans="1:11" x14ac:dyDescent="0.3">
      <c r="A20" s="141"/>
      <c r="B20" s="160"/>
      <c r="C20" s="160"/>
      <c r="D20" s="161"/>
      <c r="E20" s="161"/>
      <c r="F20" s="161"/>
      <c r="G20" s="162"/>
      <c r="H20" s="150">
        <f t="shared" si="3"/>
        <v>0</v>
      </c>
      <c r="I20" s="149">
        <f t="shared" si="4"/>
        <v>0</v>
      </c>
      <c r="J20" s="143"/>
      <c r="K20" s="141"/>
    </row>
    <row r="21" spans="1:11" x14ac:dyDescent="0.3">
      <c r="A21" s="141"/>
      <c r="B21" s="148"/>
      <c r="C21" s="148"/>
      <c r="D21" s="149"/>
      <c r="E21" s="149"/>
      <c r="F21" s="149"/>
      <c r="G21" s="150"/>
      <c r="H21" s="150">
        <f t="shared" si="3"/>
        <v>0</v>
      </c>
      <c r="I21" s="149">
        <f t="shared" si="4"/>
        <v>0</v>
      </c>
      <c r="J21" s="143"/>
      <c r="K21" s="141"/>
    </row>
    <row r="22" spans="1:11" x14ac:dyDescent="0.3">
      <c r="A22" s="151"/>
      <c r="B22" s="145" t="s">
        <v>164</v>
      </c>
      <c r="C22" s="145"/>
      <c r="D22" s="163"/>
      <c r="E22" s="163"/>
      <c r="F22" s="163"/>
      <c r="G22" s="164"/>
      <c r="H22" s="163">
        <f>SUM(H12:H21)</f>
        <v>1230000</v>
      </c>
      <c r="I22" s="163">
        <f>SUM(I12:I21)</f>
        <v>14760000</v>
      </c>
      <c r="J22" s="158"/>
      <c r="K22" s="151"/>
    </row>
    <row r="23" spans="1:11" x14ac:dyDescent="0.3">
      <c r="A23" s="141"/>
      <c r="B23" s="165"/>
      <c r="C23" s="165"/>
      <c r="D23" s="166"/>
      <c r="E23" s="166"/>
      <c r="F23" s="166"/>
      <c r="G23" s="167"/>
      <c r="H23" s="167"/>
      <c r="I23" s="166"/>
      <c r="J23" s="143"/>
      <c r="K23" s="141"/>
    </row>
    <row r="24" spans="1:11" x14ac:dyDescent="0.3">
      <c r="A24" s="141"/>
      <c r="B24" s="165"/>
      <c r="C24" s="165"/>
      <c r="D24" s="166"/>
      <c r="E24" s="166"/>
      <c r="F24" s="166"/>
      <c r="G24" s="167"/>
      <c r="H24" s="167"/>
      <c r="I24" s="166"/>
      <c r="J24" s="143"/>
      <c r="K24" s="141"/>
    </row>
    <row r="25" spans="1:11" x14ac:dyDescent="0.3">
      <c r="A25" s="141"/>
      <c r="B25" s="165"/>
      <c r="C25" s="165"/>
      <c r="D25" s="166"/>
      <c r="E25" s="166"/>
      <c r="F25" s="166"/>
      <c r="G25" s="167"/>
      <c r="H25" s="167"/>
      <c r="I25" s="166"/>
      <c r="J25" s="143"/>
      <c r="K25" s="141"/>
    </row>
    <row r="26" spans="1:11" x14ac:dyDescent="0.3">
      <c r="A26" s="141"/>
      <c r="B26" s="168" t="s">
        <v>165</v>
      </c>
      <c r="C26" s="168"/>
      <c r="D26" s="141"/>
      <c r="E26" s="141"/>
      <c r="F26" s="141"/>
      <c r="G26" s="141"/>
      <c r="H26" s="141"/>
      <c r="I26" s="141"/>
      <c r="J26" s="143"/>
      <c r="K26" s="141"/>
    </row>
    <row r="27" spans="1:11" x14ac:dyDescent="0.3">
      <c r="A27" s="169"/>
      <c r="B27" s="148"/>
      <c r="C27" s="148"/>
      <c r="D27" s="147" t="s">
        <v>156</v>
      </c>
      <c r="E27" s="147" t="s">
        <v>166</v>
      </c>
      <c r="F27" s="147" t="s">
        <v>230</v>
      </c>
      <c r="G27" s="146" t="s">
        <v>159</v>
      </c>
      <c r="H27" s="146" t="s">
        <v>160</v>
      </c>
      <c r="I27" s="146" t="s">
        <v>167</v>
      </c>
      <c r="J27" s="170" t="s">
        <v>168</v>
      </c>
      <c r="K27" s="169"/>
    </row>
    <row r="28" spans="1:11" x14ac:dyDescent="0.3">
      <c r="A28" s="169"/>
      <c r="B28" s="171" t="s">
        <v>169</v>
      </c>
      <c r="C28" s="171"/>
      <c r="D28" s="147"/>
      <c r="E28" s="147"/>
      <c r="F28" s="147"/>
      <c r="G28" s="147" t="s">
        <v>128</v>
      </c>
      <c r="H28" s="147" t="s">
        <v>128</v>
      </c>
      <c r="I28" s="147" t="s">
        <v>128</v>
      </c>
      <c r="J28" s="170"/>
      <c r="K28" s="169"/>
    </row>
    <row r="29" spans="1:11" ht="23.5" x14ac:dyDescent="0.3">
      <c r="A29" s="143"/>
      <c r="B29" s="172" t="s">
        <v>221</v>
      </c>
      <c r="C29" s="172"/>
      <c r="D29" s="173">
        <v>60</v>
      </c>
      <c r="E29" s="173">
        <v>1</v>
      </c>
      <c r="F29" s="173">
        <v>60</v>
      </c>
      <c r="G29" s="174">
        <v>7000</v>
      </c>
      <c r="H29" s="174">
        <f>G29*F29</f>
        <v>420000</v>
      </c>
      <c r="I29" s="173">
        <f>H29*12</f>
        <v>5040000</v>
      </c>
      <c r="J29" s="143" t="s">
        <v>170</v>
      </c>
      <c r="K29" s="141"/>
    </row>
    <row r="30" spans="1:11" x14ac:dyDescent="0.3">
      <c r="A30" s="141"/>
      <c r="B30" s="172"/>
      <c r="C30" s="172"/>
      <c r="D30" s="175"/>
      <c r="E30" s="175"/>
      <c r="F30" s="175"/>
      <c r="G30" s="175"/>
      <c r="H30" s="175"/>
      <c r="I30" s="175"/>
      <c r="J30" s="143"/>
      <c r="K30" s="141"/>
    </row>
    <row r="31" spans="1:11" x14ac:dyDescent="0.3">
      <c r="A31" s="141"/>
      <c r="B31" s="172"/>
      <c r="C31" s="172"/>
      <c r="D31" s="175"/>
      <c r="E31" s="175"/>
      <c r="F31" s="175"/>
      <c r="G31" s="175"/>
      <c r="H31" s="175"/>
      <c r="I31" s="175"/>
      <c r="J31" s="143"/>
      <c r="K31" s="141"/>
    </row>
    <row r="32" spans="1:11" x14ac:dyDescent="0.3">
      <c r="A32" s="141"/>
      <c r="B32" s="172"/>
      <c r="C32" s="172"/>
      <c r="D32" s="175"/>
      <c r="E32" s="175"/>
      <c r="F32" s="175"/>
      <c r="G32" s="175"/>
      <c r="H32" s="175"/>
      <c r="I32" s="175"/>
      <c r="J32" s="143"/>
      <c r="K32" s="141"/>
    </row>
    <row r="33" spans="1:11" x14ac:dyDescent="0.3">
      <c r="A33" s="141"/>
      <c r="B33" s="172"/>
      <c r="C33" s="172"/>
      <c r="D33" s="175"/>
      <c r="E33" s="175"/>
      <c r="F33" s="175"/>
      <c r="G33" s="175"/>
      <c r="H33" s="175"/>
      <c r="I33" s="175"/>
      <c r="J33" s="143"/>
      <c r="K33" s="141"/>
    </row>
    <row r="34" spans="1:11" x14ac:dyDescent="0.3">
      <c r="A34" s="141"/>
      <c r="B34" s="172"/>
      <c r="C34" s="172"/>
      <c r="D34" s="175"/>
      <c r="E34" s="175"/>
      <c r="F34" s="175"/>
      <c r="G34" s="175"/>
      <c r="H34" s="175"/>
      <c r="I34" s="175"/>
      <c r="J34" s="143"/>
      <c r="K34" s="141"/>
    </row>
    <row r="35" spans="1:11" x14ac:dyDescent="0.3">
      <c r="A35" s="141"/>
      <c r="B35" s="172"/>
      <c r="C35" s="172"/>
      <c r="D35" s="175"/>
      <c r="E35" s="175"/>
      <c r="F35" s="175"/>
      <c r="G35" s="175"/>
      <c r="H35" s="175"/>
      <c r="I35" s="175"/>
      <c r="J35" s="143"/>
      <c r="K35" s="141"/>
    </row>
    <row r="36" spans="1:11" x14ac:dyDescent="0.3">
      <c r="A36" s="141"/>
      <c r="B36" s="176" t="s">
        <v>171</v>
      </c>
      <c r="C36" s="176"/>
      <c r="D36" s="141"/>
      <c r="E36" s="141"/>
      <c r="F36" s="141"/>
      <c r="G36" s="141"/>
      <c r="H36" s="177">
        <f>SUM(H29:H35)</f>
        <v>420000</v>
      </c>
      <c r="I36" s="177">
        <f>SUM(I29:I35)</f>
        <v>5040000</v>
      </c>
      <c r="J36" s="143"/>
      <c r="K36" s="141"/>
    </row>
    <row r="37" spans="1:11" x14ac:dyDescent="0.3">
      <c r="A37" s="141"/>
      <c r="B37" s="178"/>
      <c r="C37" s="178"/>
      <c r="D37" s="187">
        <f>SUM(OPEX!H9:H35)</f>
        <v>2880000</v>
      </c>
      <c r="E37" s="141"/>
      <c r="F37" s="141"/>
      <c r="G37" s="141"/>
      <c r="H37" s="141"/>
      <c r="I37" s="141"/>
      <c r="J37" s="143"/>
      <c r="K37" s="141"/>
    </row>
    <row r="38" spans="1:11" ht="22" customHeight="1" x14ac:dyDescent="0.3">
      <c r="A38" s="179"/>
      <c r="B38" s="145" t="s">
        <v>172</v>
      </c>
      <c r="C38" s="145"/>
      <c r="D38" s="180" t="s">
        <v>156</v>
      </c>
      <c r="E38" s="180"/>
      <c r="F38" s="180"/>
      <c r="G38" s="180" t="s">
        <v>223</v>
      </c>
      <c r="H38" s="180" t="str">
        <f>I38</f>
        <v>Annual Total Charge</v>
      </c>
      <c r="I38" s="180" t="s">
        <v>176</v>
      </c>
      <c r="J38" s="181"/>
      <c r="K38" s="179"/>
    </row>
    <row r="39" spans="1:11" x14ac:dyDescent="0.3">
      <c r="A39" s="151"/>
      <c r="B39" s="182"/>
      <c r="C39" s="182"/>
      <c r="D39" s="183"/>
      <c r="E39" s="183"/>
      <c r="F39" s="183"/>
      <c r="G39" s="183" t="s">
        <v>128</v>
      </c>
      <c r="H39" s="183" t="s">
        <v>128</v>
      </c>
      <c r="I39" s="183" t="s">
        <v>128</v>
      </c>
      <c r="J39" s="158"/>
      <c r="K39" s="151"/>
    </row>
    <row r="40" spans="1:11" x14ac:dyDescent="0.3">
      <c r="A40" s="141"/>
      <c r="B40" s="184" t="s">
        <v>188</v>
      </c>
      <c r="C40" s="184"/>
      <c r="D40" s="185">
        <v>60</v>
      </c>
      <c r="E40" s="185"/>
      <c r="F40" s="185"/>
      <c r="G40" s="186">
        <v>60000</v>
      </c>
      <c r="H40" s="186">
        <f>G40*D40</f>
        <v>3600000</v>
      </c>
      <c r="I40" s="185">
        <f>H40</f>
        <v>3600000</v>
      </c>
      <c r="J40" s="143"/>
      <c r="K40" s="141"/>
    </row>
    <row r="41" spans="1:11" x14ac:dyDescent="0.3">
      <c r="A41" s="141"/>
      <c r="B41" s="176" t="s">
        <v>141</v>
      </c>
      <c r="C41" s="176"/>
      <c r="D41" s="187"/>
      <c r="E41" s="187"/>
      <c r="F41" s="187"/>
      <c r="G41" s="187"/>
      <c r="H41" s="187"/>
      <c r="I41" s="177">
        <f>SUM(I40:I40)</f>
        <v>3600000</v>
      </c>
      <c r="J41" s="143"/>
      <c r="K41" s="141"/>
    </row>
    <row r="42" spans="1:11" x14ac:dyDescent="0.3">
      <c r="A42" s="141"/>
      <c r="B42" s="178"/>
      <c r="C42" s="178"/>
      <c r="D42" s="187"/>
      <c r="E42" s="187"/>
      <c r="F42" s="187"/>
      <c r="G42" s="187"/>
      <c r="H42" s="187"/>
      <c r="I42" s="187"/>
      <c r="J42" s="143"/>
      <c r="K42" s="141"/>
    </row>
    <row r="43" spans="1:11" x14ac:dyDescent="0.3">
      <c r="A43" s="179"/>
      <c r="B43" s="145" t="s">
        <v>177</v>
      </c>
      <c r="C43" s="145"/>
      <c r="D43" s="180" t="s">
        <v>156</v>
      </c>
      <c r="E43" s="180" t="s">
        <v>173</v>
      </c>
      <c r="F43" s="180"/>
      <c r="G43" s="180" t="s">
        <v>174</v>
      </c>
      <c r="H43" s="180" t="s">
        <v>175</v>
      </c>
      <c r="I43" s="180" t="s">
        <v>176</v>
      </c>
      <c r="J43" s="181"/>
      <c r="K43" s="179"/>
    </row>
    <row r="44" spans="1:11" x14ac:dyDescent="0.3">
      <c r="A44" s="151"/>
      <c r="B44" s="182"/>
      <c r="C44" s="182"/>
      <c r="D44" s="177"/>
      <c r="E44" s="177"/>
      <c r="F44" s="177"/>
      <c r="G44" s="183" t="s">
        <v>128</v>
      </c>
      <c r="H44" s="183" t="s">
        <v>128</v>
      </c>
      <c r="I44" s="183" t="s">
        <v>128</v>
      </c>
      <c r="J44" s="158"/>
      <c r="K44" s="151"/>
    </row>
    <row r="45" spans="1:11" x14ac:dyDescent="0.3">
      <c r="A45" s="141"/>
      <c r="B45" s="184" t="s">
        <v>188</v>
      </c>
      <c r="C45" s="184"/>
      <c r="D45" s="173">
        <v>0</v>
      </c>
      <c r="E45" s="173">
        <f>'[1]Parameters and Summary'!E22*'[1]Parameters and Summary'!E21</f>
        <v>24</v>
      </c>
      <c r="F45" s="173"/>
      <c r="G45" s="174">
        <v>6500</v>
      </c>
      <c r="H45" s="174">
        <f>G45*E45*D45</f>
        <v>0</v>
      </c>
      <c r="I45" s="173">
        <f>H45*12</f>
        <v>0</v>
      </c>
      <c r="J45" s="143"/>
      <c r="K45" s="141"/>
    </row>
    <row r="46" spans="1:11" x14ac:dyDescent="0.3">
      <c r="A46" s="141"/>
      <c r="B46" s="176" t="s">
        <v>141</v>
      </c>
      <c r="C46" s="176"/>
      <c r="D46" s="187"/>
      <c r="E46" s="187"/>
      <c r="F46" s="187"/>
      <c r="G46" s="187"/>
      <c r="H46" s="187"/>
      <c r="I46" s="177">
        <f>SUM(I45:I45)</f>
        <v>0</v>
      </c>
      <c r="J46" s="143"/>
      <c r="K46" s="141"/>
    </row>
    <row r="47" spans="1:11" x14ac:dyDescent="0.3">
      <c r="A47" s="141"/>
      <c r="B47" s="178"/>
      <c r="C47" s="178"/>
      <c r="D47" s="141"/>
      <c r="E47" s="141"/>
      <c r="F47" s="141"/>
      <c r="G47" s="141"/>
      <c r="H47" s="141"/>
      <c r="I47" s="141"/>
      <c r="J47" s="143"/>
      <c r="K47" s="141"/>
    </row>
    <row r="48" spans="1:11" x14ac:dyDescent="0.3">
      <c r="A48" s="141"/>
      <c r="B48" s="178"/>
      <c r="C48" s="178"/>
      <c r="D48" s="141"/>
      <c r="E48" s="141"/>
      <c r="F48" s="141"/>
      <c r="G48" s="141"/>
      <c r="H48" s="141"/>
      <c r="I48" s="141"/>
      <c r="J48" s="143"/>
      <c r="K48" s="141"/>
    </row>
    <row r="49" spans="1:11" x14ac:dyDescent="0.3">
      <c r="A49" s="141"/>
      <c r="B49" s="178"/>
      <c r="C49" s="178"/>
      <c r="D49" s="141"/>
      <c r="E49" s="141"/>
      <c r="F49" s="141"/>
      <c r="G49" s="141"/>
      <c r="H49" s="141"/>
      <c r="I49" s="141"/>
      <c r="J49" s="143"/>
      <c r="K49" s="141"/>
    </row>
    <row r="50" spans="1:11" x14ac:dyDescent="0.3">
      <c r="A50" s="141"/>
      <c r="B50" s="178"/>
      <c r="C50" s="178"/>
      <c r="D50" s="141"/>
      <c r="E50" s="141"/>
      <c r="F50" s="141"/>
      <c r="G50" s="141"/>
      <c r="H50" s="141"/>
      <c r="I50" s="141"/>
      <c r="J50" s="143"/>
      <c r="K50" s="141"/>
    </row>
    <row r="51" spans="1:11" x14ac:dyDescent="0.3">
      <c r="A51" s="141"/>
      <c r="B51" s="178"/>
      <c r="C51" s="178"/>
      <c r="D51" s="141"/>
      <c r="E51" s="141"/>
      <c r="F51" s="141"/>
      <c r="G51" s="141"/>
      <c r="H51" s="141"/>
      <c r="I51" s="141"/>
      <c r="J51" s="143"/>
      <c r="K51" s="141"/>
    </row>
    <row r="52" spans="1:11" x14ac:dyDescent="0.3">
      <c r="A52" s="141"/>
      <c r="B52" s="178"/>
      <c r="C52" s="178"/>
      <c r="D52" s="141"/>
      <c r="E52" s="141"/>
      <c r="F52" s="141"/>
      <c r="G52" s="141"/>
      <c r="H52" s="141"/>
      <c r="I52" s="141"/>
      <c r="J52" s="143"/>
      <c r="K52" s="141"/>
    </row>
    <row r="53" spans="1:11" x14ac:dyDescent="0.3">
      <c r="A53" s="141"/>
      <c r="B53" s="178"/>
      <c r="C53" s="178"/>
      <c r="D53" s="141"/>
      <c r="E53" s="141"/>
      <c r="F53" s="141"/>
      <c r="G53" s="141"/>
      <c r="H53" s="141"/>
      <c r="I53" s="141"/>
      <c r="J53" s="143"/>
      <c r="K53" s="141"/>
    </row>
    <row r="54" spans="1:11" x14ac:dyDescent="0.3">
      <c r="D54" s="141"/>
      <c r="E54" s="141"/>
    </row>
    <row r="55" spans="1:11" x14ac:dyDescent="0.3">
      <c r="D55" s="141"/>
      <c r="E55" s="141"/>
    </row>
    <row r="56" spans="1:11" x14ac:dyDescent="0.3">
      <c r="D56" s="141"/>
      <c r="E56" s="141"/>
    </row>
    <row r="57" spans="1:11" x14ac:dyDescent="0.3">
      <c r="D57" s="141"/>
      <c r="E57" s="141"/>
    </row>
    <row r="58" spans="1:11" x14ac:dyDescent="0.3">
      <c r="D58" s="141"/>
      <c r="E58" s="141"/>
    </row>
    <row r="59" spans="1:11" x14ac:dyDescent="0.3">
      <c r="D59" s="141"/>
      <c r="E59" s="141"/>
    </row>
  </sheetData>
  <pageMargins left="0.25" right="0.25" top="0.75" bottom="0.75" header="0.3" footer="0.3"/>
  <pageSetup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Parameters</vt:lpstr>
      <vt:lpstr>Exchang Rate Growth</vt:lpstr>
      <vt:lpstr>CAPITAL INFLOW</vt:lpstr>
      <vt:lpstr>INCOME STATEMENT</vt:lpstr>
      <vt:lpstr>INCOME STATEMENT - 3 YEARS</vt:lpstr>
      <vt:lpstr>CASH FLOW STATEMENT</vt:lpstr>
      <vt:lpstr>STATEMENT OF FINANCIAL POSITION</vt:lpstr>
      <vt:lpstr>REVENUE GENERATION</vt:lpstr>
      <vt:lpstr>FLEET INVENTORY</vt:lpstr>
      <vt:lpstr>CAPEX</vt:lpstr>
      <vt:lpstr>OPEX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USER</cp:lastModifiedBy>
  <cp:lastPrinted>2024-11-01T17:20:43Z</cp:lastPrinted>
  <dcterms:created xsi:type="dcterms:W3CDTF">2018-03-14T02:28:42Z</dcterms:created>
  <dcterms:modified xsi:type="dcterms:W3CDTF">2024-11-01T17:21:52Z</dcterms:modified>
</cp:coreProperties>
</file>